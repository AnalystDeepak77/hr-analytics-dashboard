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9.xml" ContentType="application/vnd.openxmlformats-officedocument.spreadsheetml.pivotTab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10.xml" ContentType="application/vnd.openxmlformats-officedocument.spreadsheetml.pivotTab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071570c4db96e4f3/Desktop/HR_Project/"/>
    </mc:Choice>
  </mc:AlternateContent>
  <xr:revisionPtr revIDLastSave="912" documentId="11_2843B0E7C330374554DC7B29A6E6543BC4083604" xr6:coauthVersionLast="47" xr6:coauthVersionMax="47" xr10:uidLastSave="{72E0B693-A150-491A-9AE5-F4B74C820B16}"/>
  <bookViews>
    <workbookView xWindow="-108" yWindow="-108" windowWidth="23256" windowHeight="12456" activeTab="1" xr2:uid="{00000000-000D-0000-FFFF-FFFF00000000}"/>
  </bookViews>
  <sheets>
    <sheet name="HR_Data" sheetId="1" r:id="rId1"/>
    <sheet name="Report_Summary" sheetId="14" r:id="rId2"/>
    <sheet name="Department_Attrition" sheetId="2" r:id="rId3"/>
    <sheet name="Employee_Demographics" sheetId="4" r:id="rId4"/>
    <sheet name="Age_Group_Analysis" sheetId="5" r:id="rId5"/>
    <sheet name="Department_Employee_Count" sheetId="6" r:id="rId6"/>
    <sheet name="Department_Income_Analysis" sheetId="8" r:id="rId7"/>
    <sheet name="Job_Satisfaction_Analysis" sheetId="9" r:id="rId8"/>
    <sheet name="Work_Life_Balance" sheetId="10" r:id="rId9"/>
    <sheet name="JobRole_Attrition" sheetId="11" r:id="rId10"/>
    <sheet name="AgeGroup_Attrition" sheetId="12" r:id="rId11"/>
    <sheet name="Tenure_Attrition" sheetId="13" r:id="rId12"/>
  </sheets>
  <calcPr calcId="191029"/>
  <pivotCaches>
    <pivotCache cacheId="0" r:id="rId1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14" l="1"/>
  <c r="A7" i="14"/>
  <c r="A8" i="14"/>
  <c r="A9" i="14"/>
  <c r="A10" i="14"/>
  <c r="A11" i="14"/>
  <c r="A12" i="14"/>
  <c r="A13" i="14"/>
  <c r="A14" i="14"/>
  <c r="A5" i="14"/>
  <c r="T1201" i="1"/>
  <c r="T1200" i="1"/>
  <c r="T1199" i="1"/>
  <c r="T1198" i="1"/>
  <c r="T1197" i="1"/>
  <c r="T1196" i="1"/>
  <c r="T1195" i="1"/>
  <c r="T1194" i="1"/>
  <c r="T1193" i="1"/>
  <c r="T1192" i="1"/>
  <c r="T1191" i="1"/>
  <c r="T1190" i="1"/>
  <c r="T1189" i="1"/>
  <c r="T1188" i="1"/>
  <c r="T1187" i="1"/>
  <c r="T1186" i="1"/>
  <c r="T1185" i="1"/>
  <c r="T1184" i="1"/>
  <c r="T1183" i="1"/>
  <c r="T1182" i="1"/>
  <c r="T1181" i="1"/>
  <c r="T1180" i="1"/>
  <c r="T1179" i="1"/>
  <c r="T1178" i="1"/>
  <c r="T1177" i="1"/>
  <c r="T1176" i="1"/>
  <c r="T1175" i="1"/>
  <c r="T1174" i="1"/>
  <c r="T1173" i="1"/>
  <c r="T1172" i="1"/>
  <c r="T1171" i="1"/>
  <c r="T1170" i="1"/>
  <c r="T1169" i="1"/>
  <c r="T1168" i="1"/>
  <c r="T1167" i="1"/>
  <c r="T1166" i="1"/>
  <c r="T1165" i="1"/>
  <c r="T1164" i="1"/>
  <c r="T1163" i="1"/>
  <c r="T1162" i="1"/>
  <c r="T1161" i="1"/>
  <c r="T1160" i="1"/>
  <c r="T1159" i="1"/>
  <c r="T1158" i="1"/>
  <c r="T1157" i="1"/>
  <c r="T1156" i="1"/>
  <c r="T1155" i="1"/>
  <c r="T1154" i="1"/>
  <c r="T1153" i="1"/>
  <c r="T1152" i="1"/>
  <c r="T1151" i="1"/>
  <c r="T1150" i="1"/>
  <c r="T1149" i="1"/>
  <c r="T1148" i="1"/>
  <c r="T1147" i="1"/>
  <c r="T1146" i="1"/>
  <c r="T1145" i="1"/>
  <c r="T1144" i="1"/>
  <c r="T1143" i="1"/>
  <c r="T1142" i="1"/>
  <c r="T1141" i="1"/>
  <c r="T1140" i="1"/>
  <c r="T1139" i="1"/>
  <c r="T1138" i="1"/>
  <c r="T1137" i="1"/>
  <c r="T1136" i="1"/>
  <c r="T1135" i="1"/>
  <c r="T1134" i="1"/>
  <c r="T1133" i="1"/>
  <c r="T1132" i="1"/>
  <c r="T1131" i="1"/>
  <c r="T1130" i="1"/>
  <c r="T1129" i="1"/>
  <c r="T1128" i="1"/>
  <c r="T1127" i="1"/>
  <c r="T1126" i="1"/>
  <c r="T1125" i="1"/>
  <c r="T1124" i="1"/>
  <c r="T1123" i="1"/>
  <c r="T1122" i="1"/>
  <c r="T1121" i="1"/>
  <c r="T1120" i="1"/>
  <c r="T1119" i="1"/>
  <c r="T1118" i="1"/>
  <c r="T1117" i="1"/>
  <c r="T1116" i="1"/>
  <c r="T1115" i="1"/>
  <c r="T1114" i="1"/>
  <c r="T1113" i="1"/>
  <c r="T1112" i="1"/>
  <c r="T1111" i="1"/>
  <c r="T1110" i="1"/>
  <c r="T1109" i="1"/>
  <c r="T1108" i="1"/>
  <c r="T1107" i="1"/>
  <c r="T1106" i="1"/>
  <c r="T1105" i="1"/>
  <c r="T1104" i="1"/>
  <c r="T1103" i="1"/>
  <c r="T1102" i="1"/>
  <c r="T1101" i="1"/>
  <c r="T1100" i="1"/>
  <c r="T1099" i="1"/>
  <c r="T1098" i="1"/>
  <c r="T1097" i="1"/>
  <c r="T1096" i="1"/>
  <c r="T1095" i="1"/>
  <c r="T1094" i="1"/>
  <c r="T1093" i="1"/>
  <c r="T1092" i="1"/>
  <c r="T1091" i="1"/>
  <c r="T1090" i="1"/>
  <c r="T1089" i="1"/>
  <c r="T1088" i="1"/>
  <c r="T1087" i="1"/>
  <c r="T1086" i="1"/>
  <c r="T1085" i="1"/>
  <c r="T1084" i="1"/>
  <c r="T1083" i="1"/>
  <c r="T1082" i="1"/>
  <c r="T1081" i="1"/>
  <c r="T1080" i="1"/>
  <c r="T1079" i="1"/>
  <c r="T1078" i="1"/>
  <c r="T1077" i="1"/>
  <c r="T1076" i="1"/>
  <c r="T1075" i="1"/>
  <c r="T1074" i="1"/>
  <c r="T1073" i="1"/>
  <c r="T1072" i="1"/>
  <c r="T1071" i="1"/>
  <c r="T1070" i="1"/>
  <c r="T1069" i="1"/>
  <c r="T1068" i="1"/>
  <c r="T1067" i="1"/>
  <c r="T1066" i="1"/>
  <c r="T1065" i="1"/>
  <c r="T1064" i="1"/>
  <c r="T1063" i="1"/>
  <c r="T1062" i="1"/>
  <c r="T1061" i="1"/>
  <c r="T1060" i="1"/>
  <c r="T1059" i="1"/>
  <c r="T1058" i="1"/>
  <c r="T1057" i="1"/>
  <c r="T1056" i="1"/>
  <c r="T1055" i="1"/>
  <c r="T1054" i="1"/>
  <c r="T1053" i="1"/>
  <c r="T1052" i="1"/>
  <c r="T1051" i="1"/>
  <c r="T1050" i="1"/>
  <c r="T1049" i="1"/>
  <c r="T1048" i="1"/>
  <c r="T1047" i="1"/>
  <c r="T1046" i="1"/>
  <c r="T1045" i="1"/>
  <c r="T1044" i="1"/>
  <c r="T1043" i="1"/>
  <c r="T1042" i="1"/>
  <c r="T1041" i="1"/>
  <c r="T1040" i="1"/>
  <c r="T1039" i="1"/>
  <c r="T1038" i="1"/>
  <c r="T1037" i="1"/>
  <c r="T1036" i="1"/>
  <c r="T1035" i="1"/>
  <c r="T1034" i="1"/>
  <c r="T1033" i="1"/>
  <c r="T1032" i="1"/>
  <c r="T1031" i="1"/>
  <c r="T1030" i="1"/>
  <c r="T1029" i="1"/>
  <c r="T1028" i="1"/>
  <c r="T1027" i="1"/>
  <c r="T1026" i="1"/>
  <c r="T1025" i="1"/>
  <c r="T1024" i="1"/>
  <c r="T1023" i="1"/>
  <c r="T1022" i="1"/>
  <c r="T1021" i="1"/>
  <c r="T1020" i="1"/>
  <c r="T1019" i="1"/>
  <c r="T1018" i="1"/>
  <c r="T1017" i="1"/>
  <c r="T1016" i="1"/>
  <c r="T1015" i="1"/>
  <c r="T1014" i="1"/>
  <c r="T1013" i="1"/>
  <c r="T1012" i="1"/>
  <c r="T1011" i="1"/>
  <c r="T1010" i="1"/>
  <c r="T1009" i="1"/>
  <c r="T1008" i="1"/>
  <c r="T1007" i="1"/>
  <c r="T1006" i="1"/>
  <c r="T1005" i="1"/>
  <c r="T1004" i="1"/>
  <c r="T1003" i="1"/>
  <c r="T1002" i="1"/>
  <c r="T1001" i="1"/>
  <c r="T1000" i="1"/>
  <c r="T999" i="1"/>
  <c r="T998" i="1"/>
  <c r="T997" i="1"/>
  <c r="T996" i="1"/>
  <c r="T995" i="1"/>
  <c r="T994" i="1"/>
  <c r="T993" i="1"/>
  <c r="T992" i="1"/>
  <c r="T991" i="1"/>
  <c r="T990" i="1"/>
  <c r="T989" i="1"/>
  <c r="T988" i="1"/>
  <c r="T987" i="1"/>
  <c r="T986" i="1"/>
  <c r="T985" i="1"/>
  <c r="T984" i="1"/>
  <c r="T983" i="1"/>
  <c r="T982" i="1"/>
  <c r="T981" i="1"/>
  <c r="T980" i="1"/>
  <c r="T979" i="1"/>
  <c r="T978" i="1"/>
  <c r="T977" i="1"/>
  <c r="T976" i="1"/>
  <c r="T975" i="1"/>
  <c r="T974" i="1"/>
  <c r="T973" i="1"/>
  <c r="T972" i="1"/>
  <c r="T971" i="1"/>
  <c r="T970" i="1"/>
  <c r="T969" i="1"/>
  <c r="T968" i="1"/>
  <c r="T967" i="1"/>
  <c r="T966" i="1"/>
  <c r="T965" i="1"/>
  <c r="T964" i="1"/>
  <c r="T963" i="1"/>
  <c r="T962" i="1"/>
  <c r="T961" i="1"/>
  <c r="T960" i="1"/>
  <c r="T959" i="1"/>
  <c r="T958" i="1"/>
  <c r="T957" i="1"/>
  <c r="T956" i="1"/>
  <c r="T955" i="1"/>
  <c r="T954" i="1"/>
  <c r="T953" i="1"/>
  <c r="T952" i="1"/>
  <c r="T951" i="1"/>
  <c r="T950" i="1"/>
  <c r="T949" i="1"/>
  <c r="T948" i="1"/>
  <c r="T947" i="1"/>
  <c r="T946" i="1"/>
  <c r="T945" i="1"/>
  <c r="T944" i="1"/>
  <c r="T943" i="1"/>
  <c r="T942" i="1"/>
  <c r="T941" i="1"/>
  <c r="T940" i="1"/>
  <c r="T939" i="1"/>
  <c r="T938" i="1"/>
  <c r="T937" i="1"/>
  <c r="T936" i="1"/>
  <c r="T935" i="1"/>
  <c r="T934" i="1"/>
  <c r="T933" i="1"/>
  <c r="T932" i="1"/>
  <c r="T931" i="1"/>
  <c r="T930" i="1"/>
  <c r="T929" i="1"/>
  <c r="T928" i="1"/>
  <c r="T927" i="1"/>
  <c r="T926" i="1"/>
  <c r="T925" i="1"/>
  <c r="T924" i="1"/>
  <c r="T923" i="1"/>
  <c r="T922" i="1"/>
  <c r="T921" i="1"/>
  <c r="T920" i="1"/>
  <c r="T919" i="1"/>
  <c r="T918" i="1"/>
  <c r="T917" i="1"/>
  <c r="T916" i="1"/>
  <c r="T915" i="1"/>
  <c r="T914" i="1"/>
  <c r="T913" i="1"/>
  <c r="T912" i="1"/>
  <c r="T911" i="1"/>
  <c r="T910" i="1"/>
  <c r="T909" i="1"/>
  <c r="T908" i="1"/>
  <c r="T907" i="1"/>
  <c r="T906" i="1"/>
  <c r="T905" i="1"/>
  <c r="T904" i="1"/>
  <c r="T903" i="1"/>
  <c r="T902" i="1"/>
  <c r="T901" i="1"/>
  <c r="T900" i="1"/>
  <c r="T899" i="1"/>
  <c r="T898" i="1"/>
  <c r="T897" i="1"/>
  <c r="T896" i="1"/>
  <c r="T895" i="1"/>
  <c r="T894" i="1"/>
  <c r="T893" i="1"/>
  <c r="T892" i="1"/>
  <c r="T891" i="1"/>
  <c r="T890" i="1"/>
  <c r="T889" i="1"/>
  <c r="T888" i="1"/>
  <c r="T887" i="1"/>
  <c r="T886" i="1"/>
  <c r="T885" i="1"/>
  <c r="T884" i="1"/>
  <c r="T883" i="1"/>
  <c r="T882" i="1"/>
  <c r="T881" i="1"/>
  <c r="T880" i="1"/>
  <c r="T879" i="1"/>
  <c r="T878" i="1"/>
  <c r="T877" i="1"/>
  <c r="T876" i="1"/>
  <c r="T875" i="1"/>
  <c r="T874" i="1"/>
  <c r="T873" i="1"/>
  <c r="T872" i="1"/>
  <c r="T871" i="1"/>
  <c r="T870" i="1"/>
  <c r="T869" i="1"/>
  <c r="T868" i="1"/>
  <c r="T867" i="1"/>
  <c r="T866" i="1"/>
  <c r="T865" i="1"/>
  <c r="T864" i="1"/>
  <c r="T863" i="1"/>
  <c r="T862" i="1"/>
  <c r="T861" i="1"/>
  <c r="T860" i="1"/>
  <c r="T859" i="1"/>
  <c r="T858" i="1"/>
  <c r="T857" i="1"/>
  <c r="T856" i="1"/>
  <c r="T855" i="1"/>
  <c r="T854" i="1"/>
  <c r="T853" i="1"/>
  <c r="T852" i="1"/>
  <c r="T851" i="1"/>
  <c r="T850" i="1"/>
  <c r="T849" i="1"/>
  <c r="T848" i="1"/>
  <c r="T847" i="1"/>
  <c r="T846" i="1"/>
  <c r="T845" i="1"/>
  <c r="T844" i="1"/>
  <c r="T843" i="1"/>
  <c r="T842" i="1"/>
  <c r="T841" i="1"/>
  <c r="T840" i="1"/>
  <c r="T839" i="1"/>
  <c r="T838" i="1"/>
  <c r="T837" i="1"/>
  <c r="T836" i="1"/>
  <c r="T835" i="1"/>
  <c r="T834" i="1"/>
  <c r="T833" i="1"/>
  <c r="T832" i="1"/>
  <c r="T831" i="1"/>
  <c r="T830" i="1"/>
  <c r="T829" i="1"/>
  <c r="T828" i="1"/>
  <c r="T827" i="1"/>
  <c r="T826" i="1"/>
  <c r="T825" i="1"/>
  <c r="T824" i="1"/>
  <c r="T823" i="1"/>
  <c r="T822" i="1"/>
  <c r="T821" i="1"/>
  <c r="T820" i="1"/>
  <c r="T819" i="1"/>
  <c r="T818" i="1"/>
  <c r="T817" i="1"/>
  <c r="T816" i="1"/>
  <c r="T815" i="1"/>
  <c r="T814" i="1"/>
  <c r="T813" i="1"/>
  <c r="T812" i="1"/>
  <c r="T811" i="1"/>
  <c r="T810" i="1"/>
  <c r="T809" i="1"/>
  <c r="T808" i="1"/>
  <c r="T807" i="1"/>
  <c r="T806" i="1"/>
  <c r="T805" i="1"/>
  <c r="T804" i="1"/>
  <c r="T803" i="1"/>
  <c r="T802" i="1"/>
  <c r="T801" i="1"/>
  <c r="T800" i="1"/>
  <c r="T799" i="1"/>
  <c r="T798" i="1"/>
  <c r="T797" i="1"/>
  <c r="T796" i="1"/>
  <c r="T795" i="1"/>
  <c r="T794" i="1"/>
  <c r="T793" i="1"/>
  <c r="T792" i="1"/>
  <c r="T791" i="1"/>
  <c r="T790" i="1"/>
  <c r="T789" i="1"/>
  <c r="T788" i="1"/>
  <c r="T787" i="1"/>
  <c r="T786" i="1"/>
  <c r="T785" i="1"/>
  <c r="T784" i="1"/>
  <c r="T783" i="1"/>
  <c r="T782" i="1"/>
  <c r="T781" i="1"/>
  <c r="T780" i="1"/>
  <c r="T779" i="1"/>
  <c r="T778" i="1"/>
  <c r="T777" i="1"/>
  <c r="T776" i="1"/>
  <c r="T775" i="1"/>
  <c r="T774" i="1"/>
  <c r="T773" i="1"/>
  <c r="T772" i="1"/>
  <c r="T771" i="1"/>
  <c r="T770" i="1"/>
  <c r="T769" i="1"/>
  <c r="T768" i="1"/>
  <c r="T767" i="1"/>
  <c r="T766" i="1"/>
  <c r="T765" i="1"/>
  <c r="T764" i="1"/>
  <c r="T763" i="1"/>
  <c r="T762" i="1"/>
  <c r="T761" i="1"/>
  <c r="T760" i="1"/>
  <c r="T759" i="1"/>
  <c r="T758" i="1"/>
  <c r="T757" i="1"/>
  <c r="T756" i="1"/>
  <c r="T755" i="1"/>
  <c r="T754" i="1"/>
  <c r="T753" i="1"/>
  <c r="T752" i="1"/>
  <c r="T751" i="1"/>
  <c r="T750" i="1"/>
  <c r="T749" i="1"/>
  <c r="T748" i="1"/>
  <c r="T747" i="1"/>
  <c r="T746" i="1"/>
  <c r="T745" i="1"/>
  <c r="T744" i="1"/>
  <c r="T743" i="1"/>
  <c r="T742" i="1"/>
  <c r="T741" i="1"/>
  <c r="T740" i="1"/>
  <c r="T739" i="1"/>
  <c r="T738" i="1"/>
  <c r="T737" i="1"/>
  <c r="T736" i="1"/>
  <c r="T735" i="1"/>
  <c r="T734" i="1"/>
  <c r="T733" i="1"/>
  <c r="T732" i="1"/>
  <c r="T731" i="1"/>
  <c r="T730" i="1"/>
  <c r="T729" i="1"/>
  <c r="T728" i="1"/>
  <c r="T727" i="1"/>
  <c r="T726" i="1"/>
  <c r="T725" i="1"/>
  <c r="T724" i="1"/>
  <c r="T723" i="1"/>
  <c r="T722" i="1"/>
  <c r="T721" i="1"/>
  <c r="T720" i="1"/>
  <c r="T719" i="1"/>
  <c r="T718" i="1"/>
  <c r="T717" i="1"/>
  <c r="T716" i="1"/>
  <c r="T715" i="1"/>
  <c r="T714" i="1"/>
  <c r="T713" i="1"/>
  <c r="T712" i="1"/>
  <c r="T711" i="1"/>
  <c r="T710" i="1"/>
  <c r="T709" i="1"/>
  <c r="T708" i="1"/>
  <c r="T707" i="1"/>
  <c r="T706" i="1"/>
  <c r="T705" i="1"/>
  <c r="T704" i="1"/>
  <c r="T703" i="1"/>
  <c r="T702" i="1"/>
  <c r="T701" i="1"/>
  <c r="T700" i="1"/>
  <c r="T699" i="1"/>
  <c r="T698" i="1"/>
  <c r="T697" i="1"/>
  <c r="T696" i="1"/>
  <c r="T695" i="1"/>
  <c r="T694" i="1"/>
  <c r="T693" i="1"/>
  <c r="T692" i="1"/>
  <c r="T691" i="1"/>
  <c r="T690" i="1"/>
  <c r="T689" i="1"/>
  <c r="T688" i="1"/>
  <c r="T687" i="1"/>
  <c r="T686" i="1"/>
  <c r="T685" i="1"/>
  <c r="T684" i="1"/>
  <c r="T683" i="1"/>
  <c r="T682" i="1"/>
  <c r="T681" i="1"/>
  <c r="T680" i="1"/>
  <c r="T679" i="1"/>
  <c r="T678" i="1"/>
  <c r="T677" i="1"/>
  <c r="T676" i="1"/>
  <c r="T675" i="1"/>
  <c r="T674" i="1"/>
  <c r="T673" i="1"/>
  <c r="T672" i="1"/>
  <c r="T671" i="1"/>
  <c r="T670" i="1"/>
  <c r="T669" i="1"/>
  <c r="T668" i="1"/>
  <c r="T667" i="1"/>
  <c r="T666" i="1"/>
  <c r="T665" i="1"/>
  <c r="T664" i="1"/>
  <c r="T663" i="1"/>
  <c r="T662" i="1"/>
  <c r="T661" i="1"/>
  <c r="T660" i="1"/>
  <c r="T659" i="1"/>
  <c r="T658" i="1"/>
  <c r="T657" i="1"/>
  <c r="T656" i="1"/>
  <c r="T655" i="1"/>
  <c r="T654" i="1"/>
  <c r="T653" i="1"/>
  <c r="T652" i="1"/>
  <c r="T651" i="1"/>
  <c r="T650" i="1"/>
  <c r="T649" i="1"/>
  <c r="T648" i="1"/>
  <c r="T647" i="1"/>
  <c r="T646" i="1"/>
  <c r="T645" i="1"/>
  <c r="T644" i="1"/>
  <c r="T643" i="1"/>
  <c r="T642" i="1"/>
  <c r="T641" i="1"/>
  <c r="T640" i="1"/>
  <c r="T639" i="1"/>
  <c r="T638" i="1"/>
  <c r="T637" i="1"/>
  <c r="T636" i="1"/>
  <c r="T635" i="1"/>
  <c r="T634" i="1"/>
  <c r="T633" i="1"/>
  <c r="T632" i="1"/>
  <c r="T631" i="1"/>
  <c r="T630" i="1"/>
  <c r="T629" i="1"/>
  <c r="T628" i="1"/>
  <c r="T627" i="1"/>
  <c r="T626" i="1"/>
  <c r="T625" i="1"/>
  <c r="T624" i="1"/>
  <c r="T623" i="1"/>
  <c r="T622" i="1"/>
  <c r="T621" i="1"/>
  <c r="T620" i="1"/>
  <c r="T619" i="1"/>
  <c r="T618" i="1"/>
  <c r="T617" i="1"/>
  <c r="T616" i="1"/>
  <c r="T615" i="1"/>
  <c r="T614" i="1"/>
  <c r="T613" i="1"/>
  <c r="T612" i="1"/>
  <c r="T611" i="1"/>
  <c r="T610" i="1"/>
  <c r="T609" i="1"/>
  <c r="T608" i="1"/>
  <c r="T607" i="1"/>
  <c r="T606" i="1"/>
  <c r="T605" i="1"/>
  <c r="T604" i="1"/>
  <c r="T603" i="1"/>
  <c r="T602" i="1"/>
  <c r="T601" i="1"/>
  <c r="T600" i="1"/>
  <c r="T599" i="1"/>
  <c r="T598" i="1"/>
  <c r="T597" i="1"/>
  <c r="T596" i="1"/>
  <c r="T595" i="1"/>
  <c r="T594" i="1"/>
  <c r="T593" i="1"/>
  <c r="T592" i="1"/>
  <c r="T591" i="1"/>
  <c r="T590" i="1"/>
  <c r="T589" i="1"/>
  <c r="T588" i="1"/>
  <c r="T587" i="1"/>
  <c r="T586" i="1"/>
  <c r="T585" i="1"/>
  <c r="T584" i="1"/>
  <c r="T583" i="1"/>
  <c r="T582" i="1"/>
  <c r="T581" i="1"/>
  <c r="T580" i="1"/>
  <c r="T579" i="1"/>
  <c r="T578" i="1"/>
  <c r="T577" i="1"/>
  <c r="T576" i="1"/>
  <c r="T575" i="1"/>
  <c r="T574" i="1"/>
  <c r="T573" i="1"/>
  <c r="T572" i="1"/>
  <c r="T571" i="1"/>
  <c r="T570" i="1"/>
  <c r="T569" i="1"/>
  <c r="T568" i="1"/>
  <c r="T567" i="1"/>
  <c r="T566" i="1"/>
  <c r="T565" i="1"/>
  <c r="T564" i="1"/>
  <c r="T563" i="1"/>
  <c r="T562" i="1"/>
  <c r="T561" i="1"/>
  <c r="T560" i="1"/>
  <c r="T559" i="1"/>
  <c r="T558" i="1"/>
  <c r="T557" i="1"/>
  <c r="T556" i="1"/>
  <c r="T555" i="1"/>
  <c r="T554" i="1"/>
  <c r="T553" i="1"/>
  <c r="T552" i="1"/>
  <c r="T551" i="1"/>
  <c r="T550" i="1"/>
  <c r="T549" i="1"/>
  <c r="T548" i="1"/>
  <c r="T547" i="1"/>
  <c r="T546" i="1"/>
  <c r="T545" i="1"/>
  <c r="T544" i="1"/>
  <c r="T543" i="1"/>
  <c r="T542" i="1"/>
  <c r="T541" i="1"/>
  <c r="T540" i="1"/>
  <c r="T539" i="1"/>
  <c r="T538" i="1"/>
  <c r="T537" i="1"/>
  <c r="T536" i="1"/>
  <c r="T535" i="1"/>
  <c r="T534" i="1"/>
  <c r="T533" i="1"/>
  <c r="T532" i="1"/>
  <c r="T531" i="1"/>
  <c r="T530" i="1"/>
  <c r="T529" i="1"/>
  <c r="T528" i="1"/>
  <c r="T527" i="1"/>
  <c r="T526" i="1"/>
  <c r="T525" i="1"/>
  <c r="T524" i="1"/>
  <c r="T523" i="1"/>
  <c r="T522" i="1"/>
  <c r="T521" i="1"/>
  <c r="T520" i="1"/>
  <c r="T519" i="1"/>
  <c r="T518" i="1"/>
  <c r="T517" i="1"/>
  <c r="T516" i="1"/>
  <c r="T515" i="1"/>
  <c r="T514" i="1"/>
  <c r="T513" i="1"/>
  <c r="T512" i="1"/>
  <c r="T511" i="1"/>
  <c r="T510" i="1"/>
  <c r="T509" i="1"/>
  <c r="T508" i="1"/>
  <c r="T507" i="1"/>
  <c r="T506" i="1"/>
  <c r="T505" i="1"/>
  <c r="T504" i="1"/>
  <c r="T503" i="1"/>
  <c r="T502" i="1"/>
  <c r="T501" i="1"/>
  <c r="T500" i="1"/>
  <c r="T499" i="1"/>
  <c r="T498" i="1"/>
  <c r="T497" i="1"/>
  <c r="T496" i="1"/>
  <c r="T495" i="1"/>
  <c r="T494" i="1"/>
  <c r="T493" i="1"/>
  <c r="T492" i="1"/>
  <c r="T491" i="1"/>
  <c r="T490" i="1"/>
  <c r="T489" i="1"/>
  <c r="T488" i="1"/>
  <c r="T487" i="1"/>
  <c r="T486" i="1"/>
  <c r="T485" i="1"/>
  <c r="T484" i="1"/>
  <c r="T483" i="1"/>
  <c r="T482" i="1"/>
  <c r="T481" i="1"/>
  <c r="T480" i="1"/>
  <c r="T479" i="1"/>
  <c r="T478" i="1"/>
  <c r="T477" i="1"/>
  <c r="T476" i="1"/>
  <c r="T475" i="1"/>
  <c r="T474" i="1"/>
  <c r="T473" i="1"/>
  <c r="T472" i="1"/>
  <c r="T471" i="1"/>
  <c r="T470" i="1"/>
  <c r="T469" i="1"/>
  <c r="T468" i="1"/>
  <c r="T467" i="1"/>
  <c r="T466" i="1"/>
  <c r="T465" i="1"/>
  <c r="T464" i="1"/>
  <c r="T463" i="1"/>
  <c r="T462" i="1"/>
  <c r="T461" i="1"/>
  <c r="T460" i="1"/>
  <c r="T459" i="1"/>
  <c r="T458" i="1"/>
  <c r="T457" i="1"/>
  <c r="T456" i="1"/>
  <c r="T455" i="1"/>
  <c r="T454" i="1"/>
  <c r="T453" i="1"/>
  <c r="T452" i="1"/>
  <c r="T451" i="1"/>
  <c r="T450" i="1"/>
  <c r="T449" i="1"/>
  <c r="T448" i="1"/>
  <c r="T447" i="1"/>
  <c r="T446" i="1"/>
  <c r="T445" i="1"/>
  <c r="T444" i="1"/>
  <c r="T443" i="1"/>
  <c r="T442" i="1"/>
  <c r="T441" i="1"/>
  <c r="T440" i="1"/>
  <c r="T439" i="1"/>
  <c r="T438" i="1"/>
  <c r="T437" i="1"/>
  <c r="T436" i="1"/>
  <c r="T435" i="1"/>
  <c r="T434" i="1"/>
  <c r="T433" i="1"/>
  <c r="T432" i="1"/>
  <c r="T431" i="1"/>
  <c r="T430" i="1"/>
  <c r="T429" i="1"/>
  <c r="T428" i="1"/>
  <c r="T427" i="1"/>
  <c r="T426" i="1"/>
  <c r="T425" i="1"/>
  <c r="T424" i="1"/>
  <c r="T423" i="1"/>
  <c r="T422" i="1"/>
  <c r="T421" i="1"/>
  <c r="T420" i="1"/>
  <c r="T419" i="1"/>
  <c r="T418" i="1"/>
  <c r="T417" i="1"/>
  <c r="T416" i="1"/>
  <c r="T415" i="1"/>
  <c r="T414" i="1"/>
  <c r="T413" i="1"/>
  <c r="T412" i="1"/>
  <c r="T411" i="1"/>
  <c r="T410" i="1"/>
  <c r="T409" i="1"/>
  <c r="T408" i="1"/>
  <c r="T407" i="1"/>
  <c r="T406" i="1"/>
  <c r="T405" i="1"/>
  <c r="T404" i="1"/>
  <c r="T403" i="1"/>
  <c r="T402" i="1"/>
  <c r="T401" i="1"/>
  <c r="T400" i="1"/>
  <c r="T399" i="1"/>
  <c r="T398" i="1"/>
  <c r="T397" i="1"/>
  <c r="T396" i="1"/>
  <c r="T395" i="1"/>
  <c r="T394" i="1"/>
  <c r="T393" i="1"/>
  <c r="T392" i="1"/>
  <c r="T391" i="1"/>
  <c r="T390" i="1"/>
  <c r="T389" i="1"/>
  <c r="T388" i="1"/>
  <c r="T387" i="1"/>
  <c r="T386" i="1"/>
  <c r="T385" i="1"/>
  <c r="T384" i="1"/>
  <c r="T383" i="1"/>
  <c r="T382" i="1"/>
  <c r="T381" i="1"/>
  <c r="T380" i="1"/>
  <c r="T379" i="1"/>
  <c r="T378" i="1"/>
  <c r="T377" i="1"/>
  <c r="T376" i="1"/>
  <c r="T375" i="1"/>
  <c r="T374" i="1"/>
  <c r="T373" i="1"/>
  <c r="T372" i="1"/>
  <c r="T371" i="1"/>
  <c r="T370" i="1"/>
  <c r="T369" i="1"/>
  <c r="T368" i="1"/>
  <c r="T367" i="1"/>
  <c r="T366" i="1"/>
  <c r="T365" i="1"/>
  <c r="T364" i="1"/>
  <c r="T363" i="1"/>
  <c r="T362" i="1"/>
  <c r="T361" i="1"/>
  <c r="T360" i="1"/>
  <c r="T359" i="1"/>
  <c r="T358" i="1"/>
  <c r="T357" i="1"/>
  <c r="T356" i="1"/>
  <c r="T355" i="1"/>
  <c r="T354" i="1"/>
  <c r="T353" i="1"/>
  <c r="T352" i="1"/>
  <c r="T351" i="1"/>
  <c r="T350" i="1"/>
  <c r="T349" i="1"/>
  <c r="T348" i="1"/>
  <c r="T347" i="1"/>
  <c r="T346" i="1"/>
  <c r="T345" i="1"/>
  <c r="T344" i="1"/>
  <c r="T343" i="1"/>
  <c r="T342" i="1"/>
  <c r="T341" i="1"/>
  <c r="T340" i="1"/>
  <c r="T339" i="1"/>
  <c r="T338" i="1"/>
  <c r="T337" i="1"/>
  <c r="T336" i="1"/>
  <c r="T335" i="1"/>
  <c r="T334" i="1"/>
  <c r="T333" i="1"/>
  <c r="T332" i="1"/>
  <c r="T331" i="1"/>
  <c r="T330" i="1"/>
  <c r="T329" i="1"/>
  <c r="T328" i="1"/>
  <c r="T327" i="1"/>
  <c r="T326" i="1"/>
  <c r="T325" i="1"/>
  <c r="T324" i="1"/>
  <c r="T323" i="1"/>
  <c r="T322" i="1"/>
  <c r="T321" i="1"/>
  <c r="T320" i="1"/>
  <c r="T319" i="1"/>
  <c r="T318" i="1"/>
  <c r="T317" i="1"/>
  <c r="T316" i="1"/>
  <c r="T315" i="1"/>
  <c r="T314" i="1"/>
  <c r="T313" i="1"/>
  <c r="T312" i="1"/>
  <c r="T311" i="1"/>
  <c r="T310" i="1"/>
  <c r="T309" i="1"/>
  <c r="T308" i="1"/>
  <c r="T307" i="1"/>
  <c r="T306" i="1"/>
  <c r="T305" i="1"/>
  <c r="T304" i="1"/>
  <c r="T303" i="1"/>
  <c r="T302" i="1"/>
  <c r="T301" i="1"/>
  <c r="T300" i="1"/>
  <c r="T299" i="1"/>
  <c r="T298" i="1"/>
  <c r="T297" i="1"/>
  <c r="T296" i="1"/>
  <c r="T295" i="1"/>
  <c r="T294" i="1"/>
  <c r="T293" i="1"/>
  <c r="T292" i="1"/>
  <c r="T291" i="1"/>
  <c r="T290" i="1"/>
  <c r="T289" i="1"/>
  <c r="T288" i="1"/>
  <c r="T287" i="1"/>
  <c r="T286" i="1"/>
  <c r="T285" i="1"/>
  <c r="T284" i="1"/>
  <c r="T283" i="1"/>
  <c r="T282" i="1"/>
  <c r="T281" i="1"/>
  <c r="T280" i="1"/>
  <c r="T279" i="1"/>
  <c r="T278" i="1"/>
  <c r="T277" i="1"/>
  <c r="T276" i="1"/>
  <c r="T275" i="1"/>
  <c r="T274" i="1"/>
  <c r="T273" i="1"/>
  <c r="T272" i="1"/>
  <c r="T271" i="1"/>
  <c r="T270" i="1"/>
  <c r="T269" i="1"/>
  <c r="T268" i="1"/>
  <c r="T267" i="1"/>
  <c r="T266" i="1"/>
  <c r="T265" i="1"/>
  <c r="T264" i="1"/>
  <c r="T263" i="1"/>
  <c r="T262" i="1"/>
  <c r="T261" i="1"/>
  <c r="T260" i="1"/>
  <c r="T259" i="1"/>
  <c r="T258" i="1"/>
  <c r="T257" i="1"/>
  <c r="T256" i="1"/>
  <c r="T255" i="1"/>
  <c r="T254" i="1"/>
  <c r="T253" i="1"/>
  <c r="T252" i="1"/>
  <c r="T251" i="1"/>
  <c r="T250" i="1"/>
  <c r="T249" i="1"/>
  <c r="T248" i="1"/>
  <c r="T247" i="1"/>
  <c r="T246" i="1"/>
  <c r="T245" i="1"/>
  <c r="T244" i="1"/>
  <c r="T243" i="1"/>
  <c r="T242" i="1"/>
  <c r="T241" i="1"/>
  <c r="T240" i="1"/>
  <c r="T239" i="1"/>
  <c r="T238" i="1"/>
  <c r="T237" i="1"/>
  <c r="T236" i="1"/>
  <c r="T235" i="1"/>
  <c r="T234" i="1"/>
  <c r="T233" i="1"/>
  <c r="T232" i="1"/>
  <c r="T231" i="1"/>
  <c r="T230" i="1"/>
  <c r="T229" i="1"/>
  <c r="T228" i="1"/>
  <c r="T227" i="1"/>
  <c r="T226" i="1"/>
  <c r="T225" i="1"/>
  <c r="T224" i="1"/>
  <c r="T223" i="1"/>
  <c r="T222" i="1"/>
  <c r="T221" i="1"/>
  <c r="T220" i="1"/>
  <c r="T219" i="1"/>
  <c r="T218" i="1"/>
  <c r="T217" i="1"/>
  <c r="T216" i="1"/>
  <c r="T215" i="1"/>
  <c r="T214" i="1"/>
  <c r="T213" i="1"/>
  <c r="T212" i="1"/>
  <c r="T211" i="1"/>
  <c r="T210" i="1"/>
  <c r="T209" i="1"/>
  <c r="T208" i="1"/>
  <c r="T207" i="1"/>
  <c r="T206" i="1"/>
  <c r="T205" i="1"/>
  <c r="T204" i="1"/>
  <c r="T203" i="1"/>
  <c r="T202" i="1"/>
  <c r="T201" i="1"/>
  <c r="T200" i="1"/>
  <c r="T199" i="1"/>
  <c r="T198" i="1"/>
  <c r="T197" i="1"/>
  <c r="T196" i="1"/>
  <c r="T195" i="1"/>
  <c r="T194" i="1"/>
  <c r="T193" i="1"/>
  <c r="T192" i="1"/>
  <c r="T191" i="1"/>
  <c r="T190" i="1"/>
  <c r="T189" i="1"/>
  <c r="T188" i="1"/>
  <c r="T187" i="1"/>
  <c r="T186" i="1"/>
  <c r="T185" i="1"/>
  <c r="T184" i="1"/>
  <c r="T183" i="1"/>
  <c r="T182" i="1"/>
  <c r="T181" i="1"/>
  <c r="T180" i="1"/>
  <c r="T179" i="1"/>
  <c r="T178" i="1"/>
  <c r="T177" i="1"/>
  <c r="T176" i="1"/>
  <c r="T175" i="1"/>
  <c r="T174" i="1"/>
  <c r="T173" i="1"/>
  <c r="T172" i="1"/>
  <c r="T171" i="1"/>
  <c r="T170" i="1"/>
  <c r="T169" i="1"/>
  <c r="T168" i="1"/>
  <c r="T167" i="1"/>
  <c r="T166" i="1"/>
  <c r="T165" i="1"/>
  <c r="T164" i="1"/>
  <c r="T163" i="1"/>
  <c r="T162" i="1"/>
  <c r="T161" i="1"/>
  <c r="T160" i="1"/>
  <c r="T159" i="1"/>
  <c r="T158" i="1"/>
  <c r="T157" i="1"/>
  <c r="T156" i="1"/>
  <c r="T155" i="1"/>
  <c r="T154" i="1"/>
  <c r="T153" i="1"/>
  <c r="T152" i="1"/>
  <c r="T151" i="1"/>
  <c r="T150" i="1"/>
  <c r="T149" i="1"/>
  <c r="T148" i="1"/>
  <c r="T147" i="1"/>
  <c r="T146" i="1"/>
  <c r="T145" i="1"/>
  <c r="T144" i="1"/>
  <c r="T143" i="1"/>
  <c r="T142" i="1"/>
  <c r="T141" i="1"/>
  <c r="T140" i="1"/>
  <c r="T139" i="1"/>
  <c r="T138" i="1"/>
  <c r="T137" i="1"/>
  <c r="T136" i="1"/>
  <c r="T135" i="1"/>
  <c r="T134" i="1"/>
  <c r="T133" i="1"/>
  <c r="T132" i="1"/>
  <c r="T131" i="1"/>
  <c r="T130" i="1"/>
  <c r="T129" i="1"/>
  <c r="T128" i="1"/>
  <c r="T127" i="1"/>
  <c r="T126" i="1"/>
  <c r="T125" i="1"/>
  <c r="T124" i="1"/>
  <c r="T123" i="1"/>
  <c r="T122" i="1"/>
  <c r="T121" i="1"/>
  <c r="T120" i="1"/>
  <c r="T119" i="1"/>
  <c r="T118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T3" i="1"/>
  <c r="T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2" i="1"/>
</calcChain>
</file>

<file path=xl/sharedStrings.xml><?xml version="1.0" encoding="utf-8"?>
<sst xmlns="http://schemas.openxmlformats.org/spreadsheetml/2006/main" count="12175" uniqueCount="1336">
  <si>
    <t>Age</t>
  </si>
  <si>
    <t>Gender</t>
  </si>
  <si>
    <t>Department</t>
  </si>
  <si>
    <t>JobRole</t>
  </si>
  <si>
    <t>Education</t>
  </si>
  <si>
    <t>Attrition</t>
  </si>
  <si>
    <t>EMP0001</t>
  </si>
  <si>
    <t>Male</t>
  </si>
  <si>
    <t>Operations</t>
  </si>
  <si>
    <t>Logistics Coordinator</t>
  </si>
  <si>
    <t>Master's</t>
  </si>
  <si>
    <t>Married</t>
  </si>
  <si>
    <t>Yes</t>
  </si>
  <si>
    <t>Travel_Rarely</t>
  </si>
  <si>
    <t>No</t>
  </si>
  <si>
    <t>EMP0002</t>
  </si>
  <si>
    <t>Sales</t>
  </si>
  <si>
    <t>Sales Manager</t>
  </si>
  <si>
    <t>High School</t>
  </si>
  <si>
    <t>Single</t>
  </si>
  <si>
    <t>Travel_Frequently</t>
  </si>
  <si>
    <t>EMP0003</t>
  </si>
  <si>
    <t>Female</t>
  </si>
  <si>
    <t>Operations Manager</t>
  </si>
  <si>
    <t>EMP0004</t>
  </si>
  <si>
    <t>Bachelor's</t>
  </si>
  <si>
    <t>Non-Travel</t>
  </si>
  <si>
    <t>EMP0005</t>
  </si>
  <si>
    <t>Sales Executive</t>
  </si>
  <si>
    <t>EMP0006</t>
  </si>
  <si>
    <t>EMP0007</t>
  </si>
  <si>
    <t>HR</t>
  </si>
  <si>
    <t>HR Manager</t>
  </si>
  <si>
    <t>EMP0008</t>
  </si>
  <si>
    <t>IT</t>
  </si>
  <si>
    <t>IT Manager</t>
  </si>
  <si>
    <t>EMP0009</t>
  </si>
  <si>
    <t>EMP0010</t>
  </si>
  <si>
    <t>Marketing</t>
  </si>
  <si>
    <t>Marketing Executive</t>
  </si>
  <si>
    <t>EMP0011</t>
  </si>
  <si>
    <t>EMP0012</t>
  </si>
  <si>
    <t>Divorced</t>
  </si>
  <si>
    <t>EMP0013</t>
  </si>
  <si>
    <t>EMP0014</t>
  </si>
  <si>
    <t>PhD</t>
  </si>
  <si>
    <t>EMP0015</t>
  </si>
  <si>
    <t>Account Manager</t>
  </si>
  <si>
    <t>EMP0016</t>
  </si>
  <si>
    <t>EMP0017</t>
  </si>
  <si>
    <t>EMP0018</t>
  </si>
  <si>
    <t>Finance</t>
  </si>
  <si>
    <t>Accountant</t>
  </si>
  <si>
    <t>EMP0019</t>
  </si>
  <si>
    <t>IT Support</t>
  </si>
  <si>
    <t>EMP0020</t>
  </si>
  <si>
    <t>EMP0021</t>
  </si>
  <si>
    <t>EMP0022</t>
  </si>
  <si>
    <t>EMP0023</t>
  </si>
  <si>
    <t>Marketing Manager</t>
  </si>
  <si>
    <t>EMP0024</t>
  </si>
  <si>
    <t>EMP0025</t>
  </si>
  <si>
    <t>EMP0026</t>
  </si>
  <si>
    <t>EMP0027</t>
  </si>
  <si>
    <t>EMP0028</t>
  </si>
  <si>
    <t>EMP0029</t>
  </si>
  <si>
    <t>Operations Executive</t>
  </si>
  <si>
    <t>EMP0030</t>
  </si>
  <si>
    <t>EMP0031</t>
  </si>
  <si>
    <t>EMP0032</t>
  </si>
  <si>
    <t>EMP0033</t>
  </si>
  <si>
    <t>EMP0034</t>
  </si>
  <si>
    <t>Financial Analyst</t>
  </si>
  <si>
    <t>EMP0035</t>
  </si>
  <si>
    <t>Recruiter</t>
  </si>
  <si>
    <t>EMP0036</t>
  </si>
  <si>
    <t>EMP0037</t>
  </si>
  <si>
    <t>EMP0038</t>
  </si>
  <si>
    <t>EMP0039</t>
  </si>
  <si>
    <t>EMP0040</t>
  </si>
  <si>
    <t>Finance Manager</t>
  </si>
  <si>
    <t>EMP0041</t>
  </si>
  <si>
    <t>EMP0042</t>
  </si>
  <si>
    <t>EMP0043</t>
  </si>
  <si>
    <t>EMP0044</t>
  </si>
  <si>
    <t>EMP0045</t>
  </si>
  <si>
    <t>EMP0046</t>
  </si>
  <si>
    <t>EMP0047</t>
  </si>
  <si>
    <t>EMP0048</t>
  </si>
  <si>
    <t>Digital Marketer</t>
  </si>
  <si>
    <t>EMP0049</t>
  </si>
  <si>
    <t>Data Analyst</t>
  </si>
  <si>
    <t>EMP0050</t>
  </si>
  <si>
    <t>EMP0051</t>
  </si>
  <si>
    <t>EMP0052</t>
  </si>
  <si>
    <t>EMP0053</t>
  </si>
  <si>
    <t>EMP0054</t>
  </si>
  <si>
    <t>EMP0055</t>
  </si>
  <si>
    <t>EMP0056</t>
  </si>
  <si>
    <t>EMP0057</t>
  </si>
  <si>
    <t>EMP0058</t>
  </si>
  <si>
    <t>EMP0059</t>
  </si>
  <si>
    <t>EMP0060</t>
  </si>
  <si>
    <t>EMP0061</t>
  </si>
  <si>
    <t>EMP0062</t>
  </si>
  <si>
    <t>EMP0063</t>
  </si>
  <si>
    <t>EMP0064</t>
  </si>
  <si>
    <t>EMP0065</t>
  </si>
  <si>
    <t>EMP0066</t>
  </si>
  <si>
    <t>EMP0067</t>
  </si>
  <si>
    <t>EMP0068</t>
  </si>
  <si>
    <t>EMP0069</t>
  </si>
  <si>
    <t>EMP0070</t>
  </si>
  <si>
    <t>EMP0071</t>
  </si>
  <si>
    <t>EMP0072</t>
  </si>
  <si>
    <t>EMP0073</t>
  </si>
  <si>
    <t>EMP0074</t>
  </si>
  <si>
    <t>EMP0075</t>
  </si>
  <si>
    <t>EMP0076</t>
  </si>
  <si>
    <t>EMP0077</t>
  </si>
  <si>
    <t>EMP0078</t>
  </si>
  <si>
    <t>EMP0079</t>
  </si>
  <si>
    <t>EMP0080</t>
  </si>
  <si>
    <t>EMP0081</t>
  </si>
  <si>
    <t>EMP0082</t>
  </si>
  <si>
    <t>EMP0083</t>
  </si>
  <si>
    <t>EMP0084</t>
  </si>
  <si>
    <t>EMP0085</t>
  </si>
  <si>
    <t>EMP0086</t>
  </si>
  <si>
    <t>EMP0087</t>
  </si>
  <si>
    <t>EMP0088</t>
  </si>
  <si>
    <t>EMP0089</t>
  </si>
  <si>
    <t>EMP0090</t>
  </si>
  <si>
    <t>EMP0091</t>
  </si>
  <si>
    <t>EMP0092</t>
  </si>
  <si>
    <t>EMP0093</t>
  </si>
  <si>
    <t>HR Executive</t>
  </si>
  <si>
    <t>EMP0094</t>
  </si>
  <si>
    <t>EMP0095</t>
  </si>
  <si>
    <t>EMP0096</t>
  </si>
  <si>
    <t>EMP0097</t>
  </si>
  <si>
    <t>EMP0098</t>
  </si>
  <si>
    <t>EMP0099</t>
  </si>
  <si>
    <t>EMP0100</t>
  </si>
  <si>
    <t>EMP0101</t>
  </si>
  <si>
    <t>EMP0102</t>
  </si>
  <si>
    <t>EMP0103</t>
  </si>
  <si>
    <t>EMP0104</t>
  </si>
  <si>
    <t>EMP0105</t>
  </si>
  <si>
    <t>EMP0106</t>
  </si>
  <si>
    <t>Software Engineer</t>
  </si>
  <si>
    <t>EMP0107</t>
  </si>
  <si>
    <t>EMP0108</t>
  </si>
  <si>
    <t>EMP0109</t>
  </si>
  <si>
    <t>EMP0110</t>
  </si>
  <si>
    <t>EMP0111</t>
  </si>
  <si>
    <t>EMP0112</t>
  </si>
  <si>
    <t>EMP0113</t>
  </si>
  <si>
    <t>EMP0114</t>
  </si>
  <si>
    <t>EMP0115</t>
  </si>
  <si>
    <t>EMP0116</t>
  </si>
  <si>
    <t>EMP0117</t>
  </si>
  <si>
    <t>EMP0118</t>
  </si>
  <si>
    <t>EMP0119</t>
  </si>
  <si>
    <t>EMP0120</t>
  </si>
  <si>
    <t>EMP0121</t>
  </si>
  <si>
    <t>EMP0122</t>
  </si>
  <si>
    <t>EMP0123</t>
  </si>
  <si>
    <t>EMP0124</t>
  </si>
  <si>
    <t>EMP0125</t>
  </si>
  <si>
    <t>EMP0126</t>
  </si>
  <si>
    <t>EMP0127</t>
  </si>
  <si>
    <t>EMP0128</t>
  </si>
  <si>
    <t>EMP0129</t>
  </si>
  <si>
    <t>EMP0130</t>
  </si>
  <si>
    <t>EMP0131</t>
  </si>
  <si>
    <t>EMP0132</t>
  </si>
  <si>
    <t>EMP0133</t>
  </si>
  <si>
    <t>EMP0134</t>
  </si>
  <si>
    <t>EMP0135</t>
  </si>
  <si>
    <t>EMP0136</t>
  </si>
  <si>
    <t>EMP0137</t>
  </si>
  <si>
    <t>EMP0138</t>
  </si>
  <si>
    <t>EMP0139</t>
  </si>
  <si>
    <t>EMP0140</t>
  </si>
  <si>
    <t>EMP0141</t>
  </si>
  <si>
    <t>EMP0142</t>
  </si>
  <si>
    <t>EMP0143</t>
  </si>
  <si>
    <t>EMP0144</t>
  </si>
  <si>
    <t>EMP0145</t>
  </si>
  <si>
    <t>EMP0146</t>
  </si>
  <si>
    <t>EMP0147</t>
  </si>
  <si>
    <t>EMP0148</t>
  </si>
  <si>
    <t>EMP0149</t>
  </si>
  <si>
    <t>EMP0150</t>
  </si>
  <si>
    <t>EMP0151</t>
  </si>
  <si>
    <t>EMP0152</t>
  </si>
  <si>
    <t>EMP0153</t>
  </si>
  <si>
    <t>EMP0154</t>
  </si>
  <si>
    <t>EMP0155</t>
  </si>
  <si>
    <t>EMP0156</t>
  </si>
  <si>
    <t>EMP0157</t>
  </si>
  <si>
    <t>EMP0158</t>
  </si>
  <si>
    <t>EMP0159</t>
  </si>
  <si>
    <t>EMP0160</t>
  </si>
  <si>
    <t>EMP0161</t>
  </si>
  <si>
    <t>EMP0162</t>
  </si>
  <si>
    <t>EMP0163</t>
  </si>
  <si>
    <t>EMP0164</t>
  </si>
  <si>
    <t>EMP0165</t>
  </si>
  <si>
    <t>EMP0166</t>
  </si>
  <si>
    <t>EMP0167</t>
  </si>
  <si>
    <t>EMP0168</t>
  </si>
  <si>
    <t>EMP0169</t>
  </si>
  <si>
    <t>EMP0170</t>
  </si>
  <si>
    <t>EMP0171</t>
  </si>
  <si>
    <t>EMP0172</t>
  </si>
  <si>
    <t>EMP0173</t>
  </si>
  <si>
    <t>EMP0174</t>
  </si>
  <si>
    <t>EMP0175</t>
  </si>
  <si>
    <t>EMP0176</t>
  </si>
  <si>
    <t>EMP0177</t>
  </si>
  <si>
    <t>EMP0178</t>
  </si>
  <si>
    <t>EMP0179</t>
  </si>
  <si>
    <t>EMP0180</t>
  </si>
  <si>
    <t>EMP0181</t>
  </si>
  <si>
    <t>EMP0182</t>
  </si>
  <si>
    <t>EMP0183</t>
  </si>
  <si>
    <t>EMP0184</t>
  </si>
  <si>
    <t>EMP0185</t>
  </si>
  <si>
    <t>EMP0186</t>
  </si>
  <si>
    <t>EMP0187</t>
  </si>
  <si>
    <t>EMP0188</t>
  </si>
  <si>
    <t>EMP0189</t>
  </si>
  <si>
    <t>EMP0190</t>
  </si>
  <si>
    <t>EMP0191</t>
  </si>
  <si>
    <t>EMP0192</t>
  </si>
  <si>
    <t>EMP0193</t>
  </si>
  <si>
    <t>EMP0194</t>
  </si>
  <si>
    <t>EMP0195</t>
  </si>
  <si>
    <t>EMP0196</t>
  </si>
  <si>
    <t>EMP0197</t>
  </si>
  <si>
    <t>EMP0198</t>
  </si>
  <si>
    <t>EMP0199</t>
  </si>
  <si>
    <t>EMP0200</t>
  </si>
  <si>
    <t>EMP0201</t>
  </si>
  <si>
    <t>EMP0202</t>
  </si>
  <si>
    <t>EMP0203</t>
  </si>
  <si>
    <t>EMP0204</t>
  </si>
  <si>
    <t>EMP0205</t>
  </si>
  <si>
    <t>EMP0206</t>
  </si>
  <si>
    <t>EMP0207</t>
  </si>
  <si>
    <t>EMP0208</t>
  </si>
  <si>
    <t>EMP0209</t>
  </si>
  <si>
    <t>EMP0210</t>
  </si>
  <si>
    <t>EMP0211</t>
  </si>
  <si>
    <t>EMP0212</t>
  </si>
  <si>
    <t>EMP0213</t>
  </si>
  <si>
    <t>EMP0214</t>
  </si>
  <si>
    <t>EMP0215</t>
  </si>
  <si>
    <t>EMP0216</t>
  </si>
  <si>
    <t>EMP0217</t>
  </si>
  <si>
    <t>EMP0218</t>
  </si>
  <si>
    <t>EMP0219</t>
  </si>
  <si>
    <t>EMP0220</t>
  </si>
  <si>
    <t>EMP0221</t>
  </si>
  <si>
    <t>EMP0222</t>
  </si>
  <si>
    <t>EMP0223</t>
  </si>
  <si>
    <t>EMP0224</t>
  </si>
  <si>
    <t>EMP0225</t>
  </si>
  <si>
    <t>EMP0226</t>
  </si>
  <si>
    <t>EMP0227</t>
  </si>
  <si>
    <t>EMP0228</t>
  </si>
  <si>
    <t>EMP0229</t>
  </si>
  <si>
    <t>EMP0230</t>
  </si>
  <si>
    <t>EMP0231</t>
  </si>
  <si>
    <t>EMP0232</t>
  </si>
  <si>
    <t>EMP0233</t>
  </si>
  <si>
    <t>EMP0234</t>
  </si>
  <si>
    <t>EMP0235</t>
  </si>
  <si>
    <t>EMP0236</t>
  </si>
  <si>
    <t>EMP0237</t>
  </si>
  <si>
    <t>EMP0238</t>
  </si>
  <si>
    <t>EMP0239</t>
  </si>
  <si>
    <t>EMP0240</t>
  </si>
  <si>
    <t>EMP0241</t>
  </si>
  <si>
    <t>EMP0242</t>
  </si>
  <si>
    <t>EMP0243</t>
  </si>
  <si>
    <t>EMP0244</t>
  </si>
  <si>
    <t>EMP0245</t>
  </si>
  <si>
    <t>EMP0246</t>
  </si>
  <si>
    <t>EMP0247</t>
  </si>
  <si>
    <t>EMP0248</t>
  </si>
  <si>
    <t>EMP0249</t>
  </si>
  <si>
    <t>EMP0250</t>
  </si>
  <si>
    <t>EMP0251</t>
  </si>
  <si>
    <t>EMP0252</t>
  </si>
  <si>
    <t>EMP0253</t>
  </si>
  <si>
    <t>EMP0254</t>
  </si>
  <si>
    <t>EMP0255</t>
  </si>
  <si>
    <t>EMP0256</t>
  </si>
  <si>
    <t>EMP0257</t>
  </si>
  <si>
    <t>EMP0258</t>
  </si>
  <si>
    <t>EMP0259</t>
  </si>
  <si>
    <t>EMP0260</t>
  </si>
  <si>
    <t>EMP0261</t>
  </si>
  <si>
    <t>EMP0262</t>
  </si>
  <si>
    <t>EMP0263</t>
  </si>
  <si>
    <t>EMP0264</t>
  </si>
  <si>
    <t>EMP0265</t>
  </si>
  <si>
    <t>EMP0266</t>
  </si>
  <si>
    <t>EMP0267</t>
  </si>
  <si>
    <t>EMP0268</t>
  </si>
  <si>
    <t>EMP0269</t>
  </si>
  <si>
    <t>EMP0270</t>
  </si>
  <si>
    <t>EMP0271</t>
  </si>
  <si>
    <t>EMP0272</t>
  </si>
  <si>
    <t>EMP0273</t>
  </si>
  <si>
    <t>EMP0274</t>
  </si>
  <si>
    <t>EMP0275</t>
  </si>
  <si>
    <t>EMP0276</t>
  </si>
  <si>
    <t>EMP0277</t>
  </si>
  <si>
    <t>EMP0278</t>
  </si>
  <si>
    <t>EMP0279</t>
  </si>
  <si>
    <t>EMP0280</t>
  </si>
  <si>
    <t>EMP0281</t>
  </si>
  <si>
    <t>EMP0282</t>
  </si>
  <si>
    <t>EMP0283</t>
  </si>
  <si>
    <t>EMP0284</t>
  </si>
  <si>
    <t>EMP0285</t>
  </si>
  <si>
    <t>EMP0286</t>
  </si>
  <si>
    <t>EMP0287</t>
  </si>
  <si>
    <t>EMP0288</t>
  </si>
  <si>
    <t>EMP0289</t>
  </si>
  <si>
    <t>EMP0290</t>
  </si>
  <si>
    <t>EMP0291</t>
  </si>
  <si>
    <t>EMP0292</t>
  </si>
  <si>
    <t>EMP0293</t>
  </si>
  <si>
    <t>EMP0294</t>
  </si>
  <si>
    <t>EMP0295</t>
  </si>
  <si>
    <t>EMP0296</t>
  </si>
  <si>
    <t>EMP0297</t>
  </si>
  <si>
    <t>EMP0298</t>
  </si>
  <si>
    <t>EMP0299</t>
  </si>
  <si>
    <t>EMP0300</t>
  </si>
  <si>
    <t>EMP0301</t>
  </si>
  <si>
    <t>EMP0302</t>
  </si>
  <si>
    <t>EMP0303</t>
  </si>
  <si>
    <t>EMP0304</t>
  </si>
  <si>
    <t>EMP0305</t>
  </si>
  <si>
    <t>EMP0306</t>
  </si>
  <si>
    <t>EMP0307</t>
  </si>
  <si>
    <t>EMP0308</t>
  </si>
  <si>
    <t>EMP0309</t>
  </si>
  <si>
    <t>EMP0310</t>
  </si>
  <si>
    <t>EMP0311</t>
  </si>
  <si>
    <t>EMP0312</t>
  </si>
  <si>
    <t>EMP0313</t>
  </si>
  <si>
    <t>EMP0314</t>
  </si>
  <si>
    <t>EMP0315</t>
  </si>
  <si>
    <t>EMP0316</t>
  </si>
  <si>
    <t>EMP0317</t>
  </si>
  <si>
    <t>EMP0318</t>
  </si>
  <si>
    <t>EMP0319</t>
  </si>
  <si>
    <t>EMP0320</t>
  </si>
  <si>
    <t>EMP0321</t>
  </si>
  <si>
    <t>EMP0322</t>
  </si>
  <si>
    <t>EMP0323</t>
  </si>
  <si>
    <t>EMP0324</t>
  </si>
  <si>
    <t>EMP0325</t>
  </si>
  <si>
    <t>EMP0326</t>
  </si>
  <si>
    <t>EMP0327</t>
  </si>
  <si>
    <t>EMP0328</t>
  </si>
  <si>
    <t>EMP0329</t>
  </si>
  <si>
    <t>EMP0330</t>
  </si>
  <si>
    <t>EMP0331</t>
  </si>
  <si>
    <t>EMP0332</t>
  </si>
  <si>
    <t>EMP0333</t>
  </si>
  <si>
    <t>EMP0334</t>
  </si>
  <si>
    <t>EMP0335</t>
  </si>
  <si>
    <t>EMP0336</t>
  </si>
  <si>
    <t>EMP0337</t>
  </si>
  <si>
    <t>EMP0338</t>
  </si>
  <si>
    <t>EMP0339</t>
  </si>
  <si>
    <t>EMP0340</t>
  </si>
  <si>
    <t>EMP0341</t>
  </si>
  <si>
    <t>EMP0342</t>
  </si>
  <si>
    <t>EMP0343</t>
  </si>
  <si>
    <t>EMP0344</t>
  </si>
  <si>
    <t>EMP0345</t>
  </si>
  <si>
    <t>EMP0346</t>
  </si>
  <si>
    <t>EMP0347</t>
  </si>
  <si>
    <t>EMP0348</t>
  </si>
  <si>
    <t>EMP0349</t>
  </si>
  <si>
    <t>EMP0350</t>
  </si>
  <si>
    <t>EMP0351</t>
  </si>
  <si>
    <t>EMP0352</t>
  </si>
  <si>
    <t>EMP0353</t>
  </si>
  <si>
    <t>EMP0354</t>
  </si>
  <si>
    <t>EMP0355</t>
  </si>
  <si>
    <t>EMP0356</t>
  </si>
  <si>
    <t>EMP0357</t>
  </si>
  <si>
    <t>EMP0358</t>
  </si>
  <si>
    <t>EMP0359</t>
  </si>
  <si>
    <t>EMP0360</t>
  </si>
  <si>
    <t>EMP0361</t>
  </si>
  <si>
    <t>EMP0362</t>
  </si>
  <si>
    <t>EMP0363</t>
  </si>
  <si>
    <t>EMP0364</t>
  </si>
  <si>
    <t>EMP0365</t>
  </si>
  <si>
    <t>EMP0366</t>
  </si>
  <si>
    <t>EMP0367</t>
  </si>
  <si>
    <t>EMP0368</t>
  </si>
  <si>
    <t>EMP0369</t>
  </si>
  <si>
    <t>EMP0370</t>
  </si>
  <si>
    <t>EMP0371</t>
  </si>
  <si>
    <t>EMP0372</t>
  </si>
  <si>
    <t>EMP0373</t>
  </si>
  <si>
    <t>EMP0374</t>
  </si>
  <si>
    <t>EMP0375</t>
  </si>
  <si>
    <t>EMP0376</t>
  </si>
  <si>
    <t>EMP0377</t>
  </si>
  <si>
    <t>EMP0378</t>
  </si>
  <si>
    <t>EMP0379</t>
  </si>
  <si>
    <t>EMP0380</t>
  </si>
  <si>
    <t>EMP0381</t>
  </si>
  <si>
    <t>EMP0382</t>
  </si>
  <si>
    <t>EMP0383</t>
  </si>
  <si>
    <t>EMP0384</t>
  </si>
  <si>
    <t>EMP0385</t>
  </si>
  <si>
    <t>EMP0386</t>
  </si>
  <si>
    <t>EMP0387</t>
  </si>
  <si>
    <t>EMP0388</t>
  </si>
  <si>
    <t>EMP0389</t>
  </si>
  <si>
    <t>EMP0390</t>
  </si>
  <si>
    <t>EMP0391</t>
  </si>
  <si>
    <t>EMP0392</t>
  </si>
  <si>
    <t>EMP0393</t>
  </si>
  <si>
    <t>EMP0394</t>
  </si>
  <si>
    <t>EMP0395</t>
  </si>
  <si>
    <t>EMP0396</t>
  </si>
  <si>
    <t>EMP0397</t>
  </si>
  <si>
    <t>EMP0398</t>
  </si>
  <si>
    <t>EMP0399</t>
  </si>
  <si>
    <t>EMP0400</t>
  </si>
  <si>
    <t>EMP0401</t>
  </si>
  <si>
    <t>EMP0402</t>
  </si>
  <si>
    <t>EMP0403</t>
  </si>
  <si>
    <t>EMP0404</t>
  </si>
  <si>
    <t>EMP0405</t>
  </si>
  <si>
    <t>EMP0406</t>
  </si>
  <si>
    <t>EMP0407</t>
  </si>
  <si>
    <t>EMP0408</t>
  </si>
  <si>
    <t>EMP0409</t>
  </si>
  <si>
    <t>EMP0410</t>
  </si>
  <si>
    <t>EMP0411</t>
  </si>
  <si>
    <t>EMP0412</t>
  </si>
  <si>
    <t>EMP0413</t>
  </si>
  <si>
    <t>EMP0414</t>
  </si>
  <si>
    <t>EMP0415</t>
  </si>
  <si>
    <t>EMP0416</t>
  </si>
  <si>
    <t>EMP0417</t>
  </si>
  <si>
    <t>EMP0418</t>
  </si>
  <si>
    <t>EMP0419</t>
  </si>
  <si>
    <t>EMP0420</t>
  </si>
  <si>
    <t>EMP0421</t>
  </si>
  <si>
    <t>EMP0422</t>
  </si>
  <si>
    <t>EMP0423</t>
  </si>
  <si>
    <t>EMP0424</t>
  </si>
  <si>
    <t>EMP0425</t>
  </si>
  <si>
    <t>EMP0426</t>
  </si>
  <si>
    <t>EMP0427</t>
  </si>
  <si>
    <t>EMP0428</t>
  </si>
  <si>
    <t>EMP0429</t>
  </si>
  <si>
    <t>EMP0430</t>
  </si>
  <si>
    <t>EMP0431</t>
  </si>
  <si>
    <t>EMP0432</t>
  </si>
  <si>
    <t>EMP0433</t>
  </si>
  <si>
    <t>EMP0434</t>
  </si>
  <si>
    <t>EMP0435</t>
  </si>
  <si>
    <t>EMP0436</t>
  </si>
  <si>
    <t>EMP0437</t>
  </si>
  <si>
    <t>EMP0438</t>
  </si>
  <si>
    <t>EMP0439</t>
  </si>
  <si>
    <t>EMP0440</t>
  </si>
  <si>
    <t>EMP0441</t>
  </si>
  <si>
    <t>EMP0442</t>
  </si>
  <si>
    <t>EMP0443</t>
  </si>
  <si>
    <t>EMP0444</t>
  </si>
  <si>
    <t>EMP0445</t>
  </si>
  <si>
    <t>EMP0446</t>
  </si>
  <si>
    <t>EMP0447</t>
  </si>
  <si>
    <t>EMP0448</t>
  </si>
  <si>
    <t>EMP0449</t>
  </si>
  <si>
    <t>EMP0450</t>
  </si>
  <si>
    <t>EMP0451</t>
  </si>
  <si>
    <t>EMP0452</t>
  </si>
  <si>
    <t>EMP0453</t>
  </si>
  <si>
    <t>EMP0454</t>
  </si>
  <si>
    <t>EMP0455</t>
  </si>
  <si>
    <t>EMP0456</t>
  </si>
  <si>
    <t>EMP0457</t>
  </si>
  <si>
    <t>EMP0458</t>
  </si>
  <si>
    <t>EMP0459</t>
  </si>
  <si>
    <t>EMP0460</t>
  </si>
  <si>
    <t>EMP0461</t>
  </si>
  <si>
    <t>EMP0462</t>
  </si>
  <si>
    <t>EMP0463</t>
  </si>
  <si>
    <t>EMP0464</t>
  </si>
  <si>
    <t>EMP0465</t>
  </si>
  <si>
    <t>EMP0466</t>
  </si>
  <si>
    <t>EMP0467</t>
  </si>
  <si>
    <t>EMP0468</t>
  </si>
  <si>
    <t>EMP0469</t>
  </si>
  <si>
    <t>EMP0470</t>
  </si>
  <si>
    <t>EMP0471</t>
  </si>
  <si>
    <t>EMP0472</t>
  </si>
  <si>
    <t>EMP0473</t>
  </si>
  <si>
    <t>EMP0474</t>
  </si>
  <si>
    <t>EMP0475</t>
  </si>
  <si>
    <t>EMP0476</t>
  </si>
  <si>
    <t>EMP0477</t>
  </si>
  <si>
    <t>EMP0478</t>
  </si>
  <si>
    <t>EMP0479</t>
  </si>
  <si>
    <t>EMP0480</t>
  </si>
  <si>
    <t>EMP0481</t>
  </si>
  <si>
    <t>EMP0482</t>
  </si>
  <si>
    <t>EMP0483</t>
  </si>
  <si>
    <t>EMP0484</t>
  </si>
  <si>
    <t>EMP0485</t>
  </si>
  <si>
    <t>EMP0486</t>
  </si>
  <si>
    <t>EMP0487</t>
  </si>
  <si>
    <t>EMP0488</t>
  </si>
  <si>
    <t>EMP0489</t>
  </si>
  <si>
    <t>EMP0490</t>
  </si>
  <si>
    <t>EMP0491</t>
  </si>
  <si>
    <t>EMP0492</t>
  </si>
  <si>
    <t>EMP0493</t>
  </si>
  <si>
    <t>EMP0494</t>
  </si>
  <si>
    <t>EMP0495</t>
  </si>
  <si>
    <t>EMP0496</t>
  </si>
  <si>
    <t>EMP0497</t>
  </si>
  <si>
    <t>EMP0498</t>
  </si>
  <si>
    <t>EMP0499</t>
  </si>
  <si>
    <t>EMP0500</t>
  </si>
  <si>
    <t>EMP0501</t>
  </si>
  <si>
    <t>EMP0502</t>
  </si>
  <si>
    <t>EMP0503</t>
  </si>
  <si>
    <t>EMP0504</t>
  </si>
  <si>
    <t>EMP0505</t>
  </si>
  <si>
    <t>EMP0506</t>
  </si>
  <si>
    <t>EMP0507</t>
  </si>
  <si>
    <t>EMP0508</t>
  </si>
  <si>
    <t>EMP0509</t>
  </si>
  <si>
    <t>EMP0510</t>
  </si>
  <si>
    <t>EMP0511</t>
  </si>
  <si>
    <t>EMP0512</t>
  </si>
  <si>
    <t>EMP0513</t>
  </si>
  <si>
    <t>EMP0514</t>
  </si>
  <si>
    <t>EMP0515</t>
  </si>
  <si>
    <t>EMP0516</t>
  </si>
  <si>
    <t>EMP0517</t>
  </si>
  <si>
    <t>EMP0518</t>
  </si>
  <si>
    <t>EMP0519</t>
  </si>
  <si>
    <t>EMP0520</t>
  </si>
  <si>
    <t>EMP0521</t>
  </si>
  <si>
    <t>EMP0522</t>
  </si>
  <si>
    <t>EMP0523</t>
  </si>
  <si>
    <t>EMP0524</t>
  </si>
  <si>
    <t>EMP0525</t>
  </si>
  <si>
    <t>EMP0526</t>
  </si>
  <si>
    <t>EMP0527</t>
  </si>
  <si>
    <t>EMP0528</t>
  </si>
  <si>
    <t>EMP0529</t>
  </si>
  <si>
    <t>EMP0530</t>
  </si>
  <si>
    <t>EMP0531</t>
  </si>
  <si>
    <t>EMP0532</t>
  </si>
  <si>
    <t>EMP0533</t>
  </si>
  <si>
    <t>EMP0534</t>
  </si>
  <si>
    <t>EMP0535</t>
  </si>
  <si>
    <t>EMP0536</t>
  </si>
  <si>
    <t>EMP0537</t>
  </si>
  <si>
    <t>EMP0538</t>
  </si>
  <si>
    <t>EMP0539</t>
  </si>
  <si>
    <t>EMP0540</t>
  </si>
  <si>
    <t>EMP0541</t>
  </si>
  <si>
    <t>EMP0542</t>
  </si>
  <si>
    <t>EMP0543</t>
  </si>
  <si>
    <t>EMP0544</t>
  </si>
  <si>
    <t>EMP0545</t>
  </si>
  <si>
    <t>EMP0546</t>
  </si>
  <si>
    <t>EMP0547</t>
  </si>
  <si>
    <t>EMP0548</t>
  </si>
  <si>
    <t>EMP0549</t>
  </si>
  <si>
    <t>EMP0550</t>
  </si>
  <si>
    <t>EMP0551</t>
  </si>
  <si>
    <t>EMP0552</t>
  </si>
  <si>
    <t>EMP0553</t>
  </si>
  <si>
    <t>EMP0554</t>
  </si>
  <si>
    <t>EMP0555</t>
  </si>
  <si>
    <t>EMP0556</t>
  </si>
  <si>
    <t>EMP0557</t>
  </si>
  <si>
    <t>EMP0558</t>
  </si>
  <si>
    <t>EMP0559</t>
  </si>
  <si>
    <t>EMP0560</t>
  </si>
  <si>
    <t>EMP0561</t>
  </si>
  <si>
    <t>EMP0562</t>
  </si>
  <si>
    <t>EMP0563</t>
  </si>
  <si>
    <t>EMP0564</t>
  </si>
  <si>
    <t>EMP0565</t>
  </si>
  <si>
    <t>EMP0566</t>
  </si>
  <si>
    <t>EMP0567</t>
  </si>
  <si>
    <t>EMP0568</t>
  </si>
  <si>
    <t>EMP0569</t>
  </si>
  <si>
    <t>EMP0570</t>
  </si>
  <si>
    <t>EMP0571</t>
  </si>
  <si>
    <t>EMP0572</t>
  </si>
  <si>
    <t>EMP0573</t>
  </si>
  <si>
    <t>EMP0574</t>
  </si>
  <si>
    <t>EMP0575</t>
  </si>
  <si>
    <t>EMP0576</t>
  </si>
  <si>
    <t>EMP0577</t>
  </si>
  <si>
    <t>EMP0578</t>
  </si>
  <si>
    <t>EMP0579</t>
  </si>
  <si>
    <t>EMP0580</t>
  </si>
  <si>
    <t>EMP0581</t>
  </si>
  <si>
    <t>EMP0582</t>
  </si>
  <si>
    <t>EMP0583</t>
  </si>
  <si>
    <t>EMP0584</t>
  </si>
  <si>
    <t>EMP0585</t>
  </si>
  <si>
    <t>EMP0586</t>
  </si>
  <si>
    <t>EMP0587</t>
  </si>
  <si>
    <t>EMP0588</t>
  </si>
  <si>
    <t>EMP0589</t>
  </si>
  <si>
    <t>EMP0590</t>
  </si>
  <si>
    <t>EMP0591</t>
  </si>
  <si>
    <t>EMP0592</t>
  </si>
  <si>
    <t>EMP0593</t>
  </si>
  <si>
    <t>EMP0594</t>
  </si>
  <si>
    <t>EMP0595</t>
  </si>
  <si>
    <t>EMP0596</t>
  </si>
  <si>
    <t>EMP0597</t>
  </si>
  <si>
    <t>EMP0598</t>
  </si>
  <si>
    <t>EMP0599</t>
  </si>
  <si>
    <t>EMP0600</t>
  </si>
  <si>
    <t>EMP0601</t>
  </si>
  <si>
    <t>EMP0602</t>
  </si>
  <si>
    <t>EMP0603</t>
  </si>
  <si>
    <t>EMP0604</t>
  </si>
  <si>
    <t>EMP0605</t>
  </si>
  <si>
    <t>EMP0606</t>
  </si>
  <si>
    <t>EMP0607</t>
  </si>
  <si>
    <t>EMP0608</t>
  </si>
  <si>
    <t>EMP0609</t>
  </si>
  <si>
    <t>EMP0610</t>
  </si>
  <si>
    <t>EMP0611</t>
  </si>
  <si>
    <t>EMP0612</t>
  </si>
  <si>
    <t>EMP0613</t>
  </si>
  <si>
    <t>EMP0614</t>
  </si>
  <si>
    <t>EMP0615</t>
  </si>
  <si>
    <t>EMP0616</t>
  </si>
  <si>
    <t>EMP0617</t>
  </si>
  <si>
    <t>EMP0618</t>
  </si>
  <si>
    <t>EMP0619</t>
  </si>
  <si>
    <t>EMP0620</t>
  </si>
  <si>
    <t>EMP0621</t>
  </si>
  <si>
    <t>EMP0622</t>
  </si>
  <si>
    <t>EMP0623</t>
  </si>
  <si>
    <t>EMP0624</t>
  </si>
  <si>
    <t>EMP0625</t>
  </si>
  <si>
    <t>EMP0626</t>
  </si>
  <si>
    <t>EMP0627</t>
  </si>
  <si>
    <t>EMP0628</t>
  </si>
  <si>
    <t>EMP0629</t>
  </si>
  <si>
    <t>EMP0630</t>
  </si>
  <si>
    <t>EMP0631</t>
  </si>
  <si>
    <t>EMP0632</t>
  </si>
  <si>
    <t>EMP0633</t>
  </si>
  <si>
    <t>EMP0634</t>
  </si>
  <si>
    <t>EMP0635</t>
  </si>
  <si>
    <t>EMP0636</t>
  </si>
  <si>
    <t>EMP0637</t>
  </si>
  <si>
    <t>EMP0638</t>
  </si>
  <si>
    <t>EMP0639</t>
  </si>
  <si>
    <t>EMP0640</t>
  </si>
  <si>
    <t>EMP0641</t>
  </si>
  <si>
    <t>EMP0642</t>
  </si>
  <si>
    <t>EMP0643</t>
  </si>
  <si>
    <t>EMP0644</t>
  </si>
  <si>
    <t>EMP0645</t>
  </si>
  <si>
    <t>EMP0646</t>
  </si>
  <si>
    <t>EMP0647</t>
  </si>
  <si>
    <t>EMP0648</t>
  </si>
  <si>
    <t>EMP0649</t>
  </si>
  <si>
    <t>EMP0650</t>
  </si>
  <si>
    <t>EMP0651</t>
  </si>
  <si>
    <t>EMP0652</t>
  </si>
  <si>
    <t>EMP0653</t>
  </si>
  <si>
    <t>EMP0654</t>
  </si>
  <si>
    <t>EMP0655</t>
  </si>
  <si>
    <t>EMP0656</t>
  </si>
  <si>
    <t>EMP0657</t>
  </si>
  <si>
    <t>EMP0658</t>
  </si>
  <si>
    <t>EMP0659</t>
  </si>
  <si>
    <t>EMP0660</t>
  </si>
  <si>
    <t>EMP0661</t>
  </si>
  <si>
    <t>EMP0662</t>
  </si>
  <si>
    <t>EMP0663</t>
  </si>
  <si>
    <t>EMP0664</t>
  </si>
  <si>
    <t>EMP0665</t>
  </si>
  <si>
    <t>EMP0666</t>
  </si>
  <si>
    <t>EMP0667</t>
  </si>
  <si>
    <t>EMP0668</t>
  </si>
  <si>
    <t>EMP0669</t>
  </si>
  <si>
    <t>EMP0670</t>
  </si>
  <si>
    <t>EMP0671</t>
  </si>
  <si>
    <t>EMP0672</t>
  </si>
  <si>
    <t>EMP0673</t>
  </si>
  <si>
    <t>EMP0674</t>
  </si>
  <si>
    <t>EMP0675</t>
  </si>
  <si>
    <t>EMP0676</t>
  </si>
  <si>
    <t>EMP0677</t>
  </si>
  <si>
    <t>EMP0678</t>
  </si>
  <si>
    <t>EMP0679</t>
  </si>
  <si>
    <t>EMP0680</t>
  </si>
  <si>
    <t>EMP0681</t>
  </si>
  <si>
    <t>EMP0682</t>
  </si>
  <si>
    <t>EMP0683</t>
  </si>
  <si>
    <t>EMP0684</t>
  </si>
  <si>
    <t>EMP0685</t>
  </si>
  <si>
    <t>EMP0686</t>
  </si>
  <si>
    <t>EMP0687</t>
  </si>
  <si>
    <t>EMP0688</t>
  </si>
  <si>
    <t>EMP0689</t>
  </si>
  <si>
    <t>EMP0690</t>
  </si>
  <si>
    <t>EMP0691</t>
  </si>
  <si>
    <t>EMP0692</t>
  </si>
  <si>
    <t>EMP0693</t>
  </si>
  <si>
    <t>EMP0694</t>
  </si>
  <si>
    <t>EMP0695</t>
  </si>
  <si>
    <t>EMP0696</t>
  </si>
  <si>
    <t>EMP0697</t>
  </si>
  <si>
    <t>EMP0698</t>
  </si>
  <si>
    <t>EMP0699</t>
  </si>
  <si>
    <t>EMP0700</t>
  </si>
  <si>
    <t>EMP0701</t>
  </si>
  <si>
    <t>EMP0702</t>
  </si>
  <si>
    <t>EMP0703</t>
  </si>
  <si>
    <t>EMP0704</t>
  </si>
  <si>
    <t>EMP0705</t>
  </si>
  <si>
    <t>EMP0706</t>
  </si>
  <si>
    <t>EMP0707</t>
  </si>
  <si>
    <t>EMP0708</t>
  </si>
  <si>
    <t>EMP0709</t>
  </si>
  <si>
    <t>EMP0710</t>
  </si>
  <si>
    <t>EMP0711</t>
  </si>
  <si>
    <t>EMP0712</t>
  </si>
  <si>
    <t>EMP0713</t>
  </si>
  <si>
    <t>EMP0714</t>
  </si>
  <si>
    <t>EMP0715</t>
  </si>
  <si>
    <t>EMP0716</t>
  </si>
  <si>
    <t>EMP0717</t>
  </si>
  <si>
    <t>EMP0718</t>
  </si>
  <si>
    <t>EMP0719</t>
  </si>
  <si>
    <t>EMP0720</t>
  </si>
  <si>
    <t>EMP0721</t>
  </si>
  <si>
    <t>EMP0722</t>
  </si>
  <si>
    <t>EMP0723</t>
  </si>
  <si>
    <t>EMP0724</t>
  </si>
  <si>
    <t>EMP0725</t>
  </si>
  <si>
    <t>EMP0726</t>
  </si>
  <si>
    <t>EMP0727</t>
  </si>
  <si>
    <t>EMP0728</t>
  </si>
  <si>
    <t>EMP0729</t>
  </si>
  <si>
    <t>EMP0730</t>
  </si>
  <si>
    <t>EMP0731</t>
  </si>
  <si>
    <t>EMP0732</t>
  </si>
  <si>
    <t>EMP0733</t>
  </si>
  <si>
    <t>EMP0734</t>
  </si>
  <si>
    <t>EMP0735</t>
  </si>
  <si>
    <t>EMP0736</t>
  </si>
  <si>
    <t>EMP0737</t>
  </si>
  <si>
    <t>EMP0738</t>
  </si>
  <si>
    <t>EMP0739</t>
  </si>
  <si>
    <t>EMP0740</t>
  </si>
  <si>
    <t>EMP0741</t>
  </si>
  <si>
    <t>EMP0742</t>
  </si>
  <si>
    <t>EMP0743</t>
  </si>
  <si>
    <t>EMP0744</t>
  </si>
  <si>
    <t>EMP0745</t>
  </si>
  <si>
    <t>EMP0746</t>
  </si>
  <si>
    <t>EMP0747</t>
  </si>
  <si>
    <t>EMP0748</t>
  </si>
  <si>
    <t>EMP0749</t>
  </si>
  <si>
    <t>EMP0750</t>
  </si>
  <si>
    <t>EMP0751</t>
  </si>
  <si>
    <t>EMP0752</t>
  </si>
  <si>
    <t>EMP0753</t>
  </si>
  <si>
    <t>EMP0754</t>
  </si>
  <si>
    <t>EMP0755</t>
  </si>
  <si>
    <t>EMP0756</t>
  </si>
  <si>
    <t>EMP0757</t>
  </si>
  <si>
    <t>EMP0758</t>
  </si>
  <si>
    <t>EMP0759</t>
  </si>
  <si>
    <t>EMP0760</t>
  </si>
  <si>
    <t>EMP0761</t>
  </si>
  <si>
    <t>EMP0762</t>
  </si>
  <si>
    <t>EMP0763</t>
  </si>
  <si>
    <t>EMP0764</t>
  </si>
  <si>
    <t>EMP0765</t>
  </si>
  <si>
    <t>EMP0766</t>
  </si>
  <si>
    <t>EMP0767</t>
  </si>
  <si>
    <t>EMP0768</t>
  </si>
  <si>
    <t>EMP0769</t>
  </si>
  <si>
    <t>EMP0770</t>
  </si>
  <si>
    <t>EMP0771</t>
  </si>
  <si>
    <t>EMP0772</t>
  </si>
  <si>
    <t>EMP0773</t>
  </si>
  <si>
    <t>EMP0774</t>
  </si>
  <si>
    <t>EMP0775</t>
  </si>
  <si>
    <t>EMP0776</t>
  </si>
  <si>
    <t>EMP0777</t>
  </si>
  <si>
    <t>EMP0778</t>
  </si>
  <si>
    <t>EMP0779</t>
  </si>
  <si>
    <t>EMP0780</t>
  </si>
  <si>
    <t>EMP0781</t>
  </si>
  <si>
    <t>EMP0782</t>
  </si>
  <si>
    <t>EMP0783</t>
  </si>
  <si>
    <t>EMP0784</t>
  </si>
  <si>
    <t>EMP0785</t>
  </si>
  <si>
    <t>EMP0786</t>
  </si>
  <si>
    <t>EMP0787</t>
  </si>
  <si>
    <t>EMP0788</t>
  </si>
  <si>
    <t>EMP0789</t>
  </si>
  <si>
    <t>EMP0790</t>
  </si>
  <si>
    <t>EMP0791</t>
  </si>
  <si>
    <t>EMP0792</t>
  </si>
  <si>
    <t>EMP0793</t>
  </si>
  <si>
    <t>EMP0794</t>
  </si>
  <si>
    <t>EMP0795</t>
  </si>
  <si>
    <t>EMP0796</t>
  </si>
  <si>
    <t>EMP0797</t>
  </si>
  <si>
    <t>EMP0798</t>
  </si>
  <si>
    <t>EMP0799</t>
  </si>
  <si>
    <t>EMP0800</t>
  </si>
  <si>
    <t>EMP0801</t>
  </si>
  <si>
    <t>EMP0802</t>
  </si>
  <si>
    <t>EMP0803</t>
  </si>
  <si>
    <t>EMP0804</t>
  </si>
  <si>
    <t>EMP0805</t>
  </si>
  <si>
    <t>EMP0806</t>
  </si>
  <si>
    <t>EMP0807</t>
  </si>
  <si>
    <t>EMP0808</t>
  </si>
  <si>
    <t>EMP0809</t>
  </si>
  <si>
    <t>EMP0810</t>
  </si>
  <si>
    <t>EMP0811</t>
  </si>
  <si>
    <t>EMP0812</t>
  </si>
  <si>
    <t>EMP0813</t>
  </si>
  <si>
    <t>EMP0814</t>
  </si>
  <si>
    <t>EMP0815</t>
  </si>
  <si>
    <t>EMP0816</t>
  </si>
  <si>
    <t>EMP0817</t>
  </si>
  <si>
    <t>EMP0818</t>
  </si>
  <si>
    <t>EMP0819</t>
  </si>
  <si>
    <t>EMP0820</t>
  </si>
  <si>
    <t>EMP0821</t>
  </si>
  <si>
    <t>EMP0822</t>
  </si>
  <si>
    <t>EMP0823</t>
  </si>
  <si>
    <t>EMP0824</t>
  </si>
  <si>
    <t>EMP0825</t>
  </si>
  <si>
    <t>EMP0826</t>
  </si>
  <si>
    <t>EMP0827</t>
  </si>
  <si>
    <t>EMP0828</t>
  </si>
  <si>
    <t>EMP0829</t>
  </si>
  <si>
    <t>EMP0830</t>
  </si>
  <si>
    <t>EMP0831</t>
  </si>
  <si>
    <t>EMP0832</t>
  </si>
  <si>
    <t>EMP0833</t>
  </si>
  <si>
    <t>EMP0834</t>
  </si>
  <si>
    <t>EMP0835</t>
  </si>
  <si>
    <t>EMP0836</t>
  </si>
  <si>
    <t>EMP0837</t>
  </si>
  <si>
    <t>EMP0838</t>
  </si>
  <si>
    <t>EMP0839</t>
  </si>
  <si>
    <t>EMP0840</t>
  </si>
  <si>
    <t>EMP0841</t>
  </si>
  <si>
    <t>EMP0842</t>
  </si>
  <si>
    <t>EMP0843</t>
  </si>
  <si>
    <t>EMP0844</t>
  </si>
  <si>
    <t>EMP0845</t>
  </si>
  <si>
    <t>EMP0846</t>
  </si>
  <si>
    <t>EMP0847</t>
  </si>
  <si>
    <t>EMP0848</t>
  </si>
  <si>
    <t>EMP0849</t>
  </si>
  <si>
    <t>EMP0850</t>
  </si>
  <si>
    <t>EMP0851</t>
  </si>
  <si>
    <t>EMP0852</t>
  </si>
  <si>
    <t>EMP0853</t>
  </si>
  <si>
    <t>EMP0854</t>
  </si>
  <si>
    <t>EMP0855</t>
  </si>
  <si>
    <t>EMP0856</t>
  </si>
  <si>
    <t>EMP0857</t>
  </si>
  <si>
    <t>EMP0858</t>
  </si>
  <si>
    <t>EMP0859</t>
  </si>
  <si>
    <t>EMP0860</t>
  </si>
  <si>
    <t>EMP0861</t>
  </si>
  <si>
    <t>EMP0862</t>
  </si>
  <si>
    <t>EMP0863</t>
  </si>
  <si>
    <t>EMP0864</t>
  </si>
  <si>
    <t>EMP0865</t>
  </si>
  <si>
    <t>EMP0866</t>
  </si>
  <si>
    <t>EMP0867</t>
  </si>
  <si>
    <t>EMP0868</t>
  </si>
  <si>
    <t>EMP0869</t>
  </si>
  <si>
    <t>EMP0870</t>
  </si>
  <si>
    <t>EMP0871</t>
  </si>
  <si>
    <t>EMP0872</t>
  </si>
  <si>
    <t>EMP0873</t>
  </si>
  <si>
    <t>EMP0874</t>
  </si>
  <si>
    <t>EMP0875</t>
  </si>
  <si>
    <t>EMP0876</t>
  </si>
  <si>
    <t>EMP0877</t>
  </si>
  <si>
    <t>EMP0878</t>
  </si>
  <si>
    <t>EMP0879</t>
  </si>
  <si>
    <t>EMP0880</t>
  </si>
  <si>
    <t>EMP0881</t>
  </si>
  <si>
    <t>EMP0882</t>
  </si>
  <si>
    <t>EMP0883</t>
  </si>
  <si>
    <t>EMP0884</t>
  </si>
  <si>
    <t>EMP0885</t>
  </si>
  <si>
    <t>EMP0886</t>
  </si>
  <si>
    <t>EMP0887</t>
  </si>
  <si>
    <t>EMP0888</t>
  </si>
  <si>
    <t>EMP0889</t>
  </si>
  <si>
    <t>EMP0890</t>
  </si>
  <si>
    <t>EMP0891</t>
  </si>
  <si>
    <t>EMP0892</t>
  </si>
  <si>
    <t>EMP0893</t>
  </si>
  <si>
    <t>EMP0894</t>
  </si>
  <si>
    <t>EMP0895</t>
  </si>
  <si>
    <t>EMP0896</t>
  </si>
  <si>
    <t>EMP0897</t>
  </si>
  <si>
    <t>EMP0898</t>
  </si>
  <si>
    <t>EMP0899</t>
  </si>
  <si>
    <t>EMP0900</t>
  </si>
  <si>
    <t>EMP0901</t>
  </si>
  <si>
    <t>EMP0902</t>
  </si>
  <si>
    <t>EMP0903</t>
  </si>
  <si>
    <t>EMP0904</t>
  </si>
  <si>
    <t>EMP0905</t>
  </si>
  <si>
    <t>EMP0906</t>
  </si>
  <si>
    <t>EMP0907</t>
  </si>
  <si>
    <t>EMP0908</t>
  </si>
  <si>
    <t>EMP0909</t>
  </si>
  <si>
    <t>EMP0910</t>
  </si>
  <si>
    <t>EMP0911</t>
  </si>
  <si>
    <t>EMP0912</t>
  </si>
  <si>
    <t>EMP0913</t>
  </si>
  <si>
    <t>EMP0914</t>
  </si>
  <si>
    <t>EMP0915</t>
  </si>
  <si>
    <t>EMP0916</t>
  </si>
  <si>
    <t>EMP0917</t>
  </si>
  <si>
    <t>EMP0918</t>
  </si>
  <si>
    <t>EMP0919</t>
  </si>
  <si>
    <t>EMP0920</t>
  </si>
  <si>
    <t>EMP0921</t>
  </si>
  <si>
    <t>EMP0922</t>
  </si>
  <si>
    <t>EMP0923</t>
  </si>
  <si>
    <t>EMP0924</t>
  </si>
  <si>
    <t>EMP0925</t>
  </si>
  <si>
    <t>EMP0926</t>
  </si>
  <si>
    <t>EMP0927</t>
  </si>
  <si>
    <t>EMP0928</t>
  </si>
  <si>
    <t>EMP0929</t>
  </si>
  <si>
    <t>EMP0930</t>
  </si>
  <si>
    <t>EMP0931</t>
  </si>
  <si>
    <t>EMP0932</t>
  </si>
  <si>
    <t>EMP0933</t>
  </si>
  <si>
    <t>EMP0934</t>
  </si>
  <si>
    <t>EMP0935</t>
  </si>
  <si>
    <t>EMP0936</t>
  </si>
  <si>
    <t>EMP0937</t>
  </si>
  <si>
    <t>EMP0938</t>
  </si>
  <si>
    <t>EMP0939</t>
  </si>
  <si>
    <t>EMP0940</t>
  </si>
  <si>
    <t>EMP0941</t>
  </si>
  <si>
    <t>EMP0942</t>
  </si>
  <si>
    <t>EMP0943</t>
  </si>
  <si>
    <t>EMP0944</t>
  </si>
  <si>
    <t>EMP0945</t>
  </si>
  <si>
    <t>EMP0946</t>
  </si>
  <si>
    <t>EMP0947</t>
  </si>
  <si>
    <t>EMP0948</t>
  </si>
  <si>
    <t>EMP0949</t>
  </si>
  <si>
    <t>EMP0950</t>
  </si>
  <si>
    <t>EMP0951</t>
  </si>
  <si>
    <t>EMP0952</t>
  </si>
  <si>
    <t>EMP0953</t>
  </si>
  <si>
    <t>EMP0954</t>
  </si>
  <si>
    <t>EMP0955</t>
  </si>
  <si>
    <t>EMP0956</t>
  </si>
  <si>
    <t>EMP0957</t>
  </si>
  <si>
    <t>EMP0958</t>
  </si>
  <si>
    <t>EMP0959</t>
  </si>
  <si>
    <t>EMP0960</t>
  </si>
  <si>
    <t>EMP0961</t>
  </si>
  <si>
    <t>EMP0962</t>
  </si>
  <si>
    <t>EMP0963</t>
  </si>
  <si>
    <t>EMP0964</t>
  </si>
  <si>
    <t>EMP0965</t>
  </si>
  <si>
    <t>EMP0966</t>
  </si>
  <si>
    <t>EMP0967</t>
  </si>
  <si>
    <t>EMP0968</t>
  </si>
  <si>
    <t>EMP0969</t>
  </si>
  <si>
    <t>EMP0970</t>
  </si>
  <si>
    <t>EMP0971</t>
  </si>
  <si>
    <t>EMP0972</t>
  </si>
  <si>
    <t>EMP0973</t>
  </si>
  <si>
    <t>EMP0974</t>
  </si>
  <si>
    <t>EMP0975</t>
  </si>
  <si>
    <t>EMP0976</t>
  </si>
  <si>
    <t>EMP0977</t>
  </si>
  <si>
    <t>EMP0978</t>
  </si>
  <si>
    <t>EMP0979</t>
  </si>
  <si>
    <t>EMP0980</t>
  </si>
  <si>
    <t>EMP0981</t>
  </si>
  <si>
    <t>EMP0982</t>
  </si>
  <si>
    <t>EMP0983</t>
  </si>
  <si>
    <t>EMP0984</t>
  </si>
  <si>
    <t>EMP0985</t>
  </si>
  <si>
    <t>EMP0986</t>
  </si>
  <si>
    <t>EMP0987</t>
  </si>
  <si>
    <t>EMP0988</t>
  </si>
  <si>
    <t>EMP0989</t>
  </si>
  <si>
    <t>EMP0990</t>
  </si>
  <si>
    <t>EMP0991</t>
  </si>
  <si>
    <t>EMP0992</t>
  </si>
  <si>
    <t>EMP0993</t>
  </si>
  <si>
    <t>EMP0994</t>
  </si>
  <si>
    <t>EMP0995</t>
  </si>
  <si>
    <t>EMP0996</t>
  </si>
  <si>
    <t>EMP0997</t>
  </si>
  <si>
    <t>EMP0998</t>
  </si>
  <si>
    <t>EMP0999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</si>
  <si>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</si>
  <si>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</si>
  <si>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</si>
  <si>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</si>
  <si>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</si>
  <si>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</si>
  <si>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</si>
  <si>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</si>
  <si>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</si>
  <si>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</si>
  <si>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</si>
  <si>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</si>
  <si>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</si>
  <si>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</si>
  <si>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</si>
  <si>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</si>
  <si>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</si>
  <si>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</si>
  <si>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</si>
  <si>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</si>
  <si>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</si>
  <si>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</si>
  <si>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</si>
  <si>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</si>
  <si>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</si>
  <si>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</si>
  <si>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</si>
  <si>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</si>
  <si>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</si>
  <si>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</si>
  <si>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</si>
  <si>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</si>
  <si>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</si>
  <si>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</si>
  <si>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</si>
  <si>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</si>
  <si>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</si>
  <si>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</si>
  <si>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</si>
  <si>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</si>
  <si>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</si>
  <si>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</si>
  <si>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</si>
  <si>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</si>
  <si>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</si>
  <si>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</si>
  <si>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</si>
  <si>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</si>
  <si>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</si>
  <si>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</si>
  <si>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</si>
  <si>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</si>
  <si>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</si>
  <si>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</si>
  <si>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</si>
  <si>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</si>
  <si>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</si>
  <si>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</si>
  <si>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</si>
  <si>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</si>
  <si>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</si>
  <si>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</si>
  <si>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</si>
  <si>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</si>
  <si>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</si>
  <si>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</si>
  <si>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</si>
  <si>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</si>
  <si>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</si>
  <si>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</si>
  <si>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</si>
  <si>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</si>
  <si>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</si>
  <si>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</si>
  <si>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</si>
  <si>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</si>
  <si>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</si>
  <si>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</si>
  <si>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</si>
  <si>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</si>
  <si>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</si>
  <si>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</si>
  <si>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</si>
  <si>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</si>
  <si>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</si>
  <si>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</si>
  <si>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</si>
  <si>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</si>
  <si>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</si>
  <si>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</si>
  <si>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</si>
  <si>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</si>
  <si>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</si>
  <si>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</si>
  <si>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</si>
  <si>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</si>
  <si>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</si>
  <si>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</si>
  <si>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</si>
  <si>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</si>
  <si>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</si>
  <si>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</si>
  <si>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</si>
  <si>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</si>
  <si>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</si>
  <si>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</si>
  <si>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</si>
  <si>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</si>
  <si>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</si>
  <si>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</si>
  <si>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</si>
  <si>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</si>
  <si>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</si>
  <si>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</si>
  <si>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</si>
  <si>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</si>
  <si>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</si>
  <si>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</si>
  <si>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</si>
  <si>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</si>
  <si>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</si>
  <si>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</si>
  <si>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</si>
  <si>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</si>
  <si>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</si>
  <si>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</si>
  <si>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</si>
  <si>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</si>
  <si>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</si>
  <si>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</si>
  <si>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</si>
  <si>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</si>
  <si>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</si>
  <si>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</si>
  <si>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</si>
  <si>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</si>
  <si>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</si>
  <si>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</si>
  <si>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</si>
  <si>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</si>
  <si>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</si>
  <si>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</si>
  <si>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</si>
  <si>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</si>
  <si>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</si>
  <si>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</si>
  <si>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</si>
  <si>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</si>
  <si>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</si>
  <si>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</si>
  <si>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EMP1150</t>
  </si>
  <si>
    <t>EMP1151</t>
  </si>
  <si>
    <t>EMP1152</t>
  </si>
  <si>
    <t>EMP1153</t>
  </si>
  <si>
    <t>EMP1154</t>
  </si>
  <si>
    <t>EMP1155</t>
  </si>
  <si>
    <t>EMP1156</t>
  </si>
  <si>
    <t>EMP1157</t>
  </si>
  <si>
    <t>EMP1158</t>
  </si>
  <si>
    <t>EMP1159</t>
  </si>
  <si>
    <t>EMP1160</t>
  </si>
  <si>
    <t>EMP1161</t>
  </si>
  <si>
    <t>EMP1162</t>
  </si>
  <si>
    <t>EMP1163</t>
  </si>
  <si>
    <t>EMP1164</t>
  </si>
  <si>
    <t>EMP1165</t>
  </si>
  <si>
    <t>EMP1166</t>
  </si>
  <si>
    <t>EMP1167</t>
  </si>
  <si>
    <t>EMP1168</t>
  </si>
  <si>
    <t>EMP1169</t>
  </si>
  <si>
    <t>EMP1170</t>
  </si>
  <si>
    <t>EMP1171</t>
  </si>
  <si>
    <t>EMP1172</t>
  </si>
  <si>
    <t>EMP1173</t>
  </si>
  <si>
    <t>EMP1174</t>
  </si>
  <si>
    <t>EMP1175</t>
  </si>
  <si>
    <t>EMP1176</t>
  </si>
  <si>
    <t>EMP1177</t>
  </si>
  <si>
    <t>EMP1178</t>
  </si>
  <si>
    <t>EMP1179</t>
  </si>
  <si>
    <t>EMP1180</t>
  </si>
  <si>
    <t>EMP1181</t>
  </si>
  <si>
    <t>EMP1182</t>
  </si>
  <si>
    <t>EMP1183</t>
  </si>
  <si>
    <t>EMP1184</t>
  </si>
  <si>
    <t>EMP1185</t>
  </si>
  <si>
    <t>EMP1186</t>
  </si>
  <si>
    <t>EMP1187</t>
  </si>
  <si>
    <t>EMP1188</t>
  </si>
  <si>
    <t>EMP1189</t>
  </si>
  <si>
    <t>EMP1190</t>
  </si>
  <si>
    <t>EMP1191</t>
  </si>
  <si>
    <t>EMP1192</t>
  </si>
  <si>
    <t>EMP1193</t>
  </si>
  <si>
    <t>EMP1194</t>
  </si>
  <si>
    <t>EMP1195</t>
  </si>
  <si>
    <t>EMP1196</t>
  </si>
  <si>
    <t>EMP1197</t>
  </si>
  <si>
    <t>EMP1198</t>
  </si>
  <si>
    <t>EMP1199</t>
  </si>
  <si>
    <t>EMP1200</t>
  </si>
  <si>
    <t>Unknown</t>
  </si>
  <si>
    <t>Employee ID</t>
  </si>
  <si>
    <t>Marital Status</t>
  </si>
  <si>
    <t>Years At Company</t>
  </si>
  <si>
    <t>Years In Current Role</t>
  </si>
  <si>
    <t>Job Satisfaction</t>
  </si>
  <si>
    <t>Work Life Balance</t>
  </si>
  <si>
    <t>Over Time</t>
  </si>
  <si>
    <t>Business Travel</t>
  </si>
  <si>
    <t>Performance Rating</t>
  </si>
  <si>
    <t>Training Times Last Year</t>
  </si>
  <si>
    <t>Promotion Last 5Years</t>
  </si>
  <si>
    <t>Grand Total</t>
  </si>
  <si>
    <t>Column Labels</t>
  </si>
  <si>
    <t>Employee Count</t>
  </si>
  <si>
    <t>Count of Employee ID</t>
  </si>
  <si>
    <t>Age Group</t>
  </si>
  <si>
    <t>25-34</t>
  </si>
  <si>
    <t>35-44</t>
  </si>
  <si>
    <t>45-54</t>
  </si>
  <si>
    <t>55+</t>
  </si>
  <si>
    <t>Under 25</t>
  </si>
  <si>
    <t xml:space="preserve"> Total Employee</t>
  </si>
  <si>
    <t>Employee Distribution by Age Group</t>
  </si>
  <si>
    <t>Total Employee</t>
  </si>
  <si>
    <t>Department-wise Employee Distribution</t>
  </si>
  <si>
    <t>Average of Monthly Income_INR</t>
  </si>
  <si>
    <t>Employee Distribution by Gender</t>
  </si>
  <si>
    <t>Average Monthly Income by Department</t>
  </si>
  <si>
    <t>Employee Distribution by Job Satisfaction</t>
  </si>
  <si>
    <t>Job Satisfaction Rating</t>
  </si>
  <si>
    <t>Work Life Balance Rating</t>
  </si>
  <si>
    <t>Employee Distribution by Work-Life Balance</t>
  </si>
  <si>
    <t>Job Role</t>
  </si>
  <si>
    <t>Job Role-wise Employee Attrition</t>
  </si>
  <si>
    <t>Employee count</t>
  </si>
  <si>
    <t>Age Group-wise Employee Attrition Analysis</t>
  </si>
  <si>
    <t>Tenure Group</t>
  </si>
  <si>
    <t>11+ Years</t>
  </si>
  <si>
    <t>1-2 Years</t>
  </si>
  <si>
    <t>3-5 Years</t>
  </si>
  <si>
    <t>6-10 Years</t>
  </si>
  <si>
    <t>Less than 1 Year</t>
  </si>
  <si>
    <t>Employee Attrition Analysis by Tenure</t>
  </si>
  <si>
    <t>Report Name</t>
  </si>
  <si>
    <t>Analysis Performed</t>
  </si>
  <si>
    <t>Main Columns Used</t>
  </si>
  <si>
    <t>Purpose</t>
  </si>
  <si>
    <t>Department_Attrition</t>
  </si>
  <si>
    <t>Department-wise employee attrition</t>
  </si>
  <si>
    <t>Department, Attrition, Employee ID</t>
  </si>
  <si>
    <t>Employee_Demographics</t>
  </si>
  <si>
    <t>Gender-wise employee distribution</t>
  </si>
  <si>
    <t>Gender, Employee ID</t>
  </si>
  <si>
    <t>Age_Group_Analysis</t>
  </si>
  <si>
    <t>Age-group-wise employee distribution</t>
  </si>
  <si>
    <t>Age Group, Employee ID</t>
  </si>
  <si>
    <t>Department_Employee_Count</t>
  </si>
  <si>
    <t>Department-wise employee count</t>
  </si>
  <si>
    <t>Department, Employee ID</t>
  </si>
  <si>
    <t>Department_Income_Analysis</t>
  </si>
  <si>
    <t>Department-wise average monthly income</t>
  </si>
  <si>
    <t>Department, Monthly Income_INR</t>
  </si>
  <si>
    <t>Job_Satisfaction_Analysis</t>
  </si>
  <si>
    <t>Job satisfaction rating distribution</t>
  </si>
  <si>
    <t>Job Satisfaction, Employee ID</t>
  </si>
  <si>
    <t>Work_Life_Balance</t>
  </si>
  <si>
    <t>Work-life balance rating distribution</t>
  </si>
  <si>
    <t>Work Life Balance, Employee ID</t>
  </si>
  <si>
    <t>JobRole_Attrition</t>
  </si>
  <si>
    <t>Job role-wise employee attrition</t>
  </si>
  <si>
    <t>JobRole, Attrition, Employee ID</t>
  </si>
  <si>
    <t>AgeGroup_Attrition</t>
  </si>
  <si>
    <t>Age-group-wise employee attrition</t>
  </si>
  <si>
    <t>Age Group, Attrition, Employee ID</t>
  </si>
  <si>
    <t>Tenure_Attrition</t>
  </si>
  <si>
    <t>Company tenure-wise employee attrition</t>
  </si>
  <si>
    <t>Tenure Group, Attrition, Employee ID</t>
  </si>
  <si>
    <t>Report No.</t>
  </si>
  <si>
    <t>HR ANALYTICS PROJECT — EXCEL REPORT SUMMARY</t>
  </si>
  <si>
    <t>Identify how many employees left the company in each department.</t>
  </si>
  <si>
    <t>Compare the number of male and female employees.</t>
  </si>
  <si>
    <t>Understand employee distribution across different age groups.</t>
  </si>
  <si>
    <t>Identify departments with the highest and lowest employee counts.</t>
  </si>
  <si>
    <t>Compare average monthly income across departments.</t>
  </si>
  <si>
    <t>Analyze the distribution of employee job satisfaction ratings.</t>
  </si>
  <si>
    <t>Analyze employee work-life balance ratings.</t>
  </si>
  <si>
    <t>Identify job roles with higher employee attrition.</t>
  </si>
  <si>
    <t>Compare employee attrition across different age groups.</t>
  </si>
  <si>
    <t>Analyze employee attrition based on years spent at the company.</t>
  </si>
  <si>
    <t>Monthly Income INR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</si>
</sst>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 x14ac:knownFonts="1">
    <font>
      <sz val="11"/>
      <color theme="1"/>
      <name val="Calibri"/>
      <family val="2"/>
      <scheme val="minor"/>
    </font>
    <font>
      <sz val="14"/>
      <name val="Amasis MT Pro"/>
      <family val="1"/>
    </font>
    <font>
      <sz val="14"/>
      <color theme="1"/>
      <name val="Amasis MT Pro"/>
      <family val="1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6"/>
      <color theme="1"/>
      <name val="Cambria"/>
      <family val="1"/>
      <scheme val="major"/>
    </font>
    <font>
      <b/>
      <sz val="20"/>
      <color theme="1"/>
      <name val="Cambria"/>
      <family val="1"/>
      <scheme val="major"/>
    </font>
    <font>
      <b/>
      <sz val="18"/>
      <color theme="1"/>
      <name val="Cambria"/>
      <family val="1"/>
      <scheme val="major"/>
    </font>
    <font>
      <sz val="12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4"/>
      <color theme="1"/>
      <name val="Cambria"/>
      <family val="1"/>
      <scheme val="major"/>
    </font>
    <font>
      <b/>
      <sz val="16"/>
      <color theme="0"/>
      <name val="Amasis MT Pro Medium"/>
      <family val="1"/>
    </font>
    <font>
      <b/>
      <sz val="36"/>
      <color theme="4"/>
      <name val="Algerian"/>
      <family val="5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49" fontId="2" fillId="0" borderId="0" xfId="0" applyNumberFormat="1" applyFont="1"/>
    <xf numFmtId="0" fontId="3" fillId="0" borderId="0" xfId="0" pivotButton="1" applyFont="1"/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0" xfId="0" pivotButton="1" applyFont="1"/>
    <xf numFmtId="0" fontId="4" fillId="0" borderId="0" xfId="0" applyFont="1"/>
    <xf numFmtId="0" fontId="4" fillId="0" borderId="0" xfId="0" applyFont="1" applyAlignment="1">
      <alignment horizontal="left"/>
    </xf>
    <xf numFmtId="0" fontId="5" fillId="0" borderId="0" xfId="0" pivotButton="1" applyFont="1"/>
    <xf numFmtId="0" fontId="5" fillId="0" borderId="0" xfId="0" applyFont="1"/>
    <xf numFmtId="0" fontId="5" fillId="0" borderId="0" xfId="0" applyFont="1" applyAlignment="1">
      <alignment horizontal="left"/>
    </xf>
    <xf numFmtId="0" fontId="6" fillId="0" borderId="0" xfId="0" pivotButton="1" applyFont="1"/>
    <xf numFmtId="0" fontId="6" fillId="0" borderId="0" xfId="0" applyFont="1"/>
    <xf numFmtId="0" fontId="6" fillId="0" borderId="0" xfId="0" applyFont="1" applyAlignment="1">
      <alignment horizontal="left"/>
    </xf>
    <xf numFmtId="164" fontId="4" fillId="0" borderId="0" xfId="0" applyNumberFormat="1" applyFont="1"/>
    <xf numFmtId="164" fontId="0" fillId="0" borderId="0" xfId="0" applyNumberFormat="1"/>
    <xf numFmtId="0" fontId="10" fillId="0" borderId="0" xfId="0" pivotButton="1" applyFont="1"/>
    <xf numFmtId="0" fontId="10" fillId="0" borderId="0" xfId="0" applyFont="1"/>
    <xf numFmtId="0" fontId="10" fillId="0" borderId="0" xfId="0" applyFont="1" applyAlignment="1">
      <alignment horizontal="left"/>
    </xf>
    <xf numFmtId="0" fontId="12" fillId="0" borderId="0" xfId="0" applyFont="1" applyAlignment="1">
      <alignment horizontal="right" vertical="center" wrapText="1"/>
    </xf>
    <xf numFmtId="0" fontId="12" fillId="0" borderId="0" xfId="0" applyFont="1" applyAlignment="1">
      <alignment vertical="center" wrapText="1"/>
    </xf>
    <xf numFmtId="0" fontId="13" fillId="2" borderId="0" xfId="0" applyFont="1" applyFill="1" applyAlignment="1">
      <alignment horizontal="right" vertical="center" wrapText="1"/>
    </xf>
    <xf numFmtId="0" fontId="13" fillId="2" borderId="0" xfId="0" applyFont="1" applyFill="1" applyAlignment="1">
      <alignment horizontal="center" vertical="center" wrapText="1"/>
    </xf>
    <xf numFmtId="0" fontId="1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1" fillId="0" borderId="0" xfId="0" applyFont="1" applyAlignment="1">
      <alignment horizontal="center"/>
    </xf>
  </cellXfs>
  <cellStyles count="1">
    <cellStyle name="Normal" xfId="0" builtinId="0"/>
  </cellStyles>
  <dxfs count="94"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2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numFmt numFmtId="164" formatCode="0.0"/>
    </dxf>
    <dxf>
      <numFmt numFmtId="2" formatCode="0.00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numFmt numFmtId="2" formatCode="0.00"/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b val="0"/>
        <strike val="0"/>
        <outline val="0"/>
        <shadow val="0"/>
        <u val="none"/>
        <vertAlign val="baseline"/>
        <sz val="14"/>
        <name val="Amasis MT Pro"/>
        <family val="1"/>
        <scheme val="none"/>
      </font>
    </dxf>
    <dxf>
      <font>
        <b val="0"/>
        <strike val="0"/>
        <outline val="0"/>
        <shadow val="0"/>
        <u val="none"/>
        <vertAlign val="baseline"/>
        <sz val="14"/>
        <name val="Amasis MT Pro"/>
        <family val="1"/>
        <scheme val="none"/>
      </font>
      <numFmt numFmtId="30" formatCode="@"/>
    </dxf>
    <dxf>
      <font>
        <b val="0"/>
        <strike val="0"/>
        <outline val="0"/>
        <shadow val="0"/>
        <u val="none"/>
        <vertAlign val="baseline"/>
        <sz val="14"/>
        <name val="Amasis MT Pro"/>
        <family val="1"/>
        <scheme val="none"/>
      </font>
      <numFmt numFmtId="30" formatCode="@"/>
    </dxf>
    <dxf>
      <font>
        <b val="0"/>
        <strike val="0"/>
        <outline val="0"/>
        <shadow val="0"/>
        <u val="none"/>
        <vertAlign val="baseline"/>
        <sz val="14"/>
        <name val="Amasis MT Pro"/>
        <family val="1"/>
        <scheme val="none"/>
      </font>
    </dxf>
    <dxf>
      <font>
        <b val="0"/>
        <strike val="0"/>
        <outline val="0"/>
        <shadow val="0"/>
        <u val="none"/>
        <vertAlign val="baseline"/>
        <sz val="14"/>
        <name val="Amasis MT Pro"/>
        <family val="1"/>
        <scheme val="none"/>
      </font>
    </dxf>
    <dxf>
      <font>
        <b val="0"/>
        <strike val="0"/>
        <outline val="0"/>
        <shadow val="0"/>
        <u val="none"/>
        <vertAlign val="baseline"/>
        <sz val="14"/>
        <name val="Amasis MT Pro"/>
        <family val="1"/>
        <scheme val="none"/>
      </font>
    </dxf>
    <dxf>
      <font>
        <b val="0"/>
        <strike val="0"/>
        <outline val="0"/>
        <shadow val="0"/>
        <u val="none"/>
        <vertAlign val="baseline"/>
        <sz val="14"/>
        <name val="Amasis MT Pro"/>
        <family val="1"/>
        <scheme val="none"/>
      </font>
    </dxf>
    <dxf>
      <font>
        <b val="0"/>
        <strike val="0"/>
        <outline val="0"/>
        <shadow val="0"/>
        <u val="none"/>
        <vertAlign val="baseline"/>
        <sz val="14"/>
        <name val="Amasis MT Pro"/>
        <family val="1"/>
        <scheme val="none"/>
      </font>
    </dxf>
    <dxf>
      <font>
        <b val="0"/>
        <strike val="0"/>
        <outline val="0"/>
        <shadow val="0"/>
        <u val="none"/>
        <vertAlign val="baseline"/>
        <sz val="14"/>
        <name val="Amasis MT Pro"/>
        <family val="1"/>
        <scheme val="none"/>
      </font>
    </dxf>
    <dxf>
      <font>
        <b val="0"/>
        <strike val="0"/>
        <outline val="0"/>
        <shadow val="0"/>
        <u val="none"/>
        <vertAlign val="baseline"/>
        <sz val="14"/>
        <name val="Amasis MT Pro"/>
        <family val="1"/>
        <scheme val="none"/>
      </font>
    </dxf>
    <dxf>
      <font>
        <b val="0"/>
        <strike val="0"/>
        <outline val="0"/>
        <shadow val="0"/>
        <u val="none"/>
        <vertAlign val="baseline"/>
        <sz val="14"/>
        <name val="Amasis MT Pro"/>
        <family val="1"/>
        <scheme val="none"/>
      </font>
    </dxf>
    <dxf>
      <font>
        <b val="0"/>
        <strike val="0"/>
        <outline val="0"/>
        <shadow val="0"/>
        <u val="none"/>
        <vertAlign val="baseline"/>
        <sz val="14"/>
        <name val="Amasis MT Pro"/>
        <family val="1"/>
        <scheme val="none"/>
      </font>
    </dxf>
    <dxf>
      <font>
        <b val="0"/>
        <strike val="0"/>
        <outline val="0"/>
        <shadow val="0"/>
        <u val="none"/>
        <vertAlign val="baseline"/>
        <sz val="14"/>
        <name val="Amasis MT Pro"/>
        <family val="1"/>
        <scheme val="none"/>
      </font>
    </dxf>
    <dxf>
      <font>
        <b val="0"/>
        <strike val="0"/>
        <outline val="0"/>
        <shadow val="0"/>
        <u val="none"/>
        <vertAlign val="baseline"/>
        <sz val="14"/>
        <name val="Amasis MT Pro"/>
        <family val="1"/>
        <scheme val="none"/>
      </font>
    </dxf>
    <dxf>
      <font>
        <b val="0"/>
        <strike val="0"/>
        <outline val="0"/>
        <shadow val="0"/>
        <u val="none"/>
        <vertAlign val="baseline"/>
        <sz val="14"/>
        <name val="Amasis MT Pro"/>
        <family val="1"/>
        <scheme val="none"/>
      </font>
    </dxf>
    <dxf>
      <font>
        <b val="0"/>
        <strike val="0"/>
        <outline val="0"/>
        <shadow val="0"/>
        <u val="none"/>
        <vertAlign val="baseline"/>
        <sz val="14"/>
        <name val="Amasis MT Pro"/>
        <family val="1"/>
        <scheme val="none"/>
      </font>
    </dxf>
    <dxf>
      <font>
        <b val="0"/>
        <strike val="0"/>
        <outline val="0"/>
        <shadow val="0"/>
        <u val="none"/>
        <vertAlign val="baseline"/>
        <sz val="14"/>
        <name val="Amasis MT Pro"/>
        <family val="1"/>
        <scheme val="none"/>
      </font>
    </dxf>
    <dxf>
      <font>
        <b val="0"/>
        <strike val="0"/>
        <outline val="0"/>
        <shadow val="0"/>
        <u val="none"/>
        <vertAlign val="baseline"/>
        <sz val="14"/>
        <name val="Amasis MT Pro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masis MT Pro"/>
        <family val="1"/>
        <scheme val="none"/>
      </font>
    </dxf>
    <dxf>
      <font>
        <b val="0"/>
        <strike val="0"/>
        <outline val="0"/>
        <shadow val="0"/>
        <u val="none"/>
        <vertAlign val="baseline"/>
        <sz val="14"/>
        <name val="Amasis MT Pro"/>
        <family val="1"/>
        <scheme val="none"/>
      </font>
    </dxf>
    <dxf>
      <border outline="0">
        <top style="thin">
          <color auto="1"/>
        </top>
      </border>
    </dxf>
    <dxf>
      <font>
        <b val="0"/>
        <strike val="0"/>
        <outline val="0"/>
        <shadow val="0"/>
        <u val="none"/>
        <vertAlign val="baseline"/>
        <sz val="14"/>
        <name val="Amasis MT Pro"/>
        <family val="1"/>
        <scheme val="none"/>
      </font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masis MT Pro"/>
        <family val="1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[HR_Analytics_Employee.xlsx]Department_Attrition!PivotTable1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0" baseline="0">
                <a:ln w="0"/>
                <a:solidFill>
                  <a:schemeClr val="lt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400" b="0" i="0" u="none" strike="noStrike" cap="none" baseline="0">
                <a:solidFill>
                  <a:schemeClr val="lt1"/>
                </a:solidFill>
                <a:effectLst>
                  <a:outerShdw blurRad="38100" dist="19050" dir="2700000" algn="tl" rotWithShape="0">
                    <a:sysClr val="windowText" lastClr="000000">
                      <a:alpha val="40000"/>
                    </a:sysClr>
                  </a:outerShdw>
                </a:effectLst>
                <a:latin typeface="+mj-lt"/>
                <a:ea typeface="+mn-ea"/>
                <a:cs typeface="+mn-cs"/>
              </a:rPr>
              <a:t>Department-wise Employee Attrition Count</a:t>
            </a:r>
            <a:endParaRPr lang="en-US" b="0">
              <a:latin typeface="+mj-lt"/>
            </a:endParaRPr>
          </a:p>
        </c:rich>
      </c:tx>
      <c:overlay val="0"/>
      <c:spPr>
        <a:gradFill rotWithShape="1">
          <a:gsLst>
            <a:gs pos="0">
              <a:schemeClr val="accent1">
                <a:shade val="51000"/>
                <a:satMod val="130000"/>
              </a:schemeClr>
            </a:gs>
            <a:gs pos="80000">
              <a:schemeClr val="accent1">
                <a:shade val="93000"/>
                <a:satMod val="130000"/>
              </a:schemeClr>
            </a:gs>
            <a:gs pos="100000">
              <a:schemeClr val="accent1">
                <a:shade val="94000"/>
                <a:satMod val="135000"/>
              </a:schemeClr>
            </a:gs>
          </a:gsLst>
          <a:lin ang="16200000" scaled="0"/>
        </a:gradFill>
        <a:ln w="9525" cap="flat" cmpd="sng" algn="ctr">
          <a:solidFill>
            <a:schemeClr val="accent1">
              <a:shade val="95000"/>
              <a:satMod val="105000"/>
            </a:schemeClr>
          </a:solidFill>
          <a:prstDash val="solid"/>
        </a:ln>
        <a:effectLst>
          <a:glow rad="63500">
            <a:schemeClr val="accent1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0" baseline="0">
              <a:ln w="0"/>
              <a:solidFill>
                <a:schemeClr val="lt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Department_Attrition!$B$3:$B$4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Department_Attrition!$A$5:$A$11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Department_Attrition!$B$5:$B$11</c:f>
              <c:numCache>
                <c:formatCode>General</c:formatCode>
                <c:ptCount val="6"/>
                <c:pt idx="0">
                  <c:v>131</c:v>
                </c:pt>
                <c:pt idx="1">
                  <c:v>85</c:v>
                </c:pt>
                <c:pt idx="2">
                  <c:v>198</c:v>
                </c:pt>
                <c:pt idx="3">
                  <c:v>150</c:v>
                </c:pt>
                <c:pt idx="4">
                  <c:v>249</c:v>
                </c:pt>
                <c:pt idx="5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A4-4BE6-A48C-41523FCDE3C0}"/>
            </c:ext>
          </c:extLst>
        </c:ser>
        <c:ser>
          <c:idx val="1"/>
          <c:order val="1"/>
          <c:tx>
            <c:strRef>
              <c:f>Department_Attrition!$C$3:$C$4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Department_Attrition!$A$5:$A$11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Department_Attrition!$C$5:$C$11</c:f>
              <c:numCache>
                <c:formatCode>General</c:formatCode>
                <c:ptCount val="6"/>
                <c:pt idx="0">
                  <c:v>20</c:v>
                </c:pt>
                <c:pt idx="1">
                  <c:v>6</c:v>
                </c:pt>
                <c:pt idx="2">
                  <c:v>28</c:v>
                </c:pt>
                <c:pt idx="3">
                  <c:v>27</c:v>
                </c:pt>
                <c:pt idx="4">
                  <c:v>27</c:v>
                </c:pt>
                <c:pt idx="5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9A4-4BE6-A48C-41523FCDE3C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39490911"/>
        <c:axId val="1024828911"/>
      </c:barChart>
      <c:catAx>
        <c:axId val="1039490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4828911"/>
        <c:crosses val="autoZero"/>
        <c:auto val="1"/>
        <c:lblAlgn val="ctr"/>
        <c:lblOffset val="100"/>
        <c:noMultiLvlLbl val="0"/>
      </c:catAx>
      <c:valAx>
        <c:axId val="1024828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9490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0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[HR_Analytics_Employee.xlsx]Employee_Demographics!PivotTable1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00" b="0" i="0" u="none" strike="noStrike" kern="1200" cap="none" spc="0" baseline="0">
                <a:ln w="0"/>
                <a:solidFill>
                  <a:schemeClr val="lt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800" b="0">
                <a:solidFill>
                  <a:schemeClr val="lt1"/>
                </a:solidFill>
                <a:latin typeface="+mj-lt"/>
                <a:ea typeface="+mn-ea"/>
                <a:cs typeface="+mn-cs"/>
              </a:rPr>
              <a:t>Employee Distribution by Gender</a:t>
            </a:r>
          </a:p>
          <a:p>
            <a:pPr algn="ctr" rtl="0">
              <a:defRPr>
                <a:solidFill>
                  <a:schemeClr val="lt1"/>
                </a:solidFill>
              </a:defRPr>
            </a:pPr>
            <a:endParaRPr lang="en-US"/>
          </a:p>
        </c:rich>
      </c:tx>
      <c:layout>
        <c:manualLayout>
          <c:xMode val="edge"/>
          <c:yMode val="edge"/>
          <c:x val="0.11124110811236933"/>
          <c:y val="2.2779043280182234E-2"/>
        </c:manualLayout>
      </c:layout>
      <c:overlay val="0"/>
      <c:spPr>
        <a:gradFill rotWithShape="1">
          <a:gsLst>
            <a:gs pos="0">
              <a:schemeClr val="accent1">
                <a:shade val="51000"/>
                <a:satMod val="130000"/>
              </a:schemeClr>
            </a:gs>
            <a:gs pos="80000">
              <a:schemeClr val="accent1">
                <a:shade val="93000"/>
                <a:satMod val="130000"/>
              </a:schemeClr>
            </a:gs>
            <a:gs pos="100000">
              <a:schemeClr val="accent1">
                <a:shade val="94000"/>
                <a:satMod val="135000"/>
              </a:schemeClr>
            </a:gs>
          </a:gsLst>
          <a:lin ang="16200000" scaled="0"/>
        </a:gradFill>
        <a:ln w="9525" cap="flat" cmpd="sng" algn="ctr">
          <a:solidFill>
            <a:schemeClr val="accent1">
              <a:shade val="95000"/>
              <a:satMod val="105000"/>
            </a:schemeClr>
          </a:solidFill>
          <a:prstDash val="solid"/>
        </a:ln>
        <a:effectLst>
          <a:glow rad="63500">
            <a:schemeClr val="accent1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c:spPr>
      <c:txPr>
        <a:bodyPr rot="0" spcFirstLastPara="1" vertOverflow="ellipsis" vert="horz" wrap="square" anchor="ctr" anchorCtr="1"/>
        <a:lstStyle/>
        <a:p>
          <a:pPr algn="ctr" rtl="0">
            <a:defRPr sz="1400" b="0" i="0" u="none" strike="noStrike" kern="1200" cap="none" spc="0" baseline="0">
              <a:ln w="0"/>
              <a:solidFill>
                <a:schemeClr val="lt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7.9505300353356886E-2"/>
              <c:y val="-0.1428571428571427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9.7173144876325113E-2"/>
              <c:y val="-6.349206349206348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Employee_Demographics!$B$4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6EEA-4D76-865F-1C2884CB004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EEA-4D76-865F-1C2884CB004B}"/>
              </c:ext>
            </c:extLst>
          </c:dPt>
          <c:dLbls>
            <c:dLbl>
              <c:idx val="0"/>
              <c:layout>
                <c:manualLayout>
                  <c:x val="7.9505300353356886E-2"/>
                  <c:y val="-0.14285714285714279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EA-4D76-865F-1C2884CB004B}"/>
                </c:ext>
              </c:extLst>
            </c:dLbl>
            <c:dLbl>
              <c:idx val="1"/>
              <c:layout>
                <c:manualLayout>
                  <c:x val="-9.7173144876325113E-2"/>
                  <c:y val="-6.3492063492063489E-2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EA-4D76-865F-1C2884CB004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Employee_Demographics!$A$5:$A$7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Employee_Demographics!$B$5:$B$7</c:f>
              <c:numCache>
                <c:formatCode>General</c:formatCode>
                <c:ptCount val="2"/>
                <c:pt idx="0">
                  <c:v>591</c:v>
                </c:pt>
                <c:pt idx="1">
                  <c:v>609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EA-4D76-865F-1C2884CB004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0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[HR_Analytics_Employee.xlsx]Age_Group_Analysis!PivotTable2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0" baseline="0">
                <a:ln w="0"/>
                <a:solidFill>
                  <a:schemeClr val="lt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lt1"/>
                </a:solidFill>
                <a:latin typeface="+mj-lt"/>
                <a:ea typeface="+mn-ea"/>
                <a:cs typeface="+mn-cs"/>
              </a:rPr>
              <a:t>Employee Distribution by Age Group</a:t>
            </a:r>
            <a:endParaRPr lang="en-US" sz="1600" b="1">
              <a:latin typeface="+mj-lt"/>
            </a:endParaRPr>
          </a:p>
        </c:rich>
      </c:tx>
      <c:overlay val="0"/>
      <c:spPr>
        <a:gradFill rotWithShape="1">
          <a:gsLst>
            <a:gs pos="0">
              <a:schemeClr val="accent1">
                <a:shade val="51000"/>
                <a:satMod val="130000"/>
              </a:schemeClr>
            </a:gs>
            <a:gs pos="80000">
              <a:schemeClr val="accent1">
                <a:shade val="93000"/>
                <a:satMod val="130000"/>
              </a:schemeClr>
            </a:gs>
            <a:gs pos="100000">
              <a:schemeClr val="accent1">
                <a:shade val="94000"/>
                <a:satMod val="135000"/>
              </a:schemeClr>
            </a:gs>
          </a:gsLst>
          <a:lin ang="16200000" scaled="0"/>
        </a:gradFill>
        <a:ln w="9525" cap="flat" cmpd="sng" algn="ctr">
          <a:solidFill>
            <a:schemeClr val="accent1">
              <a:shade val="95000"/>
              <a:satMod val="105000"/>
            </a:schemeClr>
          </a:solidFill>
          <a:prstDash val="solid"/>
        </a:ln>
        <a:effectLst>
          <a:glow rad="63500">
            <a:schemeClr val="accent1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0" baseline="0">
              <a:ln w="0"/>
              <a:solidFill>
                <a:schemeClr val="lt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Age_Group_Analysis!$B$4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Age_Group_Analysis!$A$5:$A$10</c:f>
              <c:strCache>
                <c:ptCount val="5"/>
                <c:pt idx="0">
                  <c:v>35-44</c:v>
                </c:pt>
                <c:pt idx="1">
                  <c:v>25-34</c:v>
                </c:pt>
                <c:pt idx="2">
                  <c:v>Under 25</c:v>
                </c:pt>
                <c:pt idx="3">
                  <c:v>45-54</c:v>
                </c:pt>
                <c:pt idx="4">
                  <c:v>55+</c:v>
                </c:pt>
              </c:strCache>
            </c:strRef>
          </c:cat>
          <c:val>
            <c:numRef>
              <c:f>Age_Group_Analysis!$B$5:$B$10</c:f>
              <c:numCache>
                <c:formatCode>General</c:formatCode>
                <c:ptCount val="5"/>
                <c:pt idx="0">
                  <c:v>471</c:v>
                </c:pt>
                <c:pt idx="1">
                  <c:v>464</c:v>
                </c:pt>
                <c:pt idx="2">
                  <c:v>140</c:v>
                </c:pt>
                <c:pt idx="3">
                  <c:v>116</c:v>
                </c:pt>
                <c:pt idx="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8C-44F4-9D4C-3C91FEED000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72562143"/>
        <c:axId val="1493887599"/>
      </c:barChart>
      <c:catAx>
        <c:axId val="1872562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3887599"/>
        <c:crosses val="autoZero"/>
        <c:auto val="1"/>
        <c:lblAlgn val="ctr"/>
        <c:lblOffset val="100"/>
        <c:noMultiLvlLbl val="0"/>
      </c:catAx>
      <c:valAx>
        <c:axId val="1493887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2562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0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[HR_Analytics_Employee.xlsx]Department_Employee_Count!PivotTable3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0" baseline="0">
                <a:ln w="0"/>
                <a:solidFill>
                  <a:schemeClr val="lt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400" b="1">
                <a:solidFill>
                  <a:schemeClr val="lt1"/>
                </a:solidFill>
                <a:latin typeface="+mj-lt"/>
                <a:ea typeface="+mn-ea"/>
                <a:cs typeface="+mn-cs"/>
              </a:rPr>
              <a:t>Department-wise Employee Distribution</a:t>
            </a:r>
            <a:endParaRPr lang="en-US" sz="1400" b="1">
              <a:latin typeface="+mj-lt"/>
            </a:endParaRPr>
          </a:p>
        </c:rich>
      </c:tx>
      <c:overlay val="0"/>
      <c:spPr>
        <a:gradFill rotWithShape="1">
          <a:gsLst>
            <a:gs pos="0">
              <a:schemeClr val="accent1">
                <a:shade val="51000"/>
                <a:satMod val="130000"/>
              </a:schemeClr>
            </a:gs>
            <a:gs pos="80000">
              <a:schemeClr val="accent1">
                <a:shade val="93000"/>
                <a:satMod val="130000"/>
              </a:schemeClr>
            </a:gs>
            <a:gs pos="100000">
              <a:schemeClr val="accent1">
                <a:shade val="94000"/>
                <a:satMod val="135000"/>
              </a:schemeClr>
            </a:gs>
          </a:gsLst>
          <a:lin ang="16200000" scaled="0"/>
        </a:gradFill>
        <a:ln w="9525" cap="flat" cmpd="sng" algn="ctr">
          <a:solidFill>
            <a:schemeClr val="accent1">
              <a:shade val="95000"/>
              <a:satMod val="105000"/>
            </a:schemeClr>
          </a:solidFill>
          <a:prstDash val="solid"/>
        </a:ln>
        <a:effectLst>
          <a:glow rad="63500">
            <a:schemeClr val="accent1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0" baseline="0">
              <a:ln w="0"/>
              <a:solidFill>
                <a:schemeClr val="lt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Department_Employee_Count!$B$5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Department_Employee_Count!$A$6:$A$12</c:f>
              <c:strCache>
                <c:ptCount val="6"/>
                <c:pt idx="0">
                  <c:v>HR</c:v>
                </c:pt>
                <c:pt idx="1">
                  <c:v>Finance</c:v>
                </c:pt>
                <c:pt idx="2">
                  <c:v>Marketing</c:v>
                </c:pt>
                <c:pt idx="3">
                  <c:v>IT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Department_Employee_Count!$B$6:$B$12</c:f>
              <c:numCache>
                <c:formatCode>General</c:formatCode>
                <c:ptCount val="6"/>
                <c:pt idx="0">
                  <c:v>91</c:v>
                </c:pt>
                <c:pt idx="1">
                  <c:v>151</c:v>
                </c:pt>
                <c:pt idx="2">
                  <c:v>177</c:v>
                </c:pt>
                <c:pt idx="3">
                  <c:v>226</c:v>
                </c:pt>
                <c:pt idx="4">
                  <c:v>276</c:v>
                </c:pt>
                <c:pt idx="5">
                  <c:v>279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1B-449C-BA86-B847E226C9F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28399375"/>
        <c:axId val="1493875599"/>
      </c:barChart>
      <c:catAx>
        <c:axId val="2128399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3875599"/>
        <c:crosses val="autoZero"/>
        <c:auto val="1"/>
        <c:lblAlgn val="ctr"/>
        <c:lblOffset val="100"/>
        <c:noMultiLvlLbl val="0"/>
      </c:catAx>
      <c:valAx>
        <c:axId val="1493875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8399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0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[HR_Analytics_Employee.xlsx]Department_Income_Analysis!PivotTable4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0" baseline="0">
                <a:ln w="0"/>
                <a:solidFill>
                  <a:schemeClr val="lt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lt1"/>
                </a:solidFill>
                <a:latin typeface="+mj-lt"/>
                <a:ea typeface="+mn-ea"/>
                <a:cs typeface="+mn-cs"/>
              </a:rPr>
              <a:t>Average Monthly Income by Department</a:t>
            </a:r>
            <a:endParaRPr lang="en-US" b="1">
              <a:solidFill>
                <a:sysClr val="window" lastClr="FFFFFF"/>
              </a:solidFill>
              <a:latin typeface="+mj-lt"/>
              <a:ea typeface="+mn-ea"/>
              <a:cs typeface="+mn-cs"/>
            </a:endParaRPr>
          </a:p>
        </c:rich>
      </c:tx>
      <c:overlay val="0"/>
      <c:spPr>
        <a:gradFill rotWithShape="1">
          <a:gsLst>
            <a:gs pos="0">
              <a:schemeClr val="accent1">
                <a:shade val="51000"/>
                <a:satMod val="130000"/>
              </a:schemeClr>
            </a:gs>
            <a:gs pos="80000">
              <a:schemeClr val="accent1">
                <a:shade val="93000"/>
                <a:satMod val="130000"/>
              </a:schemeClr>
            </a:gs>
            <a:gs pos="100000">
              <a:schemeClr val="accent1">
                <a:shade val="94000"/>
                <a:satMod val="135000"/>
              </a:schemeClr>
            </a:gs>
          </a:gsLst>
          <a:lin ang="16200000" scaled="0"/>
        </a:gradFill>
        <a:ln w="9525" cap="flat" cmpd="sng" algn="ctr">
          <a:solidFill>
            <a:schemeClr val="accent1">
              <a:shade val="95000"/>
              <a:satMod val="105000"/>
            </a:schemeClr>
          </a:solidFill>
          <a:prstDash val="solid"/>
        </a:ln>
        <a:effectLst>
          <a:glow rad="63500">
            <a:schemeClr val="accent1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0" baseline="0">
              <a:ln w="0"/>
              <a:solidFill>
                <a:schemeClr val="lt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Department_Income_Analysis!$B$4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Department_Income_Analysis!$A$5:$A$11</c:f>
              <c:strCache>
                <c:ptCount val="6"/>
                <c:pt idx="0">
                  <c:v>Marketing</c:v>
                </c:pt>
                <c:pt idx="1">
                  <c:v>Finance</c:v>
                </c:pt>
                <c:pt idx="2">
                  <c:v>Sales</c:v>
                </c:pt>
                <c:pt idx="3">
                  <c:v>HR</c:v>
                </c:pt>
                <c:pt idx="4">
                  <c:v>Operations</c:v>
                </c:pt>
                <c:pt idx="5">
                  <c:v>IT</c:v>
                </c:pt>
              </c:strCache>
            </c:strRef>
          </c:cat>
          <c:val>
            <c:numRef>
              <c:f>Department_Income_Analysis!$B$5:$B$11</c:f>
              <c:numCache>
                <c:formatCode>0.0</c:formatCode>
                <c:ptCount val="6"/>
                <c:pt idx="0">
                  <c:v>68093.977401129945</c:v>
                </c:pt>
                <c:pt idx="1">
                  <c:v>66767.748344370862</c:v>
                </c:pt>
                <c:pt idx="2">
                  <c:v>65484.329749103941</c:v>
                </c:pt>
                <c:pt idx="3">
                  <c:v>64578.26373626374</c:v>
                </c:pt>
                <c:pt idx="4">
                  <c:v>64459.355072463768</c:v>
                </c:pt>
                <c:pt idx="5">
                  <c:v>64134.097345132745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C0-4546-A7A6-B8D044762E5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872524559"/>
        <c:axId val="1493942319"/>
      </c:barChart>
      <c:catAx>
        <c:axId val="18725245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3942319"/>
        <c:crosses val="autoZero"/>
        <c:auto val="1"/>
        <c:lblAlgn val="ctr"/>
        <c:lblOffset val="100"/>
        <c:noMultiLvlLbl val="0"/>
      </c:catAx>
      <c:valAx>
        <c:axId val="1493942319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crossAx val="1872524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0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[HR_Analytics_Employee.xlsx]Job_Satisfaction_Analysis!PivotTable5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0" baseline="0">
                <a:ln w="0"/>
                <a:solidFill>
                  <a:schemeClr val="lt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lt1"/>
                </a:solidFill>
                <a:latin typeface="+mj-lt"/>
                <a:ea typeface="+mn-ea"/>
                <a:cs typeface="+mn-cs"/>
              </a:rPr>
              <a:t>Employee Distribution by Job Satisfaction</a:t>
            </a:r>
            <a:endParaRPr lang="en-US" b="1">
              <a:latin typeface="+mj-lt"/>
            </a:endParaRPr>
          </a:p>
        </c:rich>
      </c:tx>
      <c:overlay val="0"/>
      <c:spPr>
        <a:gradFill rotWithShape="1">
          <a:gsLst>
            <a:gs pos="0">
              <a:schemeClr val="accent1">
                <a:shade val="51000"/>
                <a:satMod val="130000"/>
              </a:schemeClr>
            </a:gs>
            <a:gs pos="80000">
              <a:schemeClr val="accent1">
                <a:shade val="93000"/>
                <a:satMod val="130000"/>
              </a:schemeClr>
            </a:gs>
            <a:gs pos="100000">
              <a:schemeClr val="accent1">
                <a:shade val="94000"/>
                <a:satMod val="135000"/>
              </a:schemeClr>
            </a:gs>
          </a:gsLst>
          <a:lin ang="16200000" scaled="0"/>
        </a:gradFill>
        <a:ln w="9525" cap="flat" cmpd="sng" algn="ctr">
          <a:solidFill>
            <a:schemeClr val="accent1">
              <a:shade val="95000"/>
              <a:satMod val="105000"/>
            </a:schemeClr>
          </a:solidFill>
          <a:prstDash val="solid"/>
        </a:ln>
        <a:effectLst>
          <a:glow rad="63500">
            <a:schemeClr val="accent1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0" baseline="0">
              <a:ln w="0"/>
              <a:solidFill>
                <a:schemeClr val="lt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Job_Satisfaction_Analysis!$B$5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Job_Satisfaction_Analysis!$A$6:$A$10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Job_Satisfaction_Analysis!$B$6:$B$10</c:f>
              <c:numCache>
                <c:formatCode>General</c:formatCode>
                <c:ptCount val="4"/>
                <c:pt idx="0">
                  <c:v>127</c:v>
                </c:pt>
                <c:pt idx="1">
                  <c:v>266</c:v>
                </c:pt>
                <c:pt idx="2">
                  <c:v>497</c:v>
                </c:pt>
                <c:pt idx="3">
                  <c:v>310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8E-4C36-8F34-3136B92D969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4372383"/>
        <c:axId val="1815997775"/>
      </c:barChart>
      <c:catAx>
        <c:axId val="154372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5997775"/>
        <c:crosses val="autoZero"/>
        <c:auto val="1"/>
        <c:lblAlgn val="ctr"/>
        <c:lblOffset val="100"/>
        <c:noMultiLvlLbl val="0"/>
      </c:catAx>
      <c:valAx>
        <c:axId val="1815997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372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0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[HR_Analytics_Employee.xlsx]Work_Life_Balance!PivotTable6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0" baseline="0">
                <a:ln w="0"/>
                <a:solidFill>
                  <a:schemeClr val="lt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b="0">
                <a:solidFill>
                  <a:schemeClr val="lt1"/>
                </a:solidFill>
                <a:latin typeface="+mn-lt"/>
                <a:ea typeface="+mn-ea"/>
                <a:cs typeface="+mn-cs"/>
              </a:rPr>
              <a:t>Employee Distribution by Work-Life Balance</a:t>
            </a:r>
            <a:endParaRPr lang="en-US" b="0">
              <a:latin typeface="+mn-lt"/>
            </a:endParaRPr>
          </a:p>
        </c:rich>
      </c:tx>
      <c:overlay val="0"/>
      <c:spPr>
        <a:gradFill rotWithShape="1">
          <a:gsLst>
            <a:gs pos="0">
              <a:schemeClr val="accent1">
                <a:shade val="51000"/>
                <a:satMod val="130000"/>
              </a:schemeClr>
            </a:gs>
            <a:gs pos="80000">
              <a:schemeClr val="accent1">
                <a:shade val="93000"/>
                <a:satMod val="130000"/>
              </a:schemeClr>
            </a:gs>
            <a:gs pos="100000">
              <a:schemeClr val="accent1">
                <a:shade val="94000"/>
                <a:satMod val="135000"/>
              </a:schemeClr>
            </a:gs>
          </a:gsLst>
          <a:lin ang="16200000" scaled="0"/>
        </a:gradFill>
        <a:ln w="9525" cap="flat" cmpd="sng" algn="ctr">
          <a:solidFill>
            <a:schemeClr val="accent1">
              <a:shade val="95000"/>
              <a:satMod val="105000"/>
            </a:schemeClr>
          </a:solidFill>
          <a:prstDash val="solid"/>
        </a:ln>
        <a:effectLst>
          <a:glow rad="63500">
            <a:schemeClr val="accent1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0" baseline="0">
              <a:ln w="0"/>
              <a:solidFill>
                <a:schemeClr val="lt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Work_Life_Balance!$B$5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Work_Life_Balance!$A$6:$A$10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Work_Life_Balance!$B$6:$B$10</c:f>
              <c:numCache>
                <c:formatCode>General</c:formatCode>
                <c:ptCount val="4"/>
                <c:pt idx="0">
                  <c:v>114</c:v>
                </c:pt>
                <c:pt idx="1">
                  <c:v>318</c:v>
                </c:pt>
                <c:pt idx="2">
                  <c:v>501</c:v>
                </c:pt>
                <c:pt idx="3">
                  <c:v>267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AF-4A2B-944B-5E8F92418E2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4370063"/>
        <c:axId val="1815961295"/>
      </c:barChart>
      <c:catAx>
        <c:axId val="154370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5961295"/>
        <c:crosses val="autoZero"/>
        <c:auto val="1"/>
        <c:lblAlgn val="ctr"/>
        <c:lblOffset val="100"/>
        <c:noMultiLvlLbl val="0"/>
      </c:catAx>
      <c:valAx>
        <c:axId val="1815961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370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0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[HR_Analytics_Employee.xlsx]JobRole_Attrition!PivotTable1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0" baseline="0">
                <a:ln w="0"/>
                <a:solidFill>
                  <a:schemeClr val="lt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lt1"/>
                </a:solidFill>
                <a:latin typeface="+mn-lt"/>
                <a:ea typeface="+mn-ea"/>
                <a:cs typeface="+mn-cs"/>
              </a:rPr>
              <a:t>Employee Attrition by Job Role</a:t>
            </a:r>
            <a:endParaRPr lang="en-US" b="1">
              <a:latin typeface="+mj-lt"/>
            </a:endParaRPr>
          </a:p>
        </c:rich>
      </c:tx>
      <c:overlay val="0"/>
      <c:spPr>
        <a:gradFill rotWithShape="1">
          <a:gsLst>
            <a:gs pos="0">
              <a:schemeClr val="accent1">
                <a:shade val="51000"/>
                <a:satMod val="130000"/>
              </a:schemeClr>
            </a:gs>
            <a:gs pos="80000">
              <a:schemeClr val="accent1">
                <a:shade val="93000"/>
                <a:satMod val="130000"/>
              </a:schemeClr>
            </a:gs>
            <a:gs pos="100000">
              <a:schemeClr val="accent1">
                <a:shade val="94000"/>
                <a:satMod val="135000"/>
              </a:schemeClr>
            </a:gs>
          </a:gsLst>
          <a:lin ang="16200000" scaled="0"/>
        </a:gradFill>
        <a:ln w="9525" cap="flat" cmpd="sng" algn="ctr">
          <a:solidFill>
            <a:schemeClr val="accent1">
              <a:shade val="95000"/>
              <a:satMod val="105000"/>
            </a:schemeClr>
          </a:solidFill>
          <a:prstDash val="solid"/>
        </a:ln>
        <a:effectLst>
          <a:glow rad="63500">
            <a:schemeClr val="accent1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0" baseline="0">
              <a:ln w="0"/>
              <a:solidFill>
                <a:schemeClr val="lt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JobRole_Attrition!$B$3:$B$4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JobRole_Attrition!$A$5:$A$24</c:f>
              <c:strCache>
                <c:ptCount val="19"/>
                <c:pt idx="0">
                  <c:v>Logistics Coordinator</c:v>
                </c:pt>
                <c:pt idx="1">
                  <c:v>Sales Executive</c:v>
                </c:pt>
                <c:pt idx="2">
                  <c:v>Account Manager</c:v>
                </c:pt>
                <c:pt idx="3">
                  <c:v>Operations Manager</c:v>
                </c:pt>
                <c:pt idx="4">
                  <c:v>Sales Manager</c:v>
                </c:pt>
                <c:pt idx="5">
                  <c:v>Operations Executive</c:v>
                </c:pt>
                <c:pt idx="6">
                  <c:v>Data Analyst</c:v>
                </c:pt>
                <c:pt idx="7">
                  <c:v>Marketing Executive</c:v>
                </c:pt>
                <c:pt idx="8">
                  <c:v>Digital Marketer</c:v>
                </c:pt>
                <c:pt idx="9">
                  <c:v>Accountant</c:v>
                </c:pt>
                <c:pt idx="10">
                  <c:v>Software Engineer</c:v>
                </c:pt>
                <c:pt idx="11">
                  <c:v>Financial Analyst</c:v>
                </c:pt>
                <c:pt idx="12">
                  <c:v>IT Support</c:v>
                </c:pt>
                <c:pt idx="13">
                  <c:v>IT Manager</c:v>
                </c:pt>
                <c:pt idx="14">
                  <c:v>Marketing Manager</c:v>
                </c:pt>
                <c:pt idx="15">
                  <c:v>Finance Manager</c:v>
                </c:pt>
                <c:pt idx="16">
                  <c:v>Recruiter</c:v>
                </c:pt>
                <c:pt idx="17">
                  <c:v>HR Executive</c:v>
                </c:pt>
                <c:pt idx="18">
                  <c:v>HR Manager</c:v>
                </c:pt>
              </c:strCache>
            </c:strRef>
          </c:cat>
          <c:val>
            <c:numRef>
              <c:f>JobRole_Attrition!$B$5:$B$24</c:f>
              <c:numCache>
                <c:formatCode>General</c:formatCode>
                <c:ptCount val="19"/>
                <c:pt idx="0">
                  <c:v>96</c:v>
                </c:pt>
                <c:pt idx="1">
                  <c:v>90</c:v>
                </c:pt>
                <c:pt idx="2">
                  <c:v>80</c:v>
                </c:pt>
                <c:pt idx="3">
                  <c:v>78</c:v>
                </c:pt>
                <c:pt idx="4">
                  <c:v>80</c:v>
                </c:pt>
                <c:pt idx="5">
                  <c:v>75</c:v>
                </c:pt>
                <c:pt idx="6">
                  <c:v>61</c:v>
                </c:pt>
                <c:pt idx="7">
                  <c:v>54</c:v>
                </c:pt>
                <c:pt idx="8">
                  <c:v>52</c:v>
                </c:pt>
                <c:pt idx="9">
                  <c:v>50</c:v>
                </c:pt>
                <c:pt idx="10">
                  <c:v>44</c:v>
                </c:pt>
                <c:pt idx="11">
                  <c:v>49</c:v>
                </c:pt>
                <c:pt idx="12">
                  <c:v>46</c:v>
                </c:pt>
                <c:pt idx="13">
                  <c:v>47</c:v>
                </c:pt>
                <c:pt idx="14">
                  <c:v>44</c:v>
                </c:pt>
                <c:pt idx="15">
                  <c:v>32</c:v>
                </c:pt>
                <c:pt idx="16">
                  <c:v>32</c:v>
                </c:pt>
                <c:pt idx="17">
                  <c:v>28</c:v>
                </c:pt>
                <c:pt idx="18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E4-4348-9AFA-CB632C78C4A1}"/>
            </c:ext>
          </c:extLst>
        </c:ser>
        <c:ser>
          <c:idx val="1"/>
          <c:order val="1"/>
          <c:tx>
            <c:strRef>
              <c:f>JobRole_Attrition!$C$3:$C$4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JobRole_Attrition!$A$5:$A$24</c:f>
              <c:strCache>
                <c:ptCount val="19"/>
                <c:pt idx="0">
                  <c:v>Logistics Coordinator</c:v>
                </c:pt>
                <c:pt idx="1">
                  <c:v>Sales Executive</c:v>
                </c:pt>
                <c:pt idx="2">
                  <c:v>Account Manager</c:v>
                </c:pt>
                <c:pt idx="3">
                  <c:v>Operations Manager</c:v>
                </c:pt>
                <c:pt idx="4">
                  <c:v>Sales Manager</c:v>
                </c:pt>
                <c:pt idx="5">
                  <c:v>Operations Executive</c:v>
                </c:pt>
                <c:pt idx="6">
                  <c:v>Data Analyst</c:v>
                </c:pt>
                <c:pt idx="7">
                  <c:v>Marketing Executive</c:v>
                </c:pt>
                <c:pt idx="8">
                  <c:v>Digital Marketer</c:v>
                </c:pt>
                <c:pt idx="9">
                  <c:v>Accountant</c:v>
                </c:pt>
                <c:pt idx="10">
                  <c:v>Software Engineer</c:v>
                </c:pt>
                <c:pt idx="11">
                  <c:v>Financial Analyst</c:v>
                </c:pt>
                <c:pt idx="12">
                  <c:v>IT Support</c:v>
                </c:pt>
                <c:pt idx="13">
                  <c:v>IT Manager</c:v>
                </c:pt>
                <c:pt idx="14">
                  <c:v>Marketing Manager</c:v>
                </c:pt>
                <c:pt idx="15">
                  <c:v>Finance Manager</c:v>
                </c:pt>
                <c:pt idx="16">
                  <c:v>Recruiter</c:v>
                </c:pt>
                <c:pt idx="17">
                  <c:v>HR Executive</c:v>
                </c:pt>
                <c:pt idx="18">
                  <c:v>HR Manager</c:v>
                </c:pt>
              </c:strCache>
            </c:strRef>
          </c:cat>
          <c:val>
            <c:numRef>
              <c:f>JobRole_Attrition!$C$5:$C$24</c:f>
              <c:numCache>
                <c:formatCode>General</c:formatCode>
                <c:ptCount val="19"/>
                <c:pt idx="0">
                  <c:v>10</c:v>
                </c:pt>
                <c:pt idx="1">
                  <c:v>11</c:v>
                </c:pt>
                <c:pt idx="2">
                  <c:v>13</c:v>
                </c:pt>
                <c:pt idx="3">
                  <c:v>9</c:v>
                </c:pt>
                <c:pt idx="4">
                  <c:v>5</c:v>
                </c:pt>
                <c:pt idx="5">
                  <c:v>8</c:v>
                </c:pt>
                <c:pt idx="6">
                  <c:v>5</c:v>
                </c:pt>
                <c:pt idx="7">
                  <c:v>11</c:v>
                </c:pt>
                <c:pt idx="8">
                  <c:v>10</c:v>
                </c:pt>
                <c:pt idx="9">
                  <c:v>8</c:v>
                </c:pt>
                <c:pt idx="10">
                  <c:v>13</c:v>
                </c:pt>
                <c:pt idx="11">
                  <c:v>5</c:v>
                </c:pt>
                <c:pt idx="12">
                  <c:v>6</c:v>
                </c:pt>
                <c:pt idx="13">
                  <c:v>4</c:v>
                </c:pt>
                <c:pt idx="14">
                  <c:v>6</c:v>
                </c:pt>
                <c:pt idx="15">
                  <c:v>7</c:v>
                </c:pt>
                <c:pt idx="16">
                  <c:v>1</c:v>
                </c:pt>
                <c:pt idx="17">
                  <c:v>2</c:v>
                </c:pt>
                <c:pt idx="1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E4-4348-9AFA-CB632C78C4A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152539248"/>
        <c:axId val="756887600"/>
      </c:barChart>
      <c:catAx>
        <c:axId val="11525392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887600"/>
        <c:crosses val="autoZero"/>
        <c:auto val="1"/>
        <c:lblAlgn val="ctr"/>
        <c:lblOffset val="100"/>
        <c:noMultiLvlLbl val="0"/>
      </c:catAx>
      <c:valAx>
        <c:axId val="756887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539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0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[HR_Analytics_Employee.xlsx]AgeGroup_Attrition!PivotTable2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0" baseline="0">
                <a:ln w="0"/>
                <a:solidFill>
                  <a:schemeClr val="lt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lt1"/>
                </a:solidFill>
                <a:latin typeface="+mj-lt"/>
                <a:ea typeface="+mn-ea"/>
                <a:cs typeface="+mn-cs"/>
              </a:rPr>
              <a:t>Employee Attrition by Age Group</a:t>
            </a:r>
            <a:endParaRPr lang="en-US">
              <a:latin typeface="+mj-lt"/>
            </a:endParaRPr>
          </a:p>
        </c:rich>
      </c:tx>
      <c:overlay val="0"/>
      <c:spPr>
        <a:gradFill rotWithShape="1">
          <a:gsLst>
            <a:gs pos="0">
              <a:schemeClr val="accent1">
                <a:shade val="51000"/>
                <a:satMod val="130000"/>
              </a:schemeClr>
            </a:gs>
            <a:gs pos="80000">
              <a:schemeClr val="accent1">
                <a:shade val="93000"/>
                <a:satMod val="130000"/>
              </a:schemeClr>
            </a:gs>
            <a:gs pos="100000">
              <a:schemeClr val="accent1">
                <a:shade val="94000"/>
                <a:satMod val="135000"/>
              </a:schemeClr>
            </a:gs>
          </a:gsLst>
          <a:lin ang="16200000" scaled="0"/>
        </a:gradFill>
        <a:ln w="9525" cap="flat" cmpd="sng" algn="ctr">
          <a:solidFill>
            <a:schemeClr val="accent1">
              <a:shade val="95000"/>
              <a:satMod val="105000"/>
            </a:schemeClr>
          </a:solidFill>
          <a:prstDash val="solid"/>
        </a:ln>
        <a:effectLst>
          <a:glow rad="63500">
            <a:schemeClr val="accent1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0" baseline="0">
              <a:ln w="0"/>
              <a:solidFill>
                <a:schemeClr val="lt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AgeGroup_Attrition!$B$4:$B$5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AgeGroup_Attrition!$A$6:$A$11</c:f>
              <c:strCache>
                <c:ptCount val="5"/>
                <c:pt idx="0">
                  <c:v>35-44</c:v>
                </c:pt>
                <c:pt idx="1">
                  <c:v>25-34</c:v>
                </c:pt>
                <c:pt idx="2">
                  <c:v>Under 25</c:v>
                </c:pt>
                <c:pt idx="3">
                  <c:v>45-54</c:v>
                </c:pt>
                <c:pt idx="4">
                  <c:v>55+</c:v>
                </c:pt>
              </c:strCache>
            </c:strRef>
          </c:cat>
          <c:val>
            <c:numRef>
              <c:f>AgeGroup_Attrition!$B$6:$B$11</c:f>
              <c:numCache>
                <c:formatCode>General</c:formatCode>
                <c:ptCount val="5"/>
                <c:pt idx="0">
                  <c:v>416</c:v>
                </c:pt>
                <c:pt idx="1">
                  <c:v>412</c:v>
                </c:pt>
                <c:pt idx="2">
                  <c:v>122</c:v>
                </c:pt>
                <c:pt idx="3">
                  <c:v>105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45-419F-AB8C-5A7232F75E52}"/>
            </c:ext>
          </c:extLst>
        </c:ser>
        <c:ser>
          <c:idx val="1"/>
          <c:order val="1"/>
          <c:tx>
            <c:strRef>
              <c:f>AgeGroup_Attrition!$C$4:$C$5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AgeGroup_Attrition!$A$6:$A$11</c:f>
              <c:strCache>
                <c:ptCount val="5"/>
                <c:pt idx="0">
                  <c:v>35-44</c:v>
                </c:pt>
                <c:pt idx="1">
                  <c:v>25-34</c:v>
                </c:pt>
                <c:pt idx="2">
                  <c:v>Under 25</c:v>
                </c:pt>
                <c:pt idx="3">
                  <c:v>45-54</c:v>
                </c:pt>
                <c:pt idx="4">
                  <c:v>55+</c:v>
                </c:pt>
              </c:strCache>
            </c:strRef>
          </c:cat>
          <c:val>
            <c:numRef>
              <c:f>AgeGroup_Attrition!$C$6:$C$11</c:f>
              <c:numCache>
                <c:formatCode>General</c:formatCode>
                <c:ptCount val="5"/>
                <c:pt idx="0">
                  <c:v>55</c:v>
                </c:pt>
                <c:pt idx="1">
                  <c:v>52</c:v>
                </c:pt>
                <c:pt idx="2">
                  <c:v>18</c:v>
                </c:pt>
                <c:pt idx="3">
                  <c:v>11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45-419F-AB8C-5A7232F75E5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21236768"/>
        <c:axId val="756889040"/>
      </c:barChart>
      <c:catAx>
        <c:axId val="1421236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889040"/>
        <c:crosses val="autoZero"/>
        <c:auto val="1"/>
        <c:lblAlgn val="ctr"/>
        <c:lblOffset val="100"/>
        <c:noMultiLvlLbl val="0"/>
      </c:catAx>
      <c:valAx>
        <c:axId val="756889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1236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0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[HR_Analytics_Employee.xlsx]Tenure_Attrition!PivotTable3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0" baseline="0">
                <a:ln w="0"/>
                <a:solidFill>
                  <a:schemeClr val="lt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lt1"/>
                </a:solidFill>
                <a:latin typeface="+mn-lt"/>
                <a:ea typeface="+mn-ea"/>
                <a:cs typeface="+mn-cs"/>
              </a:rPr>
              <a:t>Employee Attrition by Years at Company</a:t>
            </a:r>
            <a:endParaRPr lang="en-US" b="1">
              <a:latin typeface="+mj-lt"/>
            </a:endParaRPr>
          </a:p>
        </c:rich>
      </c:tx>
      <c:overlay val="0"/>
      <c:spPr>
        <a:gradFill rotWithShape="1">
          <a:gsLst>
            <a:gs pos="0">
              <a:schemeClr val="accent1">
                <a:shade val="51000"/>
                <a:satMod val="130000"/>
              </a:schemeClr>
            </a:gs>
            <a:gs pos="80000">
              <a:schemeClr val="accent1">
                <a:shade val="93000"/>
                <a:satMod val="130000"/>
              </a:schemeClr>
            </a:gs>
            <a:gs pos="100000">
              <a:schemeClr val="accent1">
                <a:shade val="94000"/>
                <a:satMod val="135000"/>
              </a:schemeClr>
            </a:gs>
          </a:gsLst>
          <a:lin ang="16200000" scaled="0"/>
        </a:gradFill>
        <a:ln w="9525" cap="flat" cmpd="sng" algn="ctr">
          <a:solidFill>
            <a:schemeClr val="accent1">
              <a:shade val="95000"/>
              <a:satMod val="105000"/>
            </a:schemeClr>
          </a:solidFill>
          <a:prstDash val="solid"/>
        </a:ln>
        <a:effectLst>
          <a:glow rad="63500">
            <a:schemeClr val="accent1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0" baseline="0">
              <a:ln w="0"/>
              <a:solidFill>
                <a:schemeClr val="lt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Tenure_Attrition!$B$4:$B$5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Tenure_Attrition!$A$6:$A$11</c:f>
              <c:strCache>
                <c:ptCount val="5"/>
                <c:pt idx="0">
                  <c:v>Less than 1 Year</c:v>
                </c:pt>
                <c:pt idx="1">
                  <c:v>1-2 Years</c:v>
                </c:pt>
                <c:pt idx="2">
                  <c:v>3-5 Years</c:v>
                </c:pt>
                <c:pt idx="3">
                  <c:v>6-10 Years</c:v>
                </c:pt>
                <c:pt idx="4">
                  <c:v>11+ Years</c:v>
                </c:pt>
              </c:strCache>
            </c:strRef>
          </c:cat>
          <c:val>
            <c:numRef>
              <c:f>Tenure_Attrition!$B$6:$B$11</c:f>
              <c:numCache>
                <c:formatCode>General</c:formatCode>
                <c:ptCount val="5"/>
                <c:pt idx="0">
                  <c:v>68</c:v>
                </c:pt>
                <c:pt idx="1">
                  <c:v>157</c:v>
                </c:pt>
                <c:pt idx="2">
                  <c:v>226</c:v>
                </c:pt>
                <c:pt idx="3">
                  <c:v>274</c:v>
                </c:pt>
                <c:pt idx="4">
                  <c:v>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5A-4816-9951-3D99EF496F69}"/>
            </c:ext>
          </c:extLst>
        </c:ser>
        <c:ser>
          <c:idx val="1"/>
          <c:order val="1"/>
          <c:tx>
            <c:strRef>
              <c:f>Tenure_Attrition!$C$4:$C$5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Tenure_Attrition!$A$6:$A$11</c:f>
              <c:strCache>
                <c:ptCount val="5"/>
                <c:pt idx="0">
                  <c:v>Less than 1 Year</c:v>
                </c:pt>
                <c:pt idx="1">
                  <c:v>1-2 Years</c:v>
                </c:pt>
                <c:pt idx="2">
                  <c:v>3-5 Years</c:v>
                </c:pt>
                <c:pt idx="3">
                  <c:v>6-10 Years</c:v>
                </c:pt>
                <c:pt idx="4">
                  <c:v>11+ Years</c:v>
                </c:pt>
              </c:strCache>
            </c:strRef>
          </c:cat>
          <c:val>
            <c:numRef>
              <c:f>Tenure_Attrition!$C$6:$C$11</c:f>
              <c:numCache>
                <c:formatCode>General</c:formatCode>
                <c:ptCount val="5"/>
                <c:pt idx="0">
                  <c:v>12</c:v>
                </c:pt>
                <c:pt idx="1">
                  <c:v>27</c:v>
                </c:pt>
                <c:pt idx="2">
                  <c:v>30</c:v>
                </c:pt>
                <c:pt idx="3">
                  <c:v>39</c:v>
                </c:pt>
                <c:pt idx="4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5A-4816-9951-3D99EF496F6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421295232"/>
        <c:axId val="756950000"/>
      </c:barChart>
      <c:catAx>
        <c:axId val="14212952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950000"/>
        <c:crosses val="autoZero"/>
        <c:auto val="1"/>
        <c:lblAlgn val="ctr"/>
        <c:lblOffset val="100"/>
        <c:noMultiLvlLbl val="0"/>
      </c:catAx>
      <c:valAx>
        <c:axId val="756950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1295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0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601980</xdr:colOff>
      <xdr:row>3</xdr:row>
      <xdr:rowOff>22860</xdr:rowOff>
    </xdr:from>
    <xdr:to>
      <xdr:col>13</xdr:col>
      <xdr:colOff>594360</xdr:colOff>
      <xdr:row>20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1BC2C7-F5FD-73D9-DA8E-A3D8500392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3</xdr:row>
      <xdr:rowOff>320040</xdr:rowOff>
    </xdr:from>
    <xdr:to>
      <xdr:col>10</xdr:col>
      <xdr:colOff>53340</xdr:colOff>
      <xdr:row>19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FD4F3F-86F7-743B-ECB5-36C43B661C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4</xdr:row>
      <xdr:rowOff>281940</xdr:rowOff>
    </xdr:from>
    <xdr:to>
      <xdr:col>11</xdr:col>
      <xdr:colOff>15240</xdr:colOff>
      <xdr:row>19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088DED-AEA9-9296-C51A-79262DFC62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</xdr:colOff>
      <xdr:row>6</xdr:row>
      <xdr:rowOff>0</xdr:rowOff>
    </xdr:from>
    <xdr:to>
      <xdr:col>12</xdr:col>
      <xdr:colOff>7620</xdr:colOff>
      <xdr:row>19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439609-5DD6-95CE-D7D5-629B7C8723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4</xdr:row>
      <xdr:rowOff>205740</xdr:rowOff>
    </xdr:from>
    <xdr:to>
      <xdr:col>11</xdr:col>
      <xdr:colOff>38100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69F88F-7680-A23E-838E-927DD5B85F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7</xdr:row>
      <xdr:rowOff>7620</xdr:rowOff>
    </xdr:from>
    <xdr:to>
      <xdr:col>11</xdr:col>
      <xdr:colOff>0</xdr:colOff>
      <xdr:row>20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9406BE-928C-EA78-C6D3-30D4EE508B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6</xdr:row>
      <xdr:rowOff>7620</xdr:rowOff>
    </xdr:from>
    <xdr:to>
      <xdr:col>9</xdr:col>
      <xdr:colOff>601980</xdr:colOff>
      <xdr:row>19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82AFC1-9426-2E7B-D728-C84157CD74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4</xdr:row>
      <xdr:rowOff>7620</xdr:rowOff>
    </xdr:from>
    <xdr:to>
      <xdr:col>14</xdr:col>
      <xdr:colOff>0</xdr:colOff>
      <xdr:row>24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54686E-20ED-08DC-5D33-D77311DB95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601980</xdr:colOff>
      <xdr:row>5</xdr:row>
      <xdr:rowOff>220980</xdr:rowOff>
    </xdr:from>
    <xdr:to>
      <xdr:col>13</xdr:col>
      <xdr:colOff>22860</xdr:colOff>
      <xdr:row>21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EAA61E-D222-E770-89D5-31732D813E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594360</xdr:colOff>
      <xdr:row>5</xdr:row>
      <xdr:rowOff>0</xdr:rowOff>
    </xdr:from>
    <xdr:to>
      <xdr:col>13</xdr:col>
      <xdr:colOff>7620</xdr:colOff>
      <xdr:row>18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ED733D-7A88-85F4-4DAE-C8FF15351F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epak Kumar" refreshedDate="46317.578093634256" createdVersion="8" refreshedVersion="8" minRefreshableVersion="3" recordCount="1200" xr:uid="{6BADDA66-6B6B-45A9-B364-0E46A73EFF4F}">
  <cacheSource type="worksheet">
    <worksheetSource name="Table1"/>
  </cacheSource>
  <cacheFields count="20">
    <cacheField name="Employee ID" numFmtId="0">
      <sharedItems count="1200">
        <s v="EMP0001"/>
        <s v="EMP0002"/>
        <s v="EMP0003"/>
        <s v="EMP0004"/>
        <s v="EMP0005"/>
        <s v="EMP0006"/>
        <s v="EMP0007"/>
        <s v="EMP0008"/>
        <s v="EMP0009"/>
        <s v="EMP0010"/>
        <s v="EMP0011"/>
        <s v="EMP0012"/>
        <s v="EMP0013"/>
        <s v="EMP0014"/>
        <s v="EMP0015"/>
        <s v="EMP0016"/>
        <s v="EMP0017"/>
        <s v="EMP0018"/>
        <s v="EMP0019"/>
        <s v="EMP0020"/>
        <s v="EMP0021"/>
        <s v="EMP0022"/>
        <s v="EMP0023"/>
        <s v="EMP0024"/>
        <s v="EMP0025"/>
        <s v="EMP0026"/>
        <s v="EMP0027"/>
        <s v="EMP0028"/>
        <s v="EMP0029"/>
        <s v="EMP0030"/>
        <s v="EMP0031"/>
        <s v="EMP0032"/>
        <s v="EMP0033"/>
        <s v="EMP0034"/>
        <s v="EMP0035"/>
        <s v="EMP0036"/>
        <s v="EMP0037"/>
        <s v="EMP0038"/>
        <s v="EMP0039"/>
        <s v="EMP0040"/>
        <s v="EMP0041"/>
        <s v="EMP0042"/>
        <s v="EMP0043"/>
        <s v="EMP0044"/>
        <s v="EMP0045"/>
        <s v="EMP0046"/>
        <s v="EMP0047"/>
        <s v="EMP0048"/>
        <s v="EMP0049"/>
        <s v="EMP0050"/>
        <s v="EMP0051"/>
        <s v="EMP0052"/>
        <s v="EMP0053"/>
        <s v="EMP0054"/>
        <s v="EMP0055"/>
        <s v="EMP0056"/>
        <s v="EMP0057"/>
        <s v="EMP0058"/>
        <s v="EMP0059"/>
        <s v="EMP0060"/>
        <s v="EMP0061"/>
        <s v="EMP0062"/>
        <s v="EMP0063"/>
        <s v="EMP0064"/>
        <s v="EMP0065"/>
        <s v="EMP0066"/>
        <s v="EMP0067"/>
        <s v="EMP0068"/>
        <s v="EMP0069"/>
        <s v="EMP0070"/>
        <s v="EMP0071"/>
        <s v="EMP0072"/>
        <s v="EMP0073"/>
        <s v="EMP0074"/>
        <s v="EMP0075"/>
        <s v="EMP0076"/>
        <s v="EMP0077"/>
        <s v="EMP0078"/>
        <s v="EMP0079"/>
        <s v="EMP0080"/>
        <s v="EMP0081"/>
        <s v="EMP0082"/>
        <s v="EMP0083"/>
        <s v="EMP0084"/>
        <s v="EMP0085"/>
        <s v="EMP0086"/>
        <s v="EMP0087"/>
        <s v="EMP0088"/>
        <s v="EMP0089"/>
        <s v="EMP0090"/>
        <s v="EMP0091"/>
        <s v="EMP0092"/>
        <s v="EMP0093"/>
        <s v="EMP0094"/>
        <s v="EMP0095"/>
        <s v="EMP0096"/>
        <s v="EMP0097"/>
        <s v="EMP0098"/>
        <s v="EMP0099"/>
        <s v="EMP0100"/>
        <s v="EMP0101"/>
        <s v="EMP0102"/>
        <s v="EMP0103"/>
        <s v="EMP0104"/>
        <s v="EMP0105"/>
        <s v="EMP0106"/>
        <s v="EMP0107"/>
        <s v="EMP0108"/>
        <s v="EMP0109"/>
        <s v="EMP0110"/>
        <s v="EMP0111"/>
        <s v="EMP0112"/>
        <s v="EMP0113"/>
        <s v="EMP0114"/>
        <s v="EMP0115"/>
        <s v="EMP0116"/>
        <s v="EMP0117"/>
        <s v="EMP0118"/>
        <s v="EMP0119"/>
        <s v="EMP0120"/>
        <s v="EMP0121"/>
        <s v="EMP0122"/>
        <s v="EMP0123"/>
        <s v="EMP0124"/>
        <s v="EMP0125"/>
        <s v="EMP0126"/>
        <s v="EMP0127"/>
        <s v="EMP0128"/>
        <s v="EMP0129"/>
        <s v="EMP0130"/>
        <s v="EMP0131"/>
        <s v="EMP0132"/>
        <s v="EMP0133"/>
        <s v="EMP0134"/>
        <s v="EMP0135"/>
        <s v="EMP0136"/>
        <s v="EMP0137"/>
        <s v="EMP0138"/>
        <s v="EMP0139"/>
        <s v="EMP0140"/>
        <s v="EMP0141"/>
        <s v="EMP0142"/>
        <s v="EMP0143"/>
        <s v="EMP0144"/>
        <s v="EMP0145"/>
        <s v="EMP0146"/>
        <s v="EMP0147"/>
        <s v="EMP0148"/>
        <s v="EMP0149"/>
        <s v="EMP0150"/>
        <s v="EMP0151"/>
        <s v="EMP0152"/>
        <s v="EMP0153"/>
        <s v="EMP0154"/>
        <s v="EMP0155"/>
        <s v="EMP0156"/>
        <s v="EMP0157"/>
        <s v="EMP0158"/>
        <s v="EMP0159"/>
        <s v="EMP0160"/>
        <s v="EMP0161"/>
        <s v="EMP0162"/>
        <s v="EMP0163"/>
        <s v="EMP0164"/>
        <s v="EMP0165"/>
        <s v="EMP0166"/>
        <s v="EMP0167"/>
        <s v="EMP0168"/>
        <s v="EMP0169"/>
        <s v="EMP0170"/>
        <s v="EMP0171"/>
        <s v="EMP0172"/>
        <s v="EMP0173"/>
        <s v="EMP0174"/>
        <s v="EMP0175"/>
        <s v="EMP0176"/>
        <s v="EMP0177"/>
        <s v="EMP0178"/>
        <s v="EMP0179"/>
        <s v="EMP0180"/>
        <s v="EMP0181"/>
        <s v="EMP0182"/>
        <s v="EMP0183"/>
        <s v="EMP0184"/>
        <s v="EMP0185"/>
        <s v="EMP0186"/>
        <s v="EMP0187"/>
        <s v="EMP0188"/>
        <s v="EMP0189"/>
        <s v="EMP0190"/>
        <s v="EMP0191"/>
        <s v="EMP0192"/>
        <s v="EMP0193"/>
        <s v="EMP0194"/>
        <s v="EMP0195"/>
        <s v="EMP0196"/>
        <s v="EMP0197"/>
        <s v="EMP0198"/>
        <s v="EMP0199"/>
        <s v="EMP0200"/>
        <s v="EMP0201"/>
        <s v="EMP0202"/>
        <s v="EMP0203"/>
        <s v="EMP0204"/>
        <s v="EMP0205"/>
        <s v="EMP0206"/>
        <s v="EMP0207"/>
        <s v="EMP0208"/>
        <s v="EMP0209"/>
        <s v="EMP0210"/>
        <s v="EMP0211"/>
        <s v="EMP0212"/>
        <s v="EMP0213"/>
        <s v="EMP0214"/>
        <s v="EMP0215"/>
        <s v="EMP0216"/>
        <s v="EMP0217"/>
        <s v="EMP0218"/>
        <s v="EMP0219"/>
        <s v="EMP0220"/>
        <s v="EMP0221"/>
        <s v="EMP0222"/>
        <s v="EMP0223"/>
        <s v="EMP0224"/>
        <s v="EMP0225"/>
        <s v="EMP0226"/>
        <s v="EMP0227"/>
        <s v="EMP0228"/>
        <s v="EMP0229"/>
        <s v="EMP0230"/>
        <s v="EMP0231"/>
        <s v="EMP0232"/>
        <s v="EMP0233"/>
        <s v="EMP0234"/>
        <s v="EMP0235"/>
        <s v="EMP0236"/>
        <s v="EMP0237"/>
        <s v="EMP0238"/>
        <s v="EMP0239"/>
        <s v="EMP0240"/>
        <s v="EMP0241"/>
        <s v="EMP0242"/>
        <s v="EMP0243"/>
        <s v="EMP0244"/>
        <s v="EMP0245"/>
        <s v="EMP0246"/>
        <s v="EMP0247"/>
        <s v="EMP0248"/>
        <s v="EMP0249"/>
        <s v="EMP0250"/>
        <s v="EMP0251"/>
        <s v="EMP0252"/>
        <s v="EMP0253"/>
        <s v="EMP0254"/>
        <s v="EMP0255"/>
        <s v="EMP0256"/>
        <s v="EMP0257"/>
        <s v="EMP0258"/>
        <s v="EMP0259"/>
        <s v="EMP0260"/>
        <s v="EMP0261"/>
        <s v="EMP0262"/>
        <s v="EMP0263"/>
        <s v="EMP0264"/>
        <s v="EMP0265"/>
        <s v="EMP0266"/>
        <s v="EMP0267"/>
        <s v="EMP0268"/>
        <s v="EMP0269"/>
        <s v="EMP0270"/>
        <s v="EMP0271"/>
        <s v="EMP0272"/>
        <s v="EMP0273"/>
        <s v="EMP0274"/>
        <s v="EMP0275"/>
        <s v="EMP0276"/>
        <s v="EMP0277"/>
        <s v="EMP0278"/>
        <s v="EMP0279"/>
        <s v="EMP0280"/>
        <s v="EMP0281"/>
        <s v="EMP0282"/>
        <s v="EMP0283"/>
        <s v="EMP0284"/>
        <s v="EMP0285"/>
        <s v="EMP0286"/>
        <s v="EMP0287"/>
        <s v="EMP0288"/>
        <s v="EMP0289"/>
        <s v="EMP0290"/>
        <s v="EMP0291"/>
        <s v="EMP0292"/>
        <s v="EMP0293"/>
        <s v="EMP0294"/>
        <s v="EMP0295"/>
        <s v="EMP0296"/>
        <s v="EMP0297"/>
        <s v="EMP0298"/>
        <s v="EMP0299"/>
        <s v="EMP0300"/>
        <s v="EMP0301"/>
        <s v="EMP0302"/>
        <s v="EMP0303"/>
        <s v="EMP0304"/>
        <s v="EMP0305"/>
        <s v="EMP0306"/>
        <s v="EMP0307"/>
        <s v="EMP0308"/>
        <s v="EMP0309"/>
        <s v="EMP0310"/>
        <s v="EMP0311"/>
        <s v="EMP0312"/>
        <s v="EMP0313"/>
        <s v="EMP0314"/>
        <s v="EMP0315"/>
        <s v="EMP0316"/>
        <s v="EMP0317"/>
        <s v="EMP0318"/>
        <s v="EMP0319"/>
        <s v="EMP0320"/>
        <s v="EMP0321"/>
        <s v="EMP0322"/>
        <s v="EMP0323"/>
        <s v="EMP0324"/>
        <s v="EMP0325"/>
        <s v="EMP0326"/>
        <s v="EMP0327"/>
        <s v="EMP0328"/>
        <s v="EMP0329"/>
        <s v="EMP0330"/>
        <s v="EMP0331"/>
        <s v="EMP0332"/>
        <s v="EMP0333"/>
        <s v="EMP0334"/>
        <s v="EMP0335"/>
        <s v="EMP0336"/>
        <s v="EMP0337"/>
        <s v="EMP0338"/>
        <s v="EMP0339"/>
        <s v="EMP0340"/>
        <s v="EMP0341"/>
        <s v="EMP0342"/>
        <s v="EMP0343"/>
        <s v="EMP0344"/>
        <s v="EMP0345"/>
        <s v="EMP0346"/>
        <s v="EMP0347"/>
        <s v="EMP0348"/>
        <s v="EMP0349"/>
        <s v="EMP0350"/>
        <s v="EMP0351"/>
        <s v="EMP0352"/>
        <s v="EMP0353"/>
        <s v="EMP0354"/>
        <s v="EMP0355"/>
        <s v="EMP0356"/>
        <s v="EMP0357"/>
        <s v="EMP0358"/>
        <s v="EMP0359"/>
        <s v="EMP0360"/>
        <s v="EMP0361"/>
        <s v="EMP0362"/>
        <s v="EMP0363"/>
        <s v="EMP0364"/>
        <s v="EMP0365"/>
        <s v="EMP0366"/>
        <s v="EMP0367"/>
        <s v="EMP0368"/>
        <s v="EMP0369"/>
        <s v="EMP0370"/>
        <s v="EMP0371"/>
        <s v="EMP0372"/>
        <s v="EMP0373"/>
        <s v="EMP0374"/>
        <s v="EMP0375"/>
        <s v="EMP0376"/>
        <s v="EMP0377"/>
        <s v="EMP0378"/>
        <s v="EMP0379"/>
        <s v="EMP0380"/>
        <s v="EMP0381"/>
        <s v="EMP0382"/>
        <s v="EMP0383"/>
        <s v="EMP0384"/>
        <s v="EMP0385"/>
        <s v="EMP0386"/>
        <s v="EMP0387"/>
        <s v="EMP0388"/>
        <s v="EMP0389"/>
        <s v="EMP0390"/>
        <s v="EMP0391"/>
        <s v="EMP0392"/>
        <s v="EMP0393"/>
        <s v="EMP0394"/>
        <s v="EMP0395"/>
        <s v="EMP0396"/>
        <s v="EMP0397"/>
        <s v="EMP0398"/>
        <s v="EMP0399"/>
        <s v="EMP0400"/>
        <s v="EMP0401"/>
        <s v="EMP0402"/>
        <s v="EMP0403"/>
        <s v="EMP0404"/>
        <s v="EMP0405"/>
        <s v="EMP0406"/>
        <s v="EMP0407"/>
        <s v="EMP0408"/>
        <s v="EMP0409"/>
        <s v="EMP0410"/>
        <s v="EMP0411"/>
        <s v="EMP0412"/>
        <s v="EMP0413"/>
        <s v="EMP0414"/>
        <s v="EMP0415"/>
        <s v="EMP0416"/>
        <s v="EMP0417"/>
        <s v="EMP0418"/>
        <s v="EMP0419"/>
        <s v="EMP0420"/>
        <s v="EMP0421"/>
        <s v="EMP0422"/>
        <s v="EMP0423"/>
        <s v="EMP0424"/>
        <s v="EMP0425"/>
        <s v="EMP0426"/>
        <s v="EMP0427"/>
        <s v="EMP0428"/>
        <s v="EMP0429"/>
        <s v="EMP0430"/>
        <s v="EMP0431"/>
        <s v="EMP0432"/>
        <s v="EMP0433"/>
        <s v="EMP0434"/>
        <s v="EMP0435"/>
        <s v="EMP0436"/>
        <s v="EMP0437"/>
        <s v="EMP0438"/>
        <s v="EMP0439"/>
        <s v="EMP0440"/>
        <s v="EMP0441"/>
        <s v="EMP0442"/>
        <s v="EMP0443"/>
        <s v="EMP0444"/>
        <s v="EMP0445"/>
        <s v="EMP0446"/>
        <s v="EMP0447"/>
        <s v="EMP0448"/>
        <s v="EMP0449"/>
        <s v="EMP0450"/>
        <s v="EMP0451"/>
        <s v="EMP0452"/>
        <s v="EMP0453"/>
        <s v="EMP0454"/>
        <s v="EMP0455"/>
        <s v="EMP0456"/>
        <s v="EMP0457"/>
        <s v="EMP0458"/>
        <s v="EMP0459"/>
        <s v="EMP0460"/>
        <s v="EMP0461"/>
        <s v="EMP0462"/>
        <s v="EMP0463"/>
        <s v="EMP0464"/>
        <s v="EMP0465"/>
        <s v="EMP0466"/>
        <s v="EMP0467"/>
        <s v="EMP0468"/>
        <s v="EMP0469"/>
        <s v="EMP0470"/>
        <s v="EMP0471"/>
        <s v="EMP0472"/>
        <s v="EMP0473"/>
        <s v="EMP0474"/>
        <s v="EMP0475"/>
        <s v="EMP0476"/>
        <s v="EMP0477"/>
        <s v="EMP0478"/>
        <s v="EMP0479"/>
        <s v="EMP0480"/>
        <s v="EMP0481"/>
        <s v="EMP0482"/>
        <s v="EMP0483"/>
        <s v="EMP0484"/>
        <s v="EMP0485"/>
        <s v="EMP0486"/>
        <s v="EMP0487"/>
        <s v="EMP0488"/>
        <s v="EMP0489"/>
        <s v="EMP0490"/>
        <s v="EMP0491"/>
        <s v="EMP0492"/>
        <s v="EMP0493"/>
        <s v="EMP0494"/>
        <s v="EMP0495"/>
        <s v="EMP0496"/>
        <s v="EMP0497"/>
        <s v="EMP0498"/>
        <s v="EMP0499"/>
        <s v="EMP0500"/>
        <s v="EMP0501"/>
        <s v="EMP0502"/>
        <s v="EMP0503"/>
        <s v="EMP0504"/>
        <s v="EMP0505"/>
        <s v="EMP0506"/>
        <s v="EMP0507"/>
        <s v="EMP0508"/>
        <s v="EMP0509"/>
        <s v="EMP0510"/>
        <s v="EMP0511"/>
        <s v="EMP0512"/>
        <s v="EMP0513"/>
        <s v="EMP0514"/>
        <s v="EMP0515"/>
        <s v="EMP0516"/>
        <s v="EMP0517"/>
        <s v="EMP0518"/>
        <s v="EMP0519"/>
        <s v="EMP0520"/>
        <s v="EMP0521"/>
        <s v="EMP0522"/>
        <s v="EMP0523"/>
        <s v="EMP0524"/>
        <s v="EMP0525"/>
        <s v="EMP0526"/>
        <s v="EMP0527"/>
        <s v="EMP0528"/>
        <s v="EMP0529"/>
        <s v="EMP0530"/>
        <s v="EMP0531"/>
        <s v="EMP0532"/>
        <s v="EMP0533"/>
        <s v="EMP0534"/>
        <s v="EMP0535"/>
        <s v="EMP0536"/>
        <s v="EMP0537"/>
        <s v="EMP0538"/>
        <s v="EMP0539"/>
        <s v="EMP0540"/>
        <s v="EMP0541"/>
        <s v="EMP0542"/>
        <s v="EMP0543"/>
        <s v="EMP0544"/>
        <s v="EMP0545"/>
        <s v="EMP0546"/>
        <s v="EMP0547"/>
        <s v="EMP0548"/>
        <s v="EMP0549"/>
        <s v="EMP0550"/>
        <s v="EMP0551"/>
        <s v="EMP0552"/>
        <s v="EMP0553"/>
        <s v="EMP0554"/>
        <s v="EMP0555"/>
        <s v="EMP0556"/>
        <s v="EMP0557"/>
        <s v="EMP0558"/>
        <s v="EMP0559"/>
        <s v="EMP0560"/>
        <s v="EMP0561"/>
        <s v="EMP0562"/>
        <s v="EMP0563"/>
        <s v="EMP0564"/>
        <s v="EMP0565"/>
        <s v="EMP0566"/>
        <s v="EMP0567"/>
        <s v="EMP0568"/>
        <s v="EMP0569"/>
        <s v="EMP0570"/>
        <s v="EMP0571"/>
        <s v="EMP0572"/>
        <s v="EMP0573"/>
        <s v="EMP0574"/>
        <s v="EMP0575"/>
        <s v="EMP0576"/>
        <s v="EMP0577"/>
        <s v="EMP0578"/>
        <s v="EMP0579"/>
        <s v="EMP0580"/>
        <s v="EMP0581"/>
        <s v="EMP0582"/>
        <s v="EMP0583"/>
        <s v="EMP0584"/>
        <s v="EMP0585"/>
        <s v="EMP0586"/>
        <s v="EMP0587"/>
        <s v="EMP0588"/>
        <s v="EMP0589"/>
        <s v="EMP0590"/>
        <s v="EMP0591"/>
        <s v="EMP0592"/>
        <s v="EMP0593"/>
        <s v="EMP0594"/>
        <s v="EMP0595"/>
        <s v="EMP0596"/>
        <s v="EMP0597"/>
        <s v="EMP0598"/>
        <s v="EMP0599"/>
        <s v="EMP0600"/>
        <s v="EMP0601"/>
        <s v="EMP0602"/>
        <s v="EMP0603"/>
        <s v="EMP0604"/>
        <s v="EMP0605"/>
        <s v="EMP0606"/>
        <s v="EMP0607"/>
        <s v="EMP0608"/>
        <s v="EMP0609"/>
        <s v="EMP0610"/>
        <s v="EMP0611"/>
        <s v="EMP0612"/>
        <s v="EMP0613"/>
        <s v="EMP0614"/>
        <s v="EMP0615"/>
        <s v="EMP0616"/>
        <s v="EMP0617"/>
        <s v="EMP0618"/>
        <s v="EMP0619"/>
        <s v="EMP0620"/>
        <s v="EMP0621"/>
        <s v="EMP0622"/>
        <s v="EMP0623"/>
        <s v="EMP0624"/>
        <s v="EMP0625"/>
        <s v="EMP0626"/>
        <s v="EMP0627"/>
        <s v="EMP0628"/>
        <s v="EMP0629"/>
        <s v="EMP0630"/>
        <s v="EMP0631"/>
        <s v="EMP0632"/>
        <s v="EMP0633"/>
        <s v="EMP0634"/>
        <s v="EMP0635"/>
        <s v="EMP0636"/>
        <s v="EMP0637"/>
        <s v="EMP0638"/>
        <s v="EMP0639"/>
        <s v="EMP0640"/>
        <s v="EMP0641"/>
        <s v="EMP0642"/>
        <s v="EMP0643"/>
        <s v="EMP0644"/>
        <s v="EMP0645"/>
        <s v="EMP0646"/>
        <s v="EMP0647"/>
        <s v="EMP0648"/>
        <s v="EMP0649"/>
        <s v="EMP0650"/>
        <s v="EMP0651"/>
        <s v="EMP0652"/>
        <s v="EMP0653"/>
        <s v="EMP0654"/>
        <s v="EMP0655"/>
        <s v="EMP0656"/>
        <s v="EMP0657"/>
        <s v="EMP0658"/>
        <s v="EMP0659"/>
        <s v="EMP0660"/>
        <s v="EMP0661"/>
        <s v="EMP0662"/>
        <s v="EMP0663"/>
        <s v="EMP0664"/>
        <s v="EMP0665"/>
        <s v="EMP0666"/>
        <s v="EMP0667"/>
        <s v="EMP0668"/>
        <s v="EMP0669"/>
        <s v="EMP0670"/>
        <s v="EMP0671"/>
        <s v="EMP0672"/>
        <s v="EMP0673"/>
        <s v="EMP0674"/>
        <s v="EMP0675"/>
        <s v="EMP0676"/>
        <s v="EMP0677"/>
        <s v="EMP0678"/>
        <s v="EMP0679"/>
        <s v="EMP0680"/>
        <s v="EMP0681"/>
        <s v="EMP0682"/>
        <s v="EMP0683"/>
        <s v="EMP0684"/>
        <s v="EMP0685"/>
        <s v="EMP0686"/>
        <s v="EMP0687"/>
        <s v="EMP0688"/>
        <s v="EMP0689"/>
        <s v="EMP0690"/>
        <s v="EMP0691"/>
        <s v="EMP0692"/>
        <s v="EMP0693"/>
        <s v="EMP0694"/>
        <s v="EMP0695"/>
        <s v="EMP0696"/>
        <s v="EMP0697"/>
        <s v="EMP0698"/>
        <s v="EMP0699"/>
        <s v="EMP0700"/>
        <s v="EMP0701"/>
        <s v="EMP0702"/>
        <s v="EMP0703"/>
        <s v="EMP0704"/>
        <s v="EMP0705"/>
        <s v="EMP0706"/>
        <s v="EMP0707"/>
        <s v="EMP0708"/>
        <s v="EMP0709"/>
        <s v="EMP0710"/>
        <s v="EMP0711"/>
        <s v="EMP0712"/>
        <s v="EMP0713"/>
        <s v="EMP0714"/>
        <s v="EMP0715"/>
        <s v="EMP0716"/>
        <s v="EMP0717"/>
        <s v="EMP0718"/>
        <s v="EMP0719"/>
        <s v="EMP0720"/>
        <s v="EMP0721"/>
        <s v="EMP0722"/>
        <s v="EMP0723"/>
        <s v="EMP0724"/>
        <s v="EMP0725"/>
        <s v="EMP0726"/>
        <s v="EMP0727"/>
        <s v="EMP0728"/>
        <s v="EMP0729"/>
        <s v="EMP0730"/>
        <s v="EMP0731"/>
        <s v="EMP0732"/>
        <s v="EMP0733"/>
        <s v="EMP0734"/>
        <s v="EMP0735"/>
        <s v="EMP0736"/>
        <s v="EMP0737"/>
        <s v="EMP0738"/>
        <s v="EMP0739"/>
        <s v="EMP0740"/>
        <s v="EMP0741"/>
        <s v="EMP0742"/>
        <s v="EMP0743"/>
        <s v="EMP0744"/>
        <s v="EMP0745"/>
        <s v="EMP0746"/>
        <s v="EMP0747"/>
        <s v="EMP0748"/>
        <s v="EMP0749"/>
        <s v="EMP0750"/>
        <s v="EMP0751"/>
        <s v="EMP0752"/>
        <s v="EMP0753"/>
        <s v="EMP0754"/>
        <s v="EMP0755"/>
        <s v="EMP0756"/>
        <s v="EMP0757"/>
        <s v="EMP0758"/>
        <s v="EMP0759"/>
        <s v="EMP0760"/>
        <s v="EMP0761"/>
        <s v="EMP0762"/>
        <s v="EMP0763"/>
        <s v="EMP0764"/>
        <s v="EMP0765"/>
        <s v="EMP0766"/>
        <s v="EMP0767"/>
        <s v="EMP0768"/>
        <s v="EMP0769"/>
        <s v="EMP0770"/>
        <s v="EMP0771"/>
        <s v="EMP0772"/>
        <s v="EMP0773"/>
        <s v="EMP0774"/>
        <s v="EMP0775"/>
        <s v="EMP0776"/>
        <s v="EMP0777"/>
        <s v="EMP0778"/>
        <s v="EMP0779"/>
        <s v="EMP0780"/>
        <s v="EMP0781"/>
        <s v="EMP0782"/>
        <s v="EMP0783"/>
        <s v="EMP0784"/>
        <s v="EMP0785"/>
        <s v="EMP0786"/>
        <s v="EMP0787"/>
        <s v="EMP0788"/>
        <s v="EMP0789"/>
        <s v="EMP0790"/>
        <s v="EMP0791"/>
        <s v="EMP0792"/>
        <s v="EMP0793"/>
        <s v="EMP0794"/>
        <s v="EMP0795"/>
        <s v="EMP0796"/>
        <s v="EMP0797"/>
        <s v="EMP0798"/>
        <s v="EMP0799"/>
        <s v="EMP0800"/>
        <s v="EMP0801"/>
        <s v="EMP0802"/>
        <s v="EMP0803"/>
        <s v="EMP0804"/>
        <s v="EMP0805"/>
        <s v="EMP0806"/>
        <s v="EMP0807"/>
        <s v="EMP0808"/>
        <s v="EMP0809"/>
        <s v="EMP0810"/>
        <s v="EMP0811"/>
        <s v="EMP0812"/>
        <s v="EMP0813"/>
        <s v="EMP0814"/>
        <s v="EMP0815"/>
        <s v="EMP0816"/>
        <s v="EMP0817"/>
        <s v="EMP0818"/>
        <s v="EMP0819"/>
        <s v="EMP0820"/>
        <s v="EMP0821"/>
        <s v="EMP0822"/>
        <s v="EMP0823"/>
        <s v="EMP0824"/>
        <s v="EMP0825"/>
        <s v="EMP0826"/>
        <s v="EMP0827"/>
        <s v="EMP0828"/>
        <s v="EMP0829"/>
        <s v="EMP0830"/>
        <s v="EMP0831"/>
        <s v="EMP0832"/>
        <s v="EMP0833"/>
        <s v="EMP0834"/>
        <s v="EMP0835"/>
        <s v="EMP0836"/>
        <s v="EMP0837"/>
        <s v="EMP0838"/>
        <s v="EMP0839"/>
        <s v="EMP0840"/>
        <s v="EMP0841"/>
        <s v="EMP0842"/>
        <s v="EMP0843"/>
        <s v="EMP0844"/>
        <s v="EMP0845"/>
        <s v="EMP0846"/>
        <s v="EMP0847"/>
        <s v="EMP0848"/>
        <s v="EMP0849"/>
        <s v="EMP0850"/>
        <s v="EMP0851"/>
        <s v="EMP0852"/>
        <s v="EMP0853"/>
        <s v="EMP0854"/>
        <s v="EMP0855"/>
        <s v="EMP0856"/>
        <s v="EMP0857"/>
        <s v="EMP0858"/>
        <s v="EMP0859"/>
        <s v="EMP0860"/>
        <s v="EMP0861"/>
        <s v="EMP0862"/>
        <s v="EMP0863"/>
        <s v="EMP0864"/>
        <s v="EMP0865"/>
        <s v="EMP0866"/>
        <s v="EMP0867"/>
        <s v="EMP0868"/>
        <s v="EMP0869"/>
        <s v="EMP0870"/>
        <s v="EMP0871"/>
        <s v="EMP0872"/>
        <s v="EMP0873"/>
        <s v="EMP0874"/>
        <s v="EMP0875"/>
        <s v="EMP0876"/>
        <s v="EMP0877"/>
        <s v="EMP0878"/>
        <s v="EMP0879"/>
        <s v="EMP0880"/>
        <s v="EMP0881"/>
        <s v="EMP0882"/>
        <s v="EMP0883"/>
        <s v="EMP0884"/>
        <s v="EMP0885"/>
        <s v="EMP0886"/>
        <s v="EMP0887"/>
        <s v="EMP0888"/>
        <s v="EMP0889"/>
        <s v="EMP0890"/>
        <s v="EMP0891"/>
        <s v="EMP0892"/>
        <s v="EMP0893"/>
        <s v="EMP0894"/>
        <s v="EMP0895"/>
        <s v="EMP0896"/>
        <s v="EMP0897"/>
        <s v="EMP0898"/>
        <s v="EMP0899"/>
        <s v="EMP0900"/>
        <s v="EMP0901"/>
        <s v="EMP0902"/>
        <s v="EMP0903"/>
        <s v="EMP0904"/>
        <s v="EMP0905"/>
        <s v="EMP0906"/>
        <s v="EMP0907"/>
        <s v="EMP0908"/>
        <s v="EMP0909"/>
        <s v="EMP0910"/>
        <s v="EMP0911"/>
        <s v="EMP0912"/>
        <s v="EMP0913"/>
        <s v="EMP0914"/>
        <s v="EMP0915"/>
        <s v="EMP0916"/>
        <s v="EMP0917"/>
        <s v="EMP0918"/>
        <s v="EMP0919"/>
        <s v="EMP0920"/>
        <s v="EMP0921"/>
        <s v="EMP0922"/>
        <s v="EMP0923"/>
        <s v="EMP0924"/>
        <s v="EMP0925"/>
        <s v="EMP0926"/>
        <s v="EMP0927"/>
        <s v="EMP0928"/>
        <s v="EMP0929"/>
        <s v="EMP0930"/>
        <s v="EMP0931"/>
        <s v="EMP0932"/>
        <s v="EMP0933"/>
        <s v="EMP0934"/>
        <s v="EMP0935"/>
        <s v="EMP0936"/>
        <s v="EMP0937"/>
        <s v="EMP0938"/>
        <s v="EMP0939"/>
        <s v="EMP0940"/>
        <s v="EMP0941"/>
        <s v="EMP0942"/>
        <s v="EMP0943"/>
        <s v="EMP0944"/>
        <s v="EMP0945"/>
        <s v="EMP0946"/>
        <s v="EMP0947"/>
        <s v="EMP0948"/>
        <s v="EMP0949"/>
        <s v="EMP0950"/>
        <s v="EMP0951"/>
        <s v="EMP0952"/>
        <s v="EMP0953"/>
        <s v="EMP0954"/>
        <s v="EMP0955"/>
        <s v="EMP0956"/>
        <s v="EMP0957"/>
        <s v="EMP0958"/>
        <s v="EMP0959"/>
        <s v="EMP0960"/>
        <s v="EMP0961"/>
        <s v="EMP0962"/>
        <s v="EMP0963"/>
        <s v="EMP0964"/>
        <s v="EMP0965"/>
        <s v="EMP0966"/>
        <s v="EMP0967"/>
        <s v="EMP0968"/>
        <s v="EMP0969"/>
        <s v="EMP0970"/>
        <s v="EMP0971"/>
        <s v="EMP0972"/>
        <s v="EMP0973"/>
        <s v="EMP0974"/>
        <s v="EMP0975"/>
        <s v="EMP0976"/>
        <s v="EMP0977"/>
        <s v="EMP0978"/>
        <s v="EMP0979"/>
        <s v="EMP0980"/>
        <s v="EMP0981"/>
        <s v="EMP0982"/>
        <s v="EMP0983"/>
        <s v="EMP0984"/>
        <s v="EMP0985"/>
        <s v="EMP0986"/>
        <s v="EMP0987"/>
        <s v="EMP0988"/>
        <s v="EMP0989"/>
        <s v="EMP0990"/>
        <s v="EMP0991"/>
        <s v="EMP0992"/>
        <s v="EMP0993"/>
        <s v="EMP0994"/>
        <s v="EMP0995"/>
        <s v="EMP0996"/>
        <s v="EMP0997"/>
        <s v="EMP0998"/>
        <s v="EMP0999"/>
        <s v="EMP1000"/>
        <s v="EMP1001"/>
        <s v="EMP1002"/>
        <s v="EMP1003"/>
        <s v="EMP1004"/>
        <s v="EMP1005"/>
        <s v="EMP1006"/>
        <s v="EMP1007"/>
        <s v="EMP1008"/>
        <s v="EMP1009"/>
        <s v="EMP1010"/>
        <s v="EMP1011"/>
        <s v="EMP1012"/>
        <s v="EMP1013"/>
        <s v="EMP1014"/>
        <s v="EMP1015"/>
        <s v="EMP1016"/>
        <s v="EMP1017"/>
        <s v="EMP1018"/>
        <s v="EMP1019"/>
        <s v="EMP1020"/>
        <s v="EMP1021"/>
        <s v="EMP1022"/>
        <s v="EMP1023"/>
        <s v="EMP1024"/>
        <s v="EMP1025"/>
        <s v="EMP1026"/>
        <s v="EMP1027"/>
        <s v="EMP1028"/>
        <s v="EMP1029"/>
        <s v="EMP1030"/>
        <s v="EMP1031"/>
        <s v="EMP1032"/>
        <s v="EMP1033"/>
        <s v="EMP1034"/>
        <s v="EMP1035"/>
        <s v="EMP1036"/>
        <s v="EMP1037"/>
        <s v="EMP1038"/>
        <s v="EMP1039"/>
        <s v="EMP1040"/>
        <s v="EMP1041"/>
        <s v="EMP1042"/>
        <s v="EMP1043"/>
        <s v="EMP1044"/>
        <s v="EMP1045"/>
        <s v="EMP1046"/>
        <s v="EMP1047"/>
        <s v="EMP1048"/>
        <s v="EMP1049"/>
        <s v="EMP1050"/>
        <s v="EMP1051"/>
        <s v="EMP1052"/>
        <s v="EMP1053"/>
        <s v="EMP1054"/>
        <s v="EMP1055"/>
        <s v="EMP1056"/>
        <s v="EMP1057"/>
        <s v="EMP1058"/>
        <s v="EMP1059"/>
        <s v="EMP1060"/>
        <s v="EMP1061"/>
        <s v="EMP1062"/>
        <s v="EMP1063"/>
        <s v="EMP1064"/>
        <s v="EMP1065"/>
        <s v="EMP1066"/>
        <s v="EMP1067"/>
        <s v="EMP1068"/>
        <s v="EMP1069"/>
        <s v="EMP1070"/>
        <s v="EMP1071"/>
        <s v="EMP1072"/>
        <s v="EMP1073"/>
        <s v="EMP1074"/>
        <s v="EMP1075"/>
        <s v="EMP1076"/>
        <s v="EMP1077"/>
        <s v="EMP1078"/>
        <s v="EMP1079"/>
        <s v="EMP1080"/>
        <s v="EMP1081"/>
        <s v="EMP1082"/>
        <s v="EMP1083"/>
        <s v="EMP1084"/>
        <s v="EMP1085"/>
        <s v="EMP1086"/>
        <s v="EMP1087"/>
        <s v="EMP1088"/>
        <s v="EMP1089"/>
        <s v="EMP1090"/>
        <s v="EMP1091"/>
        <s v="EMP1092"/>
        <s v="EMP1093"/>
        <s v="EMP1094"/>
        <s v="EMP1095"/>
        <s v="EMP1096"/>
        <s v="EMP1097"/>
        <s v="EMP1098"/>
        <s v="EMP1099"/>
        <s v="EMP1100"/>
        <s v="EMP1101"/>
        <s v="EMP1102"/>
        <s v="EMP1103"/>
        <s v="EMP1104"/>
        <s v="EMP1105"/>
        <s v="EMP1106"/>
        <s v="EMP1107"/>
        <s v="EMP1108"/>
        <s v="EMP1109"/>
        <s v="EMP1110"/>
        <s v="EMP1111"/>
        <s v="EMP1112"/>
        <s v="EMP1113"/>
        <s v="EMP1114"/>
        <s v="EMP1115"/>
        <s v="EMP1116"/>
        <s v="EMP1117"/>
        <s v="EMP1118"/>
        <s v="EMP1119"/>
        <s v="EMP1120"/>
        <s v="EMP1121"/>
        <s v="EMP1122"/>
        <s v="EMP1123"/>
        <s v="EMP1124"/>
        <s v="EMP1125"/>
        <s v="EMP1126"/>
        <s v="EMP1127"/>
        <s v="EMP1128"/>
        <s v="EMP1129"/>
        <s v="EMP1130"/>
        <s v="EMP1131"/>
        <s v="EMP1132"/>
        <s v="EMP1133"/>
        <s v="EMP1134"/>
        <s v="EMP1135"/>
        <s v="EMP1136"/>
        <s v="EMP1137"/>
        <s v="EMP1138"/>
        <s v="EMP1139"/>
        <s v="EMP1140"/>
        <s v="EMP1141"/>
        <s v="EMP1142"/>
        <s v="EMP1143"/>
        <s v="EMP1144"/>
        <s v="EMP1145"/>
        <s v="EMP1146"/>
        <s v="EMP1147"/>
        <s v="EMP1148"/>
        <s v="EMP1149"/>
        <s v="EMP1150"/>
        <s v="EMP1151"/>
        <s v="EMP1152"/>
        <s v="EMP1153"/>
        <s v="EMP1154"/>
        <s v="EMP1155"/>
        <s v="EMP1156"/>
        <s v="EMP1157"/>
        <s v="EMP1158"/>
        <s v="EMP1159"/>
        <s v="EMP1160"/>
        <s v="EMP1161"/>
        <s v="EMP1162"/>
        <s v="EMP1163"/>
        <s v="EMP1164"/>
        <s v="EMP1165"/>
        <s v="EMP1166"/>
        <s v="EMP1167"/>
        <s v="EMP1168"/>
        <s v="EMP1169"/>
        <s v="EMP1170"/>
        <s v="EMP1171"/>
        <s v="EMP1172"/>
        <s v="EMP1173"/>
        <s v="EMP1174"/>
        <s v="EMP1175"/>
        <s v="EMP1176"/>
        <s v="EMP1177"/>
        <s v="EMP1178"/>
        <s v="EMP1179"/>
        <s v="EMP1180"/>
        <s v="EMP1181"/>
        <s v="EMP1182"/>
        <s v="EMP1183"/>
        <s v="EMP1184"/>
        <s v="EMP1185"/>
        <s v="EMP1186"/>
        <s v="EMP1187"/>
        <s v="EMP1188"/>
        <s v="EMP1189"/>
        <s v="EMP1190"/>
        <s v="EMP1191"/>
        <s v="EMP1192"/>
        <s v="EMP1193"/>
        <s v="EMP1194"/>
        <s v="EMP1195"/>
        <s v="EMP1196"/>
        <s v="EMP1197"/>
        <s v="EMP1198"/>
        <s v="EMP1199"/>
        <s v="EMP1200"/>
      </sharedItems>
    </cacheField>
    <cacheField name="Age Group" numFmtId="0">
      <sharedItems count="5">
        <s v="35-44"/>
        <s v="25-34"/>
        <s v="45-54"/>
        <s v="Under 25"/>
        <s v="55+"/>
      </sharedItems>
    </cacheField>
    <cacheField name="Age" numFmtId="0">
      <sharedItems containsSemiMixedTypes="0" containsString="0" containsNumber="1" containsInteger="1" minValue="21" maxValue="60"/>
    </cacheField>
    <cacheField name="Gender" numFmtId="0">
      <sharedItems count="2">
        <s v="Male"/>
        <s v="Female"/>
      </sharedItems>
    </cacheField>
    <cacheField name="Department" numFmtId="0">
      <sharedItems count="6">
        <s v="Operations"/>
        <s v="Sales"/>
        <s v="HR"/>
        <s v="IT"/>
        <s v="Marketing"/>
        <s v="Finance"/>
      </sharedItems>
    </cacheField>
    <cacheField name="JobRole" numFmtId="0">
      <sharedItems count="19">
        <s v="Logistics Coordinator"/>
        <s v="Sales Manager"/>
        <s v="Operations Manager"/>
        <s v="Sales Executive"/>
        <s v="HR Manager"/>
        <s v="IT Manager"/>
        <s v="Marketing Executive"/>
        <s v="Account Manager"/>
        <s v="Accountant"/>
        <s v="IT Support"/>
        <s v="Marketing Manager"/>
        <s v="Operations Executive"/>
        <s v="Financial Analyst"/>
        <s v="Recruiter"/>
        <s v="Finance Manager"/>
        <s v="Digital Marketer"/>
        <s v="Data Analyst"/>
        <s v="HR Executive"/>
        <s v="Software Engineer"/>
      </sharedItems>
    </cacheField>
    <cacheField name="Education" numFmtId="0">
      <sharedItems/>
    </cacheField>
    <cacheField name="Marital Status" numFmtId="0">
      <sharedItems/>
    </cacheField>
    <cacheField name="Monthly Income_INR" numFmtId="0">
      <sharedItems containsSemiMixedTypes="0" containsString="0" containsNumber="1" containsInteger="1" minValue="22000" maxValue="131586"/>
    </cacheField>
    <cacheField name="Years At Company" numFmtId="0">
      <sharedItems containsSemiMixedTypes="0" containsString="0" containsNumber="1" containsInteger="1" minValue="0" maxValue="25"/>
    </cacheField>
    <cacheField name="Years In Current Role" numFmtId="0">
      <sharedItems containsSemiMixedTypes="0" containsString="0" containsNumber="1" containsInteger="1" minValue="0" maxValue="12"/>
    </cacheField>
    <cacheField name="Job Satisfaction" numFmtId="0">
      <sharedItems containsSemiMixedTypes="0" containsString="0" containsNumber="1" containsInteger="1" minValue="1" maxValue="4" count="4">
        <n v="4"/>
        <n v="3"/>
        <n v="1"/>
        <n v="2"/>
      </sharedItems>
    </cacheField>
    <cacheField name="Work Life Balance" numFmtId="0">
      <sharedItems containsSemiMixedTypes="0" containsString="0" containsNumber="1" containsInteger="1" minValue="1" maxValue="4" count="4">
        <n v="3"/>
        <n v="2"/>
        <n v="1"/>
        <n v="4"/>
      </sharedItems>
    </cacheField>
    <cacheField name="Over Time" numFmtId="0">
      <sharedItems/>
    </cacheField>
    <cacheField name="Business Travel" numFmtId="0">
      <sharedItems/>
    </cacheField>
    <cacheField name="Performance Rating" numFmtId="0">
      <sharedItems containsSemiMixedTypes="0" containsString="0" containsNumber="1" containsInteger="1" minValue="2" maxValue="4"/>
    </cacheField>
    <cacheField name="Training Times Last Year" numFmtId="0">
      <sharedItems containsSemiMixedTypes="0" containsString="0" containsNumber="1" containsInteger="1" minValue="0" maxValue="6"/>
    </cacheField>
    <cacheField name="Promotion Last 5Years" numFmtId="49">
      <sharedItems/>
    </cacheField>
    <cacheField name="Attrition" numFmtId="49">
      <sharedItems count="2">
        <s v="No"/>
        <s v="Yes"/>
      </sharedItems>
    </cacheField>
    <cacheField name="Tenure Group" numFmtId="0">
      <sharedItems count="5">
        <s v="6-10 Years"/>
        <s v="11+ Years"/>
        <s v="1-2 Years"/>
        <s v="3-5 Years"/>
        <s v="Less than 1 Yea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x v="0"/>
    <n v="41"/>
    <x v="0"/>
    <x v="0"/>
    <x v="0"/>
    <s v="Master's"/>
    <s v="Married"/>
    <n v="22077"/>
    <n v="10"/>
    <n v="0"/>
    <x v="0"/>
    <x v="0"/>
    <s v="Yes"/>
    <s v="Travel_Rarely"/>
    <n v="3"/>
    <n v="4"/>
    <s v="No"/>
    <x v="0"/>
    <x v="0"/>
  </r>
  <r>
    <x v="1"/>
    <x v="0"/>
    <n v="37"/>
    <x v="0"/>
    <x v="1"/>
    <x v="1"/>
    <s v="High School"/>
    <s v="Single"/>
    <n v="84325"/>
    <n v="17"/>
    <n v="0"/>
    <x v="1"/>
    <x v="0"/>
    <s v="No"/>
    <s v="Travel_Frequently"/>
    <n v="4"/>
    <n v="4"/>
    <s v="No"/>
    <x v="0"/>
    <x v="1"/>
  </r>
  <r>
    <x v="2"/>
    <x v="1"/>
    <n v="31"/>
    <x v="1"/>
    <x v="0"/>
    <x v="2"/>
    <s v="Master's"/>
    <s v="Single"/>
    <n v="47096"/>
    <n v="10"/>
    <n v="4"/>
    <x v="1"/>
    <x v="1"/>
    <s v="No"/>
    <s v="Travel_Rarely"/>
    <n v="3"/>
    <n v="2"/>
    <s v="No"/>
    <x v="0"/>
    <x v="0"/>
  </r>
  <r>
    <x v="3"/>
    <x v="0"/>
    <n v="36"/>
    <x v="0"/>
    <x v="0"/>
    <x v="2"/>
    <s v="Bachelor's"/>
    <s v="Married"/>
    <n v="69811"/>
    <n v="15"/>
    <n v="5"/>
    <x v="1"/>
    <x v="1"/>
    <s v="No"/>
    <s v="Non-Travel"/>
    <n v="3"/>
    <n v="5"/>
    <s v="No"/>
    <x v="0"/>
    <x v="1"/>
  </r>
  <r>
    <x v="4"/>
    <x v="1"/>
    <n v="28"/>
    <x v="0"/>
    <x v="1"/>
    <x v="3"/>
    <s v="Bachelor's"/>
    <s v="Married"/>
    <n v="27976"/>
    <n v="1"/>
    <n v="1"/>
    <x v="0"/>
    <x v="0"/>
    <s v="No"/>
    <s v="Travel_Rarely"/>
    <n v="3"/>
    <n v="3"/>
    <s v="Yes"/>
    <x v="0"/>
    <x v="2"/>
  </r>
  <r>
    <x v="5"/>
    <x v="1"/>
    <n v="27"/>
    <x v="0"/>
    <x v="1"/>
    <x v="3"/>
    <s v="High School"/>
    <s v="Married"/>
    <n v="68133"/>
    <n v="8"/>
    <n v="2"/>
    <x v="1"/>
    <x v="0"/>
    <s v="Yes"/>
    <s v="Travel_Rarely"/>
    <n v="3"/>
    <n v="2"/>
    <s v="No"/>
    <x v="1"/>
    <x v="0"/>
  </r>
  <r>
    <x v="6"/>
    <x v="0"/>
    <n v="35"/>
    <x v="1"/>
    <x v="2"/>
    <x v="4"/>
    <s v="Master's"/>
    <s v="Married"/>
    <n v="74823"/>
    <n v="2"/>
    <n v="2"/>
    <x v="1"/>
    <x v="0"/>
    <s v="No"/>
    <s v="Travel_Rarely"/>
    <n v="3"/>
    <n v="1"/>
    <s v="Yes"/>
    <x v="0"/>
    <x v="2"/>
  </r>
  <r>
    <x v="7"/>
    <x v="2"/>
    <n v="45"/>
    <x v="1"/>
    <x v="3"/>
    <x v="5"/>
    <s v="High School"/>
    <s v="Married"/>
    <n v="81225"/>
    <n v="6"/>
    <n v="5"/>
    <x v="1"/>
    <x v="1"/>
    <s v="No"/>
    <s v="Travel_Frequently"/>
    <n v="3"/>
    <n v="4"/>
    <s v="No"/>
    <x v="0"/>
    <x v="0"/>
  </r>
  <r>
    <x v="8"/>
    <x v="0"/>
    <n v="36"/>
    <x v="0"/>
    <x v="0"/>
    <x v="0"/>
    <s v="Bachelor's"/>
    <s v="Single"/>
    <n v="100239"/>
    <n v="13"/>
    <n v="4"/>
    <x v="1"/>
    <x v="2"/>
    <s v="No"/>
    <s v="Non-Travel"/>
    <n v="3"/>
    <n v="4"/>
    <s v="No"/>
    <x v="0"/>
    <x v="1"/>
  </r>
  <r>
    <x v="9"/>
    <x v="1"/>
    <n v="31"/>
    <x v="1"/>
    <x v="4"/>
    <x v="6"/>
    <s v="Bachelor's"/>
    <s v="Married"/>
    <n v="78973"/>
    <n v="6"/>
    <n v="2"/>
    <x v="2"/>
    <x v="3"/>
    <s v="No"/>
    <s v="Travel_Frequently"/>
    <n v="2"/>
    <n v="1"/>
    <s v="No"/>
    <x v="0"/>
    <x v="0"/>
  </r>
  <r>
    <x v="10"/>
    <x v="1"/>
    <n v="31"/>
    <x v="1"/>
    <x v="3"/>
    <x v="5"/>
    <s v="Master's"/>
    <s v="Married"/>
    <n v="61902"/>
    <n v="4"/>
    <n v="4"/>
    <x v="0"/>
    <x v="3"/>
    <s v="No"/>
    <s v="Travel_Rarely"/>
    <n v="2"/>
    <n v="3"/>
    <s v="No"/>
    <x v="0"/>
    <x v="3"/>
  </r>
  <r>
    <x v="11"/>
    <x v="1"/>
    <n v="31"/>
    <x v="0"/>
    <x v="1"/>
    <x v="1"/>
    <s v="Bachelor's"/>
    <s v="Divorced"/>
    <n v="43767"/>
    <n v="13"/>
    <n v="2"/>
    <x v="1"/>
    <x v="0"/>
    <s v="Yes"/>
    <s v="Travel_Frequently"/>
    <n v="3"/>
    <n v="1"/>
    <s v="No"/>
    <x v="0"/>
    <x v="1"/>
  </r>
  <r>
    <x v="12"/>
    <x v="1"/>
    <n v="25"/>
    <x v="1"/>
    <x v="1"/>
    <x v="1"/>
    <s v="Bachelor's"/>
    <s v="Single"/>
    <n v="36885"/>
    <n v="0"/>
    <n v="0"/>
    <x v="0"/>
    <x v="0"/>
    <s v="Yes"/>
    <s v="Travel_Frequently"/>
    <n v="3"/>
    <n v="3"/>
    <s v="No"/>
    <x v="0"/>
    <x v="4"/>
  </r>
  <r>
    <x v="13"/>
    <x v="1"/>
    <n v="25"/>
    <x v="0"/>
    <x v="0"/>
    <x v="0"/>
    <s v="PhD"/>
    <s v="Married"/>
    <n v="101320"/>
    <n v="2"/>
    <n v="2"/>
    <x v="0"/>
    <x v="1"/>
    <s v="No"/>
    <s v="Travel_Rarely"/>
    <n v="4"/>
    <n v="1"/>
    <s v="No"/>
    <x v="0"/>
    <x v="2"/>
  </r>
  <r>
    <x v="14"/>
    <x v="0"/>
    <n v="37"/>
    <x v="1"/>
    <x v="1"/>
    <x v="7"/>
    <s v="Master's"/>
    <s v="Single"/>
    <n v="66992"/>
    <n v="3"/>
    <n v="0"/>
    <x v="1"/>
    <x v="1"/>
    <s v="No"/>
    <s v="Travel_Rarely"/>
    <n v="3"/>
    <n v="2"/>
    <s v="No"/>
    <x v="0"/>
    <x v="3"/>
  </r>
  <r>
    <x v="15"/>
    <x v="1"/>
    <n v="31"/>
    <x v="0"/>
    <x v="1"/>
    <x v="1"/>
    <s v="High School"/>
    <s v="Married"/>
    <n v="87060"/>
    <n v="12"/>
    <n v="12"/>
    <x v="1"/>
    <x v="3"/>
    <s v="No"/>
    <s v="Travel_Frequently"/>
    <n v="2"/>
    <n v="2"/>
    <s v="No"/>
    <x v="0"/>
    <x v="1"/>
  </r>
  <r>
    <x v="16"/>
    <x v="2"/>
    <n v="50"/>
    <x v="0"/>
    <x v="4"/>
    <x v="6"/>
    <s v="Bachelor's"/>
    <s v="Married"/>
    <n v="58677"/>
    <n v="4"/>
    <n v="4"/>
    <x v="1"/>
    <x v="3"/>
    <s v="No"/>
    <s v="Non-Travel"/>
    <n v="3"/>
    <n v="1"/>
    <s v="No"/>
    <x v="0"/>
    <x v="3"/>
  </r>
  <r>
    <x v="17"/>
    <x v="1"/>
    <n v="27"/>
    <x v="1"/>
    <x v="5"/>
    <x v="8"/>
    <s v="Unknown"/>
    <s v="Married"/>
    <n v="26329"/>
    <n v="4"/>
    <n v="0"/>
    <x v="1"/>
    <x v="1"/>
    <s v="No"/>
    <s v="Travel_Rarely"/>
    <n v="3"/>
    <n v="4"/>
    <s v="Yes"/>
    <x v="0"/>
    <x v="3"/>
  </r>
  <r>
    <x v="18"/>
    <x v="1"/>
    <n v="33"/>
    <x v="1"/>
    <x v="3"/>
    <x v="9"/>
    <s v="Master's"/>
    <s v="Married"/>
    <n v="74564"/>
    <n v="14"/>
    <n v="11"/>
    <x v="3"/>
    <x v="1"/>
    <s v="No"/>
    <s v="Non-Travel"/>
    <n v="2"/>
    <n v="1"/>
    <s v="Yes"/>
    <x v="0"/>
    <x v="1"/>
  </r>
  <r>
    <x v="19"/>
    <x v="0"/>
    <n v="35"/>
    <x v="0"/>
    <x v="3"/>
    <x v="5"/>
    <s v="High School"/>
    <s v="Married"/>
    <n v="71962"/>
    <n v="9"/>
    <n v="7"/>
    <x v="3"/>
    <x v="1"/>
    <s v="No"/>
    <s v="Travel_Rarely"/>
    <n v="3"/>
    <n v="5"/>
    <s v="Yes"/>
    <x v="0"/>
    <x v="0"/>
  </r>
  <r>
    <x v="20"/>
    <x v="0"/>
    <n v="38"/>
    <x v="0"/>
    <x v="1"/>
    <x v="1"/>
    <s v="Bachelor's"/>
    <s v="Married"/>
    <n v="85403"/>
    <n v="14"/>
    <n v="1"/>
    <x v="0"/>
    <x v="3"/>
    <s v="Yes"/>
    <s v="Travel_Rarely"/>
    <n v="3"/>
    <n v="4"/>
    <s v="Yes"/>
    <x v="0"/>
    <x v="1"/>
  </r>
  <r>
    <x v="21"/>
    <x v="0"/>
    <n v="36"/>
    <x v="1"/>
    <x v="2"/>
    <x v="4"/>
    <s v="Bachelor's"/>
    <s v="Divorced"/>
    <n v="56817"/>
    <n v="7"/>
    <n v="1"/>
    <x v="1"/>
    <x v="0"/>
    <s v="No"/>
    <s v="Travel_Rarely"/>
    <n v="3"/>
    <n v="1"/>
    <s v="No"/>
    <x v="0"/>
    <x v="0"/>
  </r>
  <r>
    <x v="22"/>
    <x v="2"/>
    <n v="48"/>
    <x v="1"/>
    <x v="4"/>
    <x v="10"/>
    <s v="Master's"/>
    <s v="Married"/>
    <n v="74659"/>
    <n v="20"/>
    <n v="4"/>
    <x v="0"/>
    <x v="0"/>
    <s v="Yes"/>
    <s v="Travel_Rarely"/>
    <n v="3"/>
    <n v="0"/>
    <s v="No"/>
    <x v="0"/>
    <x v="1"/>
  </r>
  <r>
    <x v="23"/>
    <x v="0"/>
    <n v="41"/>
    <x v="0"/>
    <x v="1"/>
    <x v="7"/>
    <s v="Bachelor's"/>
    <s v="Married"/>
    <n v="81077"/>
    <n v="14"/>
    <n v="8"/>
    <x v="0"/>
    <x v="1"/>
    <s v="Yes"/>
    <s v="Travel_Frequently"/>
    <n v="3"/>
    <n v="5"/>
    <s v="No"/>
    <x v="0"/>
    <x v="1"/>
  </r>
  <r>
    <x v="24"/>
    <x v="0"/>
    <n v="37"/>
    <x v="0"/>
    <x v="1"/>
    <x v="7"/>
    <s v="High School"/>
    <s v="Single"/>
    <n v="78392"/>
    <n v="2"/>
    <n v="1"/>
    <x v="1"/>
    <x v="0"/>
    <s v="Yes"/>
    <s v="Travel_Frequently"/>
    <n v="3"/>
    <n v="1"/>
    <s v="No"/>
    <x v="1"/>
    <x v="2"/>
  </r>
  <r>
    <x v="25"/>
    <x v="1"/>
    <n v="30"/>
    <x v="1"/>
    <x v="0"/>
    <x v="2"/>
    <s v="Bachelor's"/>
    <s v="Married"/>
    <n v="88506"/>
    <n v="5"/>
    <n v="1"/>
    <x v="0"/>
    <x v="0"/>
    <s v="No"/>
    <s v="Travel_Rarely"/>
    <n v="3"/>
    <n v="4"/>
    <s v="Yes"/>
    <x v="0"/>
    <x v="3"/>
  </r>
  <r>
    <x v="26"/>
    <x v="1"/>
    <n v="29"/>
    <x v="1"/>
    <x v="0"/>
    <x v="2"/>
    <s v="High School"/>
    <s v="Married"/>
    <n v="69450"/>
    <n v="11"/>
    <n v="11"/>
    <x v="1"/>
    <x v="0"/>
    <s v="Yes"/>
    <s v="Travel_Rarely"/>
    <n v="4"/>
    <n v="2"/>
    <s v="No"/>
    <x v="0"/>
    <x v="1"/>
  </r>
  <r>
    <x v="27"/>
    <x v="2"/>
    <n v="45"/>
    <x v="0"/>
    <x v="0"/>
    <x v="0"/>
    <s v="Master's"/>
    <s v="Single"/>
    <n v="29750"/>
    <n v="0"/>
    <n v="0"/>
    <x v="3"/>
    <x v="0"/>
    <s v="No"/>
    <s v="Travel_Rarely"/>
    <n v="4"/>
    <n v="5"/>
    <s v="Yes"/>
    <x v="0"/>
    <x v="4"/>
  </r>
  <r>
    <x v="28"/>
    <x v="0"/>
    <n v="36"/>
    <x v="0"/>
    <x v="0"/>
    <x v="11"/>
    <s v="High School"/>
    <s v="Single"/>
    <n v="70042"/>
    <n v="2"/>
    <n v="1"/>
    <x v="2"/>
    <x v="1"/>
    <s v="No"/>
    <s v="Travel_Rarely"/>
    <n v="3"/>
    <n v="0"/>
    <s v="No"/>
    <x v="0"/>
    <x v="2"/>
  </r>
  <r>
    <x v="29"/>
    <x v="3"/>
    <n v="24"/>
    <x v="0"/>
    <x v="5"/>
    <x v="8"/>
    <s v="High School"/>
    <s v="Married"/>
    <n v="22000"/>
    <n v="6"/>
    <n v="1"/>
    <x v="2"/>
    <x v="3"/>
    <s v="Yes"/>
    <s v="Travel_Rarely"/>
    <n v="3"/>
    <n v="5"/>
    <s v="Yes"/>
    <x v="0"/>
    <x v="0"/>
  </r>
  <r>
    <x v="30"/>
    <x v="1"/>
    <n v="28"/>
    <x v="1"/>
    <x v="0"/>
    <x v="0"/>
    <s v="Master's"/>
    <s v="Married"/>
    <n v="32428"/>
    <n v="6"/>
    <n v="3"/>
    <x v="3"/>
    <x v="1"/>
    <s v="No"/>
    <s v="Travel_Frequently"/>
    <n v="3"/>
    <n v="1"/>
    <s v="Yes"/>
    <x v="0"/>
    <x v="0"/>
  </r>
  <r>
    <x v="31"/>
    <x v="1"/>
    <n v="30"/>
    <x v="0"/>
    <x v="1"/>
    <x v="3"/>
    <s v="Master's"/>
    <s v="Married"/>
    <n v="41465"/>
    <n v="10"/>
    <n v="2"/>
    <x v="1"/>
    <x v="3"/>
    <s v="No"/>
    <s v="Travel_Rarely"/>
    <n v="3"/>
    <n v="1"/>
    <s v="No"/>
    <x v="0"/>
    <x v="0"/>
  </r>
  <r>
    <x v="32"/>
    <x v="1"/>
    <n v="33"/>
    <x v="0"/>
    <x v="4"/>
    <x v="6"/>
    <s v="Bachelor's"/>
    <s v="Single"/>
    <n v="107922"/>
    <n v="2"/>
    <n v="2"/>
    <x v="2"/>
    <x v="1"/>
    <s v="No"/>
    <s v="Travel_Rarely"/>
    <n v="3"/>
    <n v="2"/>
    <s v="No"/>
    <x v="0"/>
    <x v="2"/>
  </r>
  <r>
    <x v="33"/>
    <x v="1"/>
    <n v="26"/>
    <x v="0"/>
    <x v="5"/>
    <x v="12"/>
    <s v="Master's"/>
    <s v="Married"/>
    <n v="58549"/>
    <n v="8"/>
    <n v="0"/>
    <x v="1"/>
    <x v="1"/>
    <s v="No"/>
    <s v="Travel_Rarely"/>
    <n v="3"/>
    <n v="3"/>
    <s v="No"/>
    <x v="0"/>
    <x v="0"/>
  </r>
  <r>
    <x v="34"/>
    <x v="4"/>
    <n v="55"/>
    <x v="1"/>
    <x v="2"/>
    <x v="13"/>
    <s v="High School"/>
    <s v="Single"/>
    <n v="96530"/>
    <n v="16"/>
    <n v="12"/>
    <x v="0"/>
    <x v="3"/>
    <s v="No"/>
    <s v="Travel_Rarely"/>
    <n v="3"/>
    <n v="3"/>
    <s v="No"/>
    <x v="0"/>
    <x v="1"/>
  </r>
  <r>
    <x v="35"/>
    <x v="0"/>
    <n v="37"/>
    <x v="0"/>
    <x v="0"/>
    <x v="0"/>
    <s v="Bachelor's"/>
    <s v="Single"/>
    <n v="74987"/>
    <n v="1"/>
    <n v="0"/>
    <x v="3"/>
    <x v="1"/>
    <s v="Yes"/>
    <s v="Non-Travel"/>
    <n v="3"/>
    <n v="4"/>
    <s v="No"/>
    <x v="1"/>
    <x v="2"/>
  </r>
  <r>
    <x v="36"/>
    <x v="2"/>
    <n v="54"/>
    <x v="1"/>
    <x v="3"/>
    <x v="9"/>
    <s v="High School"/>
    <s v="Married"/>
    <n v="52689"/>
    <n v="24"/>
    <n v="5"/>
    <x v="1"/>
    <x v="0"/>
    <s v="No"/>
    <s v="Travel_Rarely"/>
    <n v="2"/>
    <n v="5"/>
    <s v="No"/>
    <x v="0"/>
    <x v="1"/>
  </r>
  <r>
    <x v="37"/>
    <x v="1"/>
    <n v="27"/>
    <x v="1"/>
    <x v="4"/>
    <x v="6"/>
    <s v="Bachelor's"/>
    <s v="Divorced"/>
    <n v="94387"/>
    <n v="2"/>
    <n v="2"/>
    <x v="3"/>
    <x v="0"/>
    <s v="No"/>
    <s v="Non-Travel"/>
    <n v="3"/>
    <n v="0"/>
    <s v="No"/>
    <x v="0"/>
    <x v="2"/>
  </r>
  <r>
    <x v="38"/>
    <x v="0"/>
    <n v="40"/>
    <x v="0"/>
    <x v="1"/>
    <x v="1"/>
    <s v="High School"/>
    <s v="Single"/>
    <n v="90251"/>
    <n v="5"/>
    <n v="1"/>
    <x v="1"/>
    <x v="2"/>
    <s v="No"/>
    <s v="Travel_Frequently"/>
    <n v="3"/>
    <n v="3"/>
    <s v="No"/>
    <x v="0"/>
    <x v="3"/>
  </r>
  <r>
    <x v="39"/>
    <x v="0"/>
    <n v="40"/>
    <x v="0"/>
    <x v="5"/>
    <x v="14"/>
    <s v="Bachelor's"/>
    <s v="Single"/>
    <n v="70081"/>
    <n v="21"/>
    <n v="10"/>
    <x v="0"/>
    <x v="3"/>
    <s v="No"/>
    <s v="Travel_Frequently"/>
    <n v="3"/>
    <n v="0"/>
    <s v="No"/>
    <x v="0"/>
    <x v="1"/>
  </r>
  <r>
    <x v="40"/>
    <x v="0"/>
    <n v="35"/>
    <x v="1"/>
    <x v="3"/>
    <x v="5"/>
    <s v="Master's"/>
    <s v="Married"/>
    <n v="84804"/>
    <n v="16"/>
    <n v="5"/>
    <x v="3"/>
    <x v="2"/>
    <s v="Yes"/>
    <s v="Travel_Rarely"/>
    <n v="3"/>
    <n v="1"/>
    <s v="No"/>
    <x v="1"/>
    <x v="1"/>
  </r>
  <r>
    <x v="41"/>
    <x v="2"/>
    <n v="45"/>
    <x v="1"/>
    <x v="4"/>
    <x v="6"/>
    <s v="Bachelor's"/>
    <s v="Married"/>
    <n v="59444"/>
    <n v="22"/>
    <n v="6"/>
    <x v="0"/>
    <x v="0"/>
    <s v="Yes"/>
    <s v="Travel_Frequently"/>
    <n v="4"/>
    <n v="0"/>
    <s v="No"/>
    <x v="0"/>
    <x v="1"/>
  </r>
  <r>
    <x v="42"/>
    <x v="0"/>
    <n v="36"/>
    <x v="1"/>
    <x v="4"/>
    <x v="6"/>
    <s v="High School"/>
    <s v="Married"/>
    <n v="28661"/>
    <n v="18"/>
    <n v="10"/>
    <x v="2"/>
    <x v="3"/>
    <s v="No"/>
    <s v="Travel_Frequently"/>
    <n v="3"/>
    <n v="5"/>
    <s v="No"/>
    <x v="0"/>
    <x v="1"/>
  </r>
  <r>
    <x v="43"/>
    <x v="0"/>
    <n v="39"/>
    <x v="0"/>
    <x v="0"/>
    <x v="2"/>
    <s v="Master's"/>
    <s v="Single"/>
    <n v="74858"/>
    <n v="9"/>
    <n v="8"/>
    <x v="1"/>
    <x v="2"/>
    <s v="No"/>
    <s v="Travel_Rarely"/>
    <n v="3"/>
    <n v="4"/>
    <s v="No"/>
    <x v="0"/>
    <x v="0"/>
  </r>
  <r>
    <x v="44"/>
    <x v="1"/>
    <n v="31"/>
    <x v="0"/>
    <x v="1"/>
    <x v="3"/>
    <s v="Master's"/>
    <s v="Single"/>
    <n v="70916"/>
    <n v="8"/>
    <n v="3"/>
    <x v="1"/>
    <x v="2"/>
    <s v="No"/>
    <s v="Travel_Frequently"/>
    <n v="3"/>
    <n v="0"/>
    <s v="No"/>
    <x v="0"/>
    <x v="0"/>
  </r>
  <r>
    <x v="45"/>
    <x v="1"/>
    <n v="32"/>
    <x v="0"/>
    <x v="5"/>
    <x v="12"/>
    <s v="High School"/>
    <s v="Married"/>
    <n v="60821"/>
    <n v="1"/>
    <n v="0"/>
    <x v="3"/>
    <x v="2"/>
    <s v="No"/>
    <s v="Travel_Rarely"/>
    <n v="3"/>
    <n v="3"/>
    <s v="No"/>
    <x v="0"/>
    <x v="2"/>
  </r>
  <r>
    <x v="46"/>
    <x v="3"/>
    <n v="21"/>
    <x v="0"/>
    <x v="4"/>
    <x v="10"/>
    <s v="Bachelor's"/>
    <s v="Married"/>
    <n v="56409"/>
    <n v="2"/>
    <n v="0"/>
    <x v="1"/>
    <x v="1"/>
    <s v="No"/>
    <s v="Non-Travel"/>
    <n v="3"/>
    <n v="2"/>
    <s v="Yes"/>
    <x v="0"/>
    <x v="2"/>
  </r>
  <r>
    <x v="47"/>
    <x v="1"/>
    <n v="34"/>
    <x v="0"/>
    <x v="4"/>
    <x v="15"/>
    <s v="Bachelor's"/>
    <s v="Single"/>
    <n v="57468"/>
    <n v="8"/>
    <n v="4"/>
    <x v="0"/>
    <x v="1"/>
    <s v="No"/>
    <s v="Travel_Frequently"/>
    <n v="3"/>
    <n v="6"/>
    <s v="No"/>
    <x v="0"/>
    <x v="0"/>
  </r>
  <r>
    <x v="48"/>
    <x v="2"/>
    <n v="54"/>
    <x v="1"/>
    <x v="3"/>
    <x v="16"/>
    <s v="Bachelor's"/>
    <s v="Married"/>
    <n v="73529"/>
    <n v="4"/>
    <n v="0"/>
    <x v="0"/>
    <x v="0"/>
    <s v="No"/>
    <s v="Travel_Frequently"/>
    <n v="3"/>
    <n v="3"/>
    <s v="No"/>
    <x v="0"/>
    <x v="3"/>
  </r>
  <r>
    <x v="49"/>
    <x v="1"/>
    <n v="31"/>
    <x v="1"/>
    <x v="1"/>
    <x v="7"/>
    <s v="Bachelor's"/>
    <s v="Single"/>
    <n v="71909"/>
    <n v="4"/>
    <n v="4"/>
    <x v="1"/>
    <x v="2"/>
    <s v="Yes"/>
    <s v="Non-Travel"/>
    <n v="2"/>
    <n v="0"/>
    <s v="Yes"/>
    <x v="0"/>
    <x v="3"/>
  </r>
  <r>
    <x v="50"/>
    <x v="1"/>
    <n v="34"/>
    <x v="1"/>
    <x v="1"/>
    <x v="7"/>
    <s v="Bachelor's"/>
    <s v="Married"/>
    <n v="43528"/>
    <n v="1"/>
    <n v="1"/>
    <x v="3"/>
    <x v="1"/>
    <s v="No"/>
    <s v="Travel_Rarely"/>
    <n v="2"/>
    <n v="0"/>
    <s v="Yes"/>
    <x v="0"/>
    <x v="2"/>
  </r>
  <r>
    <x v="51"/>
    <x v="0"/>
    <n v="40"/>
    <x v="1"/>
    <x v="3"/>
    <x v="16"/>
    <s v="High School"/>
    <s v="Married"/>
    <n v="42509"/>
    <n v="12"/>
    <n v="10"/>
    <x v="3"/>
    <x v="1"/>
    <s v="No"/>
    <s v="Travel_Rarely"/>
    <n v="3"/>
    <n v="2"/>
    <s v="No"/>
    <x v="0"/>
    <x v="1"/>
  </r>
  <r>
    <x v="52"/>
    <x v="0"/>
    <n v="39"/>
    <x v="1"/>
    <x v="0"/>
    <x v="11"/>
    <s v="Master's"/>
    <s v="Single"/>
    <n v="71119"/>
    <n v="3"/>
    <n v="1"/>
    <x v="2"/>
    <x v="1"/>
    <s v="No"/>
    <s v="Non-Travel"/>
    <n v="3"/>
    <n v="0"/>
    <s v="No"/>
    <x v="0"/>
    <x v="3"/>
  </r>
  <r>
    <x v="53"/>
    <x v="2"/>
    <n v="49"/>
    <x v="0"/>
    <x v="0"/>
    <x v="0"/>
    <s v="Bachelor's"/>
    <s v="Married"/>
    <n v="56822"/>
    <n v="11"/>
    <n v="1"/>
    <x v="0"/>
    <x v="1"/>
    <s v="Yes"/>
    <s v="Travel_Rarely"/>
    <n v="3"/>
    <n v="6"/>
    <s v="No"/>
    <x v="0"/>
    <x v="1"/>
  </r>
  <r>
    <x v="54"/>
    <x v="0"/>
    <n v="40"/>
    <x v="0"/>
    <x v="5"/>
    <x v="8"/>
    <s v="Master's"/>
    <s v="Married"/>
    <n v="79011"/>
    <n v="4"/>
    <n v="3"/>
    <x v="2"/>
    <x v="1"/>
    <s v="No"/>
    <s v="Travel_Rarely"/>
    <n v="3"/>
    <n v="2"/>
    <s v="No"/>
    <x v="0"/>
    <x v="3"/>
  </r>
  <r>
    <x v="55"/>
    <x v="0"/>
    <n v="36"/>
    <x v="0"/>
    <x v="1"/>
    <x v="3"/>
    <s v="Master's"/>
    <s v="Married"/>
    <n v="73733"/>
    <n v="12"/>
    <n v="9"/>
    <x v="1"/>
    <x v="3"/>
    <s v="No"/>
    <s v="Non-Travel"/>
    <n v="4"/>
    <n v="4"/>
    <s v="Yes"/>
    <x v="0"/>
    <x v="1"/>
  </r>
  <r>
    <x v="56"/>
    <x v="1"/>
    <n v="29"/>
    <x v="0"/>
    <x v="5"/>
    <x v="8"/>
    <s v="Bachelor's"/>
    <s v="Married"/>
    <n v="76246"/>
    <n v="3"/>
    <n v="1"/>
    <x v="1"/>
    <x v="3"/>
    <s v="No"/>
    <s v="Travel_Rarely"/>
    <n v="3"/>
    <n v="4"/>
    <s v="No"/>
    <x v="0"/>
    <x v="3"/>
  </r>
  <r>
    <x v="57"/>
    <x v="2"/>
    <n v="45"/>
    <x v="0"/>
    <x v="0"/>
    <x v="0"/>
    <s v="Master's"/>
    <s v="Married"/>
    <n v="62090"/>
    <n v="19"/>
    <n v="7"/>
    <x v="0"/>
    <x v="0"/>
    <s v="No"/>
    <s v="Non-Travel"/>
    <n v="3"/>
    <n v="2"/>
    <s v="No"/>
    <x v="0"/>
    <x v="1"/>
  </r>
  <r>
    <x v="58"/>
    <x v="1"/>
    <n v="25"/>
    <x v="1"/>
    <x v="0"/>
    <x v="0"/>
    <s v="Master's"/>
    <s v="Married"/>
    <n v="96631"/>
    <n v="1"/>
    <n v="0"/>
    <x v="0"/>
    <x v="3"/>
    <s v="No"/>
    <s v="Travel_Rarely"/>
    <n v="3"/>
    <n v="1"/>
    <s v="No"/>
    <x v="0"/>
    <x v="2"/>
  </r>
  <r>
    <x v="59"/>
    <x v="2"/>
    <n v="47"/>
    <x v="1"/>
    <x v="0"/>
    <x v="0"/>
    <s v="Master's"/>
    <s v="Married"/>
    <n v="56644"/>
    <n v="11"/>
    <n v="1"/>
    <x v="0"/>
    <x v="3"/>
    <s v="No"/>
    <s v="Travel_Rarely"/>
    <n v="3"/>
    <n v="3"/>
    <s v="No"/>
    <x v="0"/>
    <x v="1"/>
  </r>
  <r>
    <x v="60"/>
    <x v="4"/>
    <n v="60"/>
    <x v="1"/>
    <x v="3"/>
    <x v="9"/>
    <s v="Master's"/>
    <s v="Single"/>
    <n v="49440"/>
    <n v="8"/>
    <n v="5"/>
    <x v="1"/>
    <x v="3"/>
    <s v="No"/>
    <s v="Travel_Rarely"/>
    <n v="3"/>
    <n v="4"/>
    <s v="No"/>
    <x v="0"/>
    <x v="0"/>
  </r>
  <r>
    <x v="61"/>
    <x v="1"/>
    <n v="27"/>
    <x v="1"/>
    <x v="4"/>
    <x v="6"/>
    <s v="Bachelor's"/>
    <s v="Divorced"/>
    <n v="63714"/>
    <n v="1"/>
    <n v="0"/>
    <x v="0"/>
    <x v="1"/>
    <s v="No"/>
    <s v="Travel_Rarely"/>
    <n v="3"/>
    <n v="0"/>
    <s v="No"/>
    <x v="1"/>
    <x v="2"/>
  </r>
  <r>
    <x v="62"/>
    <x v="3"/>
    <n v="21"/>
    <x v="1"/>
    <x v="0"/>
    <x v="2"/>
    <s v="Bachelor's"/>
    <s v="Married"/>
    <n v="60138"/>
    <n v="1"/>
    <n v="0"/>
    <x v="0"/>
    <x v="3"/>
    <s v="Yes"/>
    <s v="Travel_Frequently"/>
    <n v="4"/>
    <n v="1"/>
    <s v="No"/>
    <x v="1"/>
    <x v="2"/>
  </r>
  <r>
    <x v="63"/>
    <x v="3"/>
    <n v="21"/>
    <x v="0"/>
    <x v="1"/>
    <x v="3"/>
    <s v="Bachelor's"/>
    <s v="Married"/>
    <n v="52729"/>
    <n v="2"/>
    <n v="1"/>
    <x v="3"/>
    <x v="1"/>
    <s v="No"/>
    <s v="Travel_Frequently"/>
    <n v="3"/>
    <n v="3"/>
    <s v="No"/>
    <x v="0"/>
    <x v="2"/>
  </r>
  <r>
    <x v="64"/>
    <x v="1"/>
    <n v="30"/>
    <x v="0"/>
    <x v="0"/>
    <x v="11"/>
    <s v="Master's"/>
    <s v="Married"/>
    <n v="60040"/>
    <n v="2"/>
    <n v="1"/>
    <x v="2"/>
    <x v="1"/>
    <s v="Yes"/>
    <s v="Travel_Rarely"/>
    <n v="3"/>
    <n v="0"/>
    <s v="No"/>
    <x v="1"/>
    <x v="2"/>
  </r>
  <r>
    <x v="65"/>
    <x v="0"/>
    <n v="39"/>
    <x v="1"/>
    <x v="3"/>
    <x v="9"/>
    <s v="Bachelor's"/>
    <s v="Single"/>
    <n v="23622"/>
    <n v="15"/>
    <n v="3"/>
    <x v="3"/>
    <x v="3"/>
    <s v="Yes"/>
    <s v="Travel_Rarely"/>
    <n v="3"/>
    <n v="1"/>
    <s v="No"/>
    <x v="0"/>
    <x v="1"/>
  </r>
  <r>
    <x v="66"/>
    <x v="0"/>
    <n v="44"/>
    <x v="0"/>
    <x v="1"/>
    <x v="3"/>
    <s v="Bachelor's"/>
    <s v="Married"/>
    <n v="71811"/>
    <n v="24"/>
    <n v="10"/>
    <x v="1"/>
    <x v="1"/>
    <s v="No"/>
    <s v="Non-Travel"/>
    <n v="2"/>
    <n v="6"/>
    <s v="No"/>
    <x v="0"/>
    <x v="1"/>
  </r>
  <r>
    <x v="67"/>
    <x v="0"/>
    <n v="37"/>
    <x v="1"/>
    <x v="5"/>
    <x v="12"/>
    <s v="Master's"/>
    <s v="Married"/>
    <n v="73423"/>
    <n v="16"/>
    <n v="12"/>
    <x v="0"/>
    <x v="0"/>
    <s v="No"/>
    <s v="Travel_Frequently"/>
    <n v="3"/>
    <n v="3"/>
    <s v="No"/>
    <x v="0"/>
    <x v="1"/>
  </r>
  <r>
    <x v="68"/>
    <x v="0"/>
    <n v="36"/>
    <x v="0"/>
    <x v="0"/>
    <x v="2"/>
    <s v="Bachelor's"/>
    <s v="Divorced"/>
    <n v="62585"/>
    <n v="4"/>
    <n v="2"/>
    <x v="2"/>
    <x v="3"/>
    <s v="No"/>
    <s v="Non-Travel"/>
    <n v="3"/>
    <n v="3"/>
    <s v="Yes"/>
    <x v="0"/>
    <x v="3"/>
  </r>
  <r>
    <x v="69"/>
    <x v="1"/>
    <n v="26"/>
    <x v="0"/>
    <x v="3"/>
    <x v="9"/>
    <s v="Bachelor's"/>
    <s v="Married"/>
    <n v="55928"/>
    <n v="6"/>
    <n v="3"/>
    <x v="1"/>
    <x v="0"/>
    <s v="Yes"/>
    <s v="Travel_Rarely"/>
    <n v="3"/>
    <n v="0"/>
    <s v="No"/>
    <x v="1"/>
    <x v="0"/>
  </r>
  <r>
    <x v="70"/>
    <x v="1"/>
    <n v="32"/>
    <x v="0"/>
    <x v="0"/>
    <x v="11"/>
    <s v="Bachelor's"/>
    <s v="Married"/>
    <n v="84152"/>
    <n v="14"/>
    <n v="9"/>
    <x v="0"/>
    <x v="0"/>
    <s v="Yes"/>
    <s v="Travel_Rarely"/>
    <n v="3"/>
    <n v="4"/>
    <s v="No"/>
    <x v="0"/>
    <x v="1"/>
  </r>
  <r>
    <x v="71"/>
    <x v="1"/>
    <n v="31"/>
    <x v="1"/>
    <x v="3"/>
    <x v="5"/>
    <s v="Master's"/>
    <s v="Single"/>
    <n v="65065"/>
    <n v="6"/>
    <n v="3"/>
    <x v="2"/>
    <x v="0"/>
    <s v="No"/>
    <s v="Travel_Rarely"/>
    <n v="2"/>
    <n v="6"/>
    <s v="No"/>
    <x v="0"/>
    <x v="0"/>
  </r>
  <r>
    <x v="72"/>
    <x v="1"/>
    <n v="32"/>
    <x v="0"/>
    <x v="0"/>
    <x v="11"/>
    <s v="Master's"/>
    <s v="Single"/>
    <n v="78633"/>
    <n v="1"/>
    <n v="1"/>
    <x v="1"/>
    <x v="3"/>
    <s v="No"/>
    <s v="Travel_Rarely"/>
    <n v="3"/>
    <n v="0"/>
    <s v="No"/>
    <x v="0"/>
    <x v="2"/>
  </r>
  <r>
    <x v="73"/>
    <x v="0"/>
    <n v="36"/>
    <x v="0"/>
    <x v="4"/>
    <x v="6"/>
    <s v="Bachelor's"/>
    <s v="Married"/>
    <n v="75673"/>
    <n v="8"/>
    <n v="6"/>
    <x v="1"/>
    <x v="3"/>
    <s v="No"/>
    <s v="Travel_Rarely"/>
    <n v="4"/>
    <n v="5"/>
    <s v="No"/>
    <x v="0"/>
    <x v="0"/>
  </r>
  <r>
    <x v="74"/>
    <x v="1"/>
    <n v="30"/>
    <x v="0"/>
    <x v="3"/>
    <x v="5"/>
    <s v="Bachelor's"/>
    <s v="Single"/>
    <n v="43976"/>
    <n v="3"/>
    <n v="3"/>
    <x v="0"/>
    <x v="0"/>
    <s v="Yes"/>
    <s v="Travel_Rarely"/>
    <n v="3"/>
    <n v="6"/>
    <s v="No"/>
    <x v="0"/>
    <x v="3"/>
  </r>
  <r>
    <x v="75"/>
    <x v="1"/>
    <n v="33"/>
    <x v="0"/>
    <x v="5"/>
    <x v="12"/>
    <s v="High School"/>
    <s v="Married"/>
    <n v="54957"/>
    <n v="4"/>
    <n v="1"/>
    <x v="0"/>
    <x v="1"/>
    <s v="No"/>
    <s v="Travel_Rarely"/>
    <n v="3"/>
    <n v="0"/>
    <s v="Yes"/>
    <x v="0"/>
    <x v="3"/>
  </r>
  <r>
    <x v="76"/>
    <x v="0"/>
    <n v="36"/>
    <x v="1"/>
    <x v="4"/>
    <x v="6"/>
    <s v="High School"/>
    <s v="Married"/>
    <n v="126802"/>
    <n v="3"/>
    <n v="0"/>
    <x v="0"/>
    <x v="3"/>
    <s v="No"/>
    <s v="Travel_Rarely"/>
    <n v="3"/>
    <n v="2"/>
    <s v="No"/>
    <x v="0"/>
    <x v="3"/>
  </r>
  <r>
    <x v="77"/>
    <x v="1"/>
    <n v="32"/>
    <x v="1"/>
    <x v="1"/>
    <x v="1"/>
    <s v="Bachelor's"/>
    <s v="Married"/>
    <n v="65187"/>
    <n v="7"/>
    <n v="4"/>
    <x v="1"/>
    <x v="0"/>
    <s v="Yes"/>
    <s v="Travel_Frequently"/>
    <n v="3"/>
    <n v="0"/>
    <s v="No"/>
    <x v="0"/>
    <x v="0"/>
  </r>
  <r>
    <x v="78"/>
    <x v="0"/>
    <n v="39"/>
    <x v="1"/>
    <x v="3"/>
    <x v="16"/>
    <s v="High School"/>
    <s v="Married"/>
    <n v="80415"/>
    <n v="1"/>
    <n v="1"/>
    <x v="0"/>
    <x v="3"/>
    <s v="No"/>
    <s v="Travel_Rarely"/>
    <n v="3"/>
    <n v="2"/>
    <s v="No"/>
    <x v="0"/>
    <x v="2"/>
  </r>
  <r>
    <x v="79"/>
    <x v="1"/>
    <n v="32"/>
    <x v="0"/>
    <x v="1"/>
    <x v="7"/>
    <s v="High School"/>
    <s v="Married"/>
    <n v="43250"/>
    <n v="4"/>
    <n v="2"/>
    <x v="2"/>
    <x v="2"/>
    <s v="No"/>
    <s v="Travel_Rarely"/>
    <n v="2"/>
    <n v="2"/>
    <s v="No"/>
    <x v="0"/>
    <x v="3"/>
  </r>
  <r>
    <x v="80"/>
    <x v="1"/>
    <n v="29"/>
    <x v="1"/>
    <x v="0"/>
    <x v="0"/>
    <s v="Bachelor's"/>
    <s v="Married"/>
    <n v="61371"/>
    <n v="6"/>
    <n v="0"/>
    <x v="1"/>
    <x v="1"/>
    <s v="Yes"/>
    <s v="Travel_Rarely"/>
    <n v="3"/>
    <n v="0"/>
    <s v="No"/>
    <x v="0"/>
    <x v="0"/>
  </r>
  <r>
    <x v="81"/>
    <x v="0"/>
    <n v="38"/>
    <x v="1"/>
    <x v="1"/>
    <x v="3"/>
    <s v="PhD"/>
    <s v="Married"/>
    <n v="87418"/>
    <n v="7"/>
    <n v="1"/>
    <x v="0"/>
    <x v="0"/>
    <s v="Yes"/>
    <s v="Travel_Rarely"/>
    <n v="3"/>
    <n v="1"/>
    <s v="No"/>
    <x v="0"/>
    <x v="0"/>
  </r>
  <r>
    <x v="82"/>
    <x v="1"/>
    <n v="32"/>
    <x v="1"/>
    <x v="1"/>
    <x v="1"/>
    <s v="Bachelor's"/>
    <s v="Married"/>
    <n v="31838"/>
    <n v="3"/>
    <n v="3"/>
    <x v="1"/>
    <x v="0"/>
    <s v="Yes"/>
    <s v="Travel_Rarely"/>
    <n v="2"/>
    <n v="2"/>
    <s v="Yes"/>
    <x v="0"/>
    <x v="3"/>
  </r>
  <r>
    <x v="83"/>
    <x v="3"/>
    <n v="22"/>
    <x v="1"/>
    <x v="0"/>
    <x v="0"/>
    <s v="Master's"/>
    <s v="Married"/>
    <n v="68269"/>
    <n v="1"/>
    <n v="1"/>
    <x v="3"/>
    <x v="0"/>
    <s v="No"/>
    <s v="Travel_Rarely"/>
    <n v="3"/>
    <n v="5"/>
    <s v="Yes"/>
    <x v="0"/>
    <x v="2"/>
  </r>
  <r>
    <x v="84"/>
    <x v="2"/>
    <n v="47"/>
    <x v="1"/>
    <x v="1"/>
    <x v="7"/>
    <s v="Bachelor's"/>
    <s v="Single"/>
    <n v="59353"/>
    <n v="23"/>
    <n v="10"/>
    <x v="2"/>
    <x v="1"/>
    <s v="No"/>
    <s v="Travel_Rarely"/>
    <n v="3"/>
    <n v="3"/>
    <s v="No"/>
    <x v="1"/>
    <x v="1"/>
  </r>
  <r>
    <x v="85"/>
    <x v="1"/>
    <n v="29"/>
    <x v="0"/>
    <x v="1"/>
    <x v="3"/>
    <s v="High School"/>
    <s v="Single"/>
    <n v="49328"/>
    <n v="2"/>
    <n v="0"/>
    <x v="2"/>
    <x v="0"/>
    <s v="No"/>
    <s v="Travel_Rarely"/>
    <n v="3"/>
    <n v="5"/>
    <s v="No"/>
    <x v="1"/>
    <x v="2"/>
  </r>
  <r>
    <x v="86"/>
    <x v="2"/>
    <n v="45"/>
    <x v="0"/>
    <x v="5"/>
    <x v="12"/>
    <s v="High School"/>
    <s v="Divorced"/>
    <n v="93392"/>
    <n v="3"/>
    <n v="3"/>
    <x v="1"/>
    <x v="3"/>
    <s v="No"/>
    <s v="Travel_Rarely"/>
    <n v="3"/>
    <n v="5"/>
    <s v="No"/>
    <x v="0"/>
    <x v="3"/>
  </r>
  <r>
    <x v="87"/>
    <x v="0"/>
    <n v="35"/>
    <x v="0"/>
    <x v="2"/>
    <x v="4"/>
    <s v="Bachelor's"/>
    <s v="Married"/>
    <n v="47564"/>
    <n v="14"/>
    <n v="5"/>
    <x v="3"/>
    <x v="1"/>
    <s v="No"/>
    <s v="Non-Travel"/>
    <n v="4"/>
    <n v="0"/>
    <s v="No"/>
    <x v="0"/>
    <x v="1"/>
  </r>
  <r>
    <x v="88"/>
    <x v="1"/>
    <n v="33"/>
    <x v="0"/>
    <x v="4"/>
    <x v="10"/>
    <s v="High School"/>
    <s v="Married"/>
    <n v="86280"/>
    <n v="14"/>
    <n v="10"/>
    <x v="1"/>
    <x v="0"/>
    <s v="No"/>
    <s v="Travel_Rarely"/>
    <n v="3"/>
    <n v="2"/>
    <s v="No"/>
    <x v="0"/>
    <x v="1"/>
  </r>
  <r>
    <x v="89"/>
    <x v="0"/>
    <n v="41"/>
    <x v="1"/>
    <x v="3"/>
    <x v="16"/>
    <s v="Master's"/>
    <s v="Married"/>
    <n v="63909"/>
    <n v="18"/>
    <n v="7"/>
    <x v="3"/>
    <x v="3"/>
    <s v="Yes"/>
    <s v="Travel_Rarely"/>
    <n v="3"/>
    <n v="6"/>
    <s v="No"/>
    <x v="0"/>
    <x v="1"/>
  </r>
  <r>
    <x v="90"/>
    <x v="2"/>
    <n v="47"/>
    <x v="0"/>
    <x v="1"/>
    <x v="1"/>
    <s v="Bachelor's"/>
    <s v="Married"/>
    <n v="60203"/>
    <n v="1"/>
    <n v="1"/>
    <x v="0"/>
    <x v="3"/>
    <s v="No"/>
    <s v="Travel_Rarely"/>
    <n v="2"/>
    <n v="3"/>
    <s v="No"/>
    <x v="0"/>
    <x v="2"/>
  </r>
  <r>
    <x v="91"/>
    <x v="1"/>
    <n v="31"/>
    <x v="0"/>
    <x v="3"/>
    <x v="5"/>
    <s v="High School"/>
    <s v="Married"/>
    <n v="22000"/>
    <n v="6"/>
    <n v="5"/>
    <x v="1"/>
    <x v="3"/>
    <s v="Yes"/>
    <s v="Travel_Frequently"/>
    <n v="3"/>
    <n v="6"/>
    <s v="No"/>
    <x v="0"/>
    <x v="0"/>
  </r>
  <r>
    <x v="92"/>
    <x v="3"/>
    <n v="21"/>
    <x v="0"/>
    <x v="2"/>
    <x v="17"/>
    <s v="High School"/>
    <s v="Married"/>
    <n v="92123"/>
    <n v="2"/>
    <n v="2"/>
    <x v="1"/>
    <x v="0"/>
    <s v="No"/>
    <s v="Travel_Frequently"/>
    <n v="3"/>
    <n v="4"/>
    <s v="No"/>
    <x v="0"/>
    <x v="2"/>
  </r>
  <r>
    <x v="93"/>
    <x v="0"/>
    <n v="44"/>
    <x v="1"/>
    <x v="2"/>
    <x v="4"/>
    <s v="Bachelor's"/>
    <s v="Single"/>
    <n v="52663"/>
    <n v="15"/>
    <n v="2"/>
    <x v="1"/>
    <x v="0"/>
    <s v="No"/>
    <s v="Travel_Rarely"/>
    <n v="3"/>
    <n v="6"/>
    <s v="Yes"/>
    <x v="0"/>
    <x v="1"/>
  </r>
  <r>
    <x v="94"/>
    <x v="0"/>
    <n v="38"/>
    <x v="1"/>
    <x v="4"/>
    <x v="6"/>
    <s v="PhD"/>
    <s v="Single"/>
    <n v="75308"/>
    <n v="8"/>
    <n v="3"/>
    <x v="1"/>
    <x v="3"/>
    <s v="No"/>
    <s v="Travel_Rarely"/>
    <n v="3"/>
    <n v="6"/>
    <s v="Yes"/>
    <x v="0"/>
    <x v="0"/>
  </r>
  <r>
    <x v="95"/>
    <x v="0"/>
    <n v="42"/>
    <x v="1"/>
    <x v="0"/>
    <x v="2"/>
    <s v="Bachelor's"/>
    <s v="Married"/>
    <n v="59436"/>
    <n v="13"/>
    <n v="11"/>
    <x v="0"/>
    <x v="3"/>
    <s v="No"/>
    <s v="Non-Travel"/>
    <n v="3"/>
    <n v="6"/>
    <s v="No"/>
    <x v="0"/>
    <x v="1"/>
  </r>
  <r>
    <x v="96"/>
    <x v="3"/>
    <n v="21"/>
    <x v="0"/>
    <x v="2"/>
    <x v="4"/>
    <s v="Master's"/>
    <s v="Divorced"/>
    <n v="83964"/>
    <n v="0"/>
    <n v="0"/>
    <x v="3"/>
    <x v="1"/>
    <s v="Yes"/>
    <s v="Non-Travel"/>
    <n v="4"/>
    <n v="0"/>
    <s v="No"/>
    <x v="0"/>
    <x v="4"/>
  </r>
  <r>
    <x v="97"/>
    <x v="0"/>
    <n v="39"/>
    <x v="1"/>
    <x v="1"/>
    <x v="7"/>
    <s v="High School"/>
    <s v="Married"/>
    <n v="71407"/>
    <n v="17"/>
    <n v="5"/>
    <x v="0"/>
    <x v="0"/>
    <s v="No"/>
    <s v="Travel_Rarely"/>
    <n v="3"/>
    <n v="3"/>
    <s v="No"/>
    <x v="0"/>
    <x v="1"/>
  </r>
  <r>
    <x v="98"/>
    <x v="1"/>
    <n v="29"/>
    <x v="0"/>
    <x v="2"/>
    <x v="17"/>
    <s v="High School"/>
    <s v="Single"/>
    <n v="53063"/>
    <n v="10"/>
    <n v="6"/>
    <x v="3"/>
    <x v="1"/>
    <s v="Yes"/>
    <s v="Travel_Rarely"/>
    <n v="3"/>
    <n v="4"/>
    <s v="No"/>
    <x v="0"/>
    <x v="0"/>
  </r>
  <r>
    <x v="99"/>
    <x v="0"/>
    <n v="40"/>
    <x v="1"/>
    <x v="1"/>
    <x v="3"/>
    <s v="Bachelor's"/>
    <s v="Married"/>
    <n v="79338"/>
    <n v="4"/>
    <n v="1"/>
    <x v="1"/>
    <x v="1"/>
    <s v="Yes"/>
    <s v="Travel_Rarely"/>
    <n v="4"/>
    <n v="6"/>
    <s v="No"/>
    <x v="0"/>
    <x v="3"/>
  </r>
  <r>
    <x v="100"/>
    <x v="0"/>
    <n v="35"/>
    <x v="1"/>
    <x v="4"/>
    <x v="6"/>
    <s v="PhD"/>
    <s v="Single"/>
    <n v="60393"/>
    <n v="5"/>
    <n v="4"/>
    <x v="3"/>
    <x v="1"/>
    <s v="No"/>
    <s v="Travel_Rarely"/>
    <n v="3"/>
    <n v="5"/>
    <s v="No"/>
    <x v="0"/>
    <x v="3"/>
  </r>
  <r>
    <x v="101"/>
    <x v="0"/>
    <n v="36"/>
    <x v="0"/>
    <x v="1"/>
    <x v="1"/>
    <s v="High School"/>
    <s v="Divorced"/>
    <n v="55320"/>
    <n v="9"/>
    <n v="0"/>
    <x v="0"/>
    <x v="0"/>
    <s v="No"/>
    <s v="Travel_Rarely"/>
    <n v="2"/>
    <n v="3"/>
    <s v="No"/>
    <x v="0"/>
    <x v="0"/>
  </r>
  <r>
    <x v="102"/>
    <x v="1"/>
    <n v="32"/>
    <x v="0"/>
    <x v="2"/>
    <x v="13"/>
    <s v="Master's"/>
    <s v="Married"/>
    <n v="57838"/>
    <n v="4"/>
    <n v="2"/>
    <x v="0"/>
    <x v="0"/>
    <s v="Yes"/>
    <s v="Travel_Rarely"/>
    <n v="3"/>
    <n v="1"/>
    <s v="No"/>
    <x v="0"/>
    <x v="3"/>
  </r>
  <r>
    <x v="103"/>
    <x v="0"/>
    <n v="38"/>
    <x v="1"/>
    <x v="4"/>
    <x v="10"/>
    <s v="Master's"/>
    <s v="Single"/>
    <n v="65885"/>
    <n v="7"/>
    <n v="5"/>
    <x v="1"/>
    <x v="0"/>
    <s v="No"/>
    <s v="Travel_Rarely"/>
    <n v="3"/>
    <n v="5"/>
    <s v="No"/>
    <x v="0"/>
    <x v="0"/>
  </r>
  <r>
    <x v="104"/>
    <x v="3"/>
    <n v="23"/>
    <x v="1"/>
    <x v="1"/>
    <x v="7"/>
    <s v="High School"/>
    <s v="Single"/>
    <n v="102528"/>
    <n v="4"/>
    <n v="0"/>
    <x v="3"/>
    <x v="0"/>
    <s v="Yes"/>
    <s v="Travel_Rarely"/>
    <n v="3"/>
    <n v="5"/>
    <s v="No"/>
    <x v="0"/>
    <x v="3"/>
  </r>
  <r>
    <x v="105"/>
    <x v="1"/>
    <n v="30"/>
    <x v="1"/>
    <x v="3"/>
    <x v="18"/>
    <s v="High School"/>
    <s v="Married"/>
    <n v="57220"/>
    <n v="1"/>
    <n v="1"/>
    <x v="1"/>
    <x v="3"/>
    <s v="Yes"/>
    <s v="Travel_Frequently"/>
    <n v="3"/>
    <n v="4"/>
    <s v="No"/>
    <x v="1"/>
    <x v="2"/>
  </r>
  <r>
    <x v="106"/>
    <x v="3"/>
    <n v="21"/>
    <x v="1"/>
    <x v="3"/>
    <x v="18"/>
    <s v="Bachelor's"/>
    <s v="Married"/>
    <n v="108945"/>
    <n v="3"/>
    <n v="3"/>
    <x v="3"/>
    <x v="1"/>
    <s v="No"/>
    <s v="Travel_Rarely"/>
    <n v="3"/>
    <n v="6"/>
    <s v="No"/>
    <x v="0"/>
    <x v="3"/>
  </r>
  <r>
    <x v="107"/>
    <x v="3"/>
    <n v="21"/>
    <x v="1"/>
    <x v="4"/>
    <x v="15"/>
    <s v="Bachelor's"/>
    <s v="Married"/>
    <n v="60855"/>
    <n v="3"/>
    <n v="1"/>
    <x v="0"/>
    <x v="0"/>
    <s v="No"/>
    <s v="Non-Travel"/>
    <n v="3"/>
    <n v="6"/>
    <s v="No"/>
    <x v="0"/>
    <x v="3"/>
  </r>
  <r>
    <x v="108"/>
    <x v="1"/>
    <n v="27"/>
    <x v="1"/>
    <x v="1"/>
    <x v="1"/>
    <s v="Bachelor's"/>
    <s v="Married"/>
    <n v="27878"/>
    <n v="1"/>
    <n v="1"/>
    <x v="0"/>
    <x v="3"/>
    <s v="Yes"/>
    <s v="Travel_Rarely"/>
    <n v="3"/>
    <n v="5"/>
    <s v="No"/>
    <x v="0"/>
    <x v="2"/>
  </r>
  <r>
    <x v="109"/>
    <x v="3"/>
    <n v="22"/>
    <x v="1"/>
    <x v="3"/>
    <x v="16"/>
    <s v="Master's"/>
    <s v="Single"/>
    <n v="49064"/>
    <n v="0"/>
    <n v="0"/>
    <x v="0"/>
    <x v="0"/>
    <s v="Yes"/>
    <s v="Travel_Rarely"/>
    <n v="3"/>
    <n v="5"/>
    <s v="No"/>
    <x v="0"/>
    <x v="4"/>
  </r>
  <r>
    <x v="110"/>
    <x v="1"/>
    <n v="27"/>
    <x v="0"/>
    <x v="0"/>
    <x v="2"/>
    <s v="Bachelor's"/>
    <s v="Single"/>
    <n v="39403"/>
    <n v="8"/>
    <n v="8"/>
    <x v="3"/>
    <x v="0"/>
    <s v="No"/>
    <s v="Travel_Rarely"/>
    <n v="3"/>
    <n v="1"/>
    <s v="No"/>
    <x v="0"/>
    <x v="0"/>
  </r>
  <r>
    <x v="111"/>
    <x v="3"/>
    <n v="21"/>
    <x v="1"/>
    <x v="5"/>
    <x v="14"/>
    <s v="Bachelor's"/>
    <s v="Married"/>
    <n v="91171"/>
    <n v="3"/>
    <n v="0"/>
    <x v="1"/>
    <x v="3"/>
    <s v="No"/>
    <s v="Travel_Rarely"/>
    <n v="3"/>
    <n v="1"/>
    <s v="No"/>
    <x v="0"/>
    <x v="3"/>
  </r>
  <r>
    <x v="112"/>
    <x v="1"/>
    <n v="29"/>
    <x v="1"/>
    <x v="4"/>
    <x v="15"/>
    <s v="Bachelor's"/>
    <s v="Married"/>
    <n v="74955"/>
    <n v="7"/>
    <n v="1"/>
    <x v="1"/>
    <x v="3"/>
    <s v="No"/>
    <s v="Travel_Rarely"/>
    <n v="3"/>
    <n v="6"/>
    <s v="Yes"/>
    <x v="0"/>
    <x v="0"/>
  </r>
  <r>
    <x v="113"/>
    <x v="0"/>
    <n v="36"/>
    <x v="1"/>
    <x v="3"/>
    <x v="16"/>
    <s v="Bachelor's"/>
    <s v="Single"/>
    <n v="56556"/>
    <n v="4"/>
    <n v="4"/>
    <x v="3"/>
    <x v="1"/>
    <s v="No"/>
    <s v="Travel_Rarely"/>
    <n v="4"/>
    <n v="3"/>
    <s v="No"/>
    <x v="0"/>
    <x v="3"/>
  </r>
  <r>
    <x v="114"/>
    <x v="0"/>
    <n v="41"/>
    <x v="0"/>
    <x v="1"/>
    <x v="7"/>
    <s v="High School"/>
    <s v="Married"/>
    <n v="69233"/>
    <n v="15"/>
    <n v="2"/>
    <x v="0"/>
    <x v="3"/>
    <s v="No"/>
    <s v="Non-Travel"/>
    <n v="4"/>
    <n v="1"/>
    <s v="No"/>
    <x v="0"/>
    <x v="1"/>
  </r>
  <r>
    <x v="115"/>
    <x v="3"/>
    <n v="21"/>
    <x v="1"/>
    <x v="4"/>
    <x v="10"/>
    <s v="Bachelor's"/>
    <s v="Married"/>
    <n v="65182"/>
    <n v="3"/>
    <n v="1"/>
    <x v="1"/>
    <x v="0"/>
    <s v="Yes"/>
    <s v="Travel_Rarely"/>
    <n v="3"/>
    <n v="2"/>
    <s v="No"/>
    <x v="0"/>
    <x v="3"/>
  </r>
  <r>
    <x v="116"/>
    <x v="1"/>
    <n v="30"/>
    <x v="1"/>
    <x v="3"/>
    <x v="5"/>
    <s v="Bachelor's"/>
    <s v="Married"/>
    <n v="76798"/>
    <n v="10"/>
    <n v="8"/>
    <x v="1"/>
    <x v="0"/>
    <s v="No"/>
    <s v="Travel_Frequently"/>
    <n v="4"/>
    <n v="1"/>
    <s v="No"/>
    <x v="0"/>
    <x v="0"/>
  </r>
  <r>
    <x v="117"/>
    <x v="0"/>
    <n v="44"/>
    <x v="0"/>
    <x v="2"/>
    <x v="4"/>
    <s v="Bachelor's"/>
    <s v="Married"/>
    <n v="69927"/>
    <n v="5"/>
    <n v="0"/>
    <x v="0"/>
    <x v="1"/>
    <s v="Yes"/>
    <s v="Travel_Rarely"/>
    <n v="4"/>
    <n v="3"/>
    <s v="No"/>
    <x v="0"/>
    <x v="3"/>
  </r>
  <r>
    <x v="118"/>
    <x v="1"/>
    <n v="32"/>
    <x v="1"/>
    <x v="0"/>
    <x v="2"/>
    <s v="High School"/>
    <s v="Married"/>
    <n v="42440"/>
    <n v="12"/>
    <n v="5"/>
    <x v="1"/>
    <x v="0"/>
    <s v="No"/>
    <s v="Travel_Rarely"/>
    <n v="4"/>
    <n v="1"/>
    <s v="Yes"/>
    <x v="0"/>
    <x v="1"/>
  </r>
  <r>
    <x v="119"/>
    <x v="3"/>
    <n v="23"/>
    <x v="1"/>
    <x v="3"/>
    <x v="5"/>
    <s v="Master's"/>
    <s v="Married"/>
    <n v="68925"/>
    <n v="1"/>
    <n v="1"/>
    <x v="3"/>
    <x v="0"/>
    <s v="Yes"/>
    <s v="Travel_Rarely"/>
    <n v="3"/>
    <n v="2"/>
    <s v="No"/>
    <x v="0"/>
    <x v="2"/>
  </r>
  <r>
    <x v="120"/>
    <x v="1"/>
    <n v="31"/>
    <x v="0"/>
    <x v="5"/>
    <x v="8"/>
    <s v="Bachelor's"/>
    <s v="Single"/>
    <n v="87548"/>
    <n v="6"/>
    <n v="0"/>
    <x v="0"/>
    <x v="3"/>
    <s v="No"/>
    <s v="Travel_Rarely"/>
    <n v="3"/>
    <n v="4"/>
    <s v="No"/>
    <x v="0"/>
    <x v="0"/>
  </r>
  <r>
    <x v="121"/>
    <x v="0"/>
    <n v="43"/>
    <x v="0"/>
    <x v="1"/>
    <x v="7"/>
    <s v="Master's"/>
    <s v="Married"/>
    <n v="50420"/>
    <n v="4"/>
    <n v="0"/>
    <x v="0"/>
    <x v="2"/>
    <s v="No"/>
    <s v="Travel_Frequently"/>
    <n v="3"/>
    <n v="0"/>
    <s v="No"/>
    <x v="0"/>
    <x v="3"/>
  </r>
  <r>
    <x v="122"/>
    <x v="0"/>
    <n v="42"/>
    <x v="0"/>
    <x v="0"/>
    <x v="0"/>
    <s v="High School"/>
    <s v="Married"/>
    <n v="60829"/>
    <n v="11"/>
    <n v="2"/>
    <x v="0"/>
    <x v="1"/>
    <s v="No"/>
    <s v="Travel_Rarely"/>
    <n v="4"/>
    <n v="3"/>
    <s v="No"/>
    <x v="0"/>
    <x v="1"/>
  </r>
  <r>
    <x v="123"/>
    <x v="0"/>
    <n v="42"/>
    <x v="0"/>
    <x v="3"/>
    <x v="5"/>
    <s v="Master's"/>
    <s v="Married"/>
    <n v="51383"/>
    <n v="11"/>
    <n v="8"/>
    <x v="3"/>
    <x v="0"/>
    <s v="No"/>
    <s v="Travel_Rarely"/>
    <n v="3"/>
    <n v="3"/>
    <s v="No"/>
    <x v="0"/>
    <x v="1"/>
  </r>
  <r>
    <x v="124"/>
    <x v="1"/>
    <n v="26"/>
    <x v="0"/>
    <x v="0"/>
    <x v="0"/>
    <s v="Bachelor's"/>
    <s v="Married"/>
    <n v="61825"/>
    <n v="0"/>
    <n v="0"/>
    <x v="2"/>
    <x v="1"/>
    <s v="No"/>
    <s v="Travel_Rarely"/>
    <n v="3"/>
    <n v="5"/>
    <s v="No"/>
    <x v="0"/>
    <x v="4"/>
  </r>
  <r>
    <x v="125"/>
    <x v="3"/>
    <n v="24"/>
    <x v="0"/>
    <x v="5"/>
    <x v="14"/>
    <s v="Bachelor's"/>
    <s v="Single"/>
    <n v="40328"/>
    <n v="6"/>
    <n v="6"/>
    <x v="1"/>
    <x v="2"/>
    <s v="No"/>
    <s v="Travel_Rarely"/>
    <n v="4"/>
    <n v="3"/>
    <s v="No"/>
    <x v="0"/>
    <x v="0"/>
  </r>
  <r>
    <x v="126"/>
    <x v="3"/>
    <n v="21"/>
    <x v="0"/>
    <x v="1"/>
    <x v="7"/>
    <s v="Bachelor's"/>
    <s v="Married"/>
    <n v="71024"/>
    <n v="2"/>
    <n v="0"/>
    <x v="0"/>
    <x v="0"/>
    <s v="No"/>
    <s v="Travel_Rarely"/>
    <n v="3"/>
    <n v="0"/>
    <s v="No"/>
    <x v="0"/>
    <x v="2"/>
  </r>
  <r>
    <x v="127"/>
    <x v="3"/>
    <n v="21"/>
    <x v="0"/>
    <x v="3"/>
    <x v="18"/>
    <s v="PhD"/>
    <s v="Divorced"/>
    <n v="64987"/>
    <n v="3"/>
    <n v="0"/>
    <x v="0"/>
    <x v="3"/>
    <s v="Yes"/>
    <s v="Travel_Rarely"/>
    <n v="3"/>
    <n v="6"/>
    <s v="No"/>
    <x v="0"/>
    <x v="3"/>
  </r>
  <r>
    <x v="128"/>
    <x v="1"/>
    <n v="32"/>
    <x v="0"/>
    <x v="2"/>
    <x v="13"/>
    <s v="Master's"/>
    <s v="Single"/>
    <n v="81923"/>
    <n v="10"/>
    <n v="9"/>
    <x v="3"/>
    <x v="0"/>
    <s v="Yes"/>
    <s v="Travel_Rarely"/>
    <n v="3"/>
    <n v="1"/>
    <s v="No"/>
    <x v="0"/>
    <x v="0"/>
  </r>
  <r>
    <x v="129"/>
    <x v="0"/>
    <n v="39"/>
    <x v="0"/>
    <x v="3"/>
    <x v="9"/>
    <s v="Bachelor's"/>
    <s v="Married"/>
    <n v="69830"/>
    <n v="12"/>
    <n v="2"/>
    <x v="1"/>
    <x v="0"/>
    <s v="No"/>
    <s v="Travel_Rarely"/>
    <n v="3"/>
    <n v="3"/>
    <s v="No"/>
    <x v="0"/>
    <x v="1"/>
  </r>
  <r>
    <x v="130"/>
    <x v="1"/>
    <n v="31"/>
    <x v="1"/>
    <x v="5"/>
    <x v="12"/>
    <s v="Bachelor's"/>
    <s v="Married"/>
    <n v="50886"/>
    <n v="13"/>
    <n v="4"/>
    <x v="1"/>
    <x v="1"/>
    <s v="No"/>
    <s v="Non-Travel"/>
    <n v="3"/>
    <n v="5"/>
    <s v="No"/>
    <x v="0"/>
    <x v="1"/>
  </r>
  <r>
    <x v="131"/>
    <x v="0"/>
    <n v="43"/>
    <x v="1"/>
    <x v="2"/>
    <x v="13"/>
    <s v="PhD"/>
    <s v="Married"/>
    <n v="68459"/>
    <n v="1"/>
    <n v="1"/>
    <x v="3"/>
    <x v="3"/>
    <s v="No"/>
    <s v="Travel_Rarely"/>
    <n v="3"/>
    <n v="6"/>
    <s v="No"/>
    <x v="0"/>
    <x v="2"/>
  </r>
  <r>
    <x v="132"/>
    <x v="2"/>
    <n v="49"/>
    <x v="0"/>
    <x v="3"/>
    <x v="9"/>
    <s v="Master's"/>
    <s v="Married"/>
    <n v="29226"/>
    <n v="20"/>
    <n v="4"/>
    <x v="2"/>
    <x v="0"/>
    <s v="No"/>
    <s v="Non-Travel"/>
    <n v="3"/>
    <n v="3"/>
    <s v="No"/>
    <x v="0"/>
    <x v="1"/>
  </r>
  <r>
    <x v="133"/>
    <x v="1"/>
    <n v="25"/>
    <x v="0"/>
    <x v="1"/>
    <x v="7"/>
    <s v="High School"/>
    <s v="Divorced"/>
    <n v="59138"/>
    <n v="3"/>
    <n v="2"/>
    <x v="3"/>
    <x v="0"/>
    <s v="No"/>
    <s v="Travel_Rarely"/>
    <n v="3"/>
    <n v="1"/>
    <s v="No"/>
    <x v="0"/>
    <x v="3"/>
  </r>
  <r>
    <x v="134"/>
    <x v="0"/>
    <n v="35"/>
    <x v="0"/>
    <x v="4"/>
    <x v="10"/>
    <s v="Bachelor's"/>
    <s v="Single"/>
    <n v="54663"/>
    <n v="15"/>
    <n v="9"/>
    <x v="0"/>
    <x v="3"/>
    <s v="No"/>
    <s v="Non-Travel"/>
    <n v="4"/>
    <n v="0"/>
    <s v="No"/>
    <x v="0"/>
    <x v="1"/>
  </r>
  <r>
    <x v="135"/>
    <x v="0"/>
    <n v="43"/>
    <x v="0"/>
    <x v="0"/>
    <x v="2"/>
    <s v="PhD"/>
    <s v="Married"/>
    <n v="89837"/>
    <n v="1"/>
    <n v="0"/>
    <x v="1"/>
    <x v="1"/>
    <s v="Yes"/>
    <s v="Travel_Rarely"/>
    <n v="3"/>
    <n v="5"/>
    <s v="No"/>
    <x v="0"/>
    <x v="2"/>
  </r>
  <r>
    <x v="136"/>
    <x v="2"/>
    <n v="47"/>
    <x v="0"/>
    <x v="1"/>
    <x v="1"/>
    <s v="Master's"/>
    <s v="Single"/>
    <n v="39437"/>
    <n v="17"/>
    <n v="4"/>
    <x v="3"/>
    <x v="0"/>
    <s v="Yes"/>
    <s v="Travel_Rarely"/>
    <n v="3"/>
    <n v="4"/>
    <s v="Yes"/>
    <x v="1"/>
    <x v="1"/>
  </r>
  <r>
    <x v="137"/>
    <x v="0"/>
    <n v="35"/>
    <x v="1"/>
    <x v="1"/>
    <x v="1"/>
    <s v="Bachelor's"/>
    <s v="Single"/>
    <n v="25919"/>
    <n v="8"/>
    <n v="1"/>
    <x v="0"/>
    <x v="0"/>
    <s v="Yes"/>
    <s v="Travel_Rarely"/>
    <n v="4"/>
    <n v="1"/>
    <s v="No"/>
    <x v="1"/>
    <x v="0"/>
  </r>
  <r>
    <x v="138"/>
    <x v="1"/>
    <n v="29"/>
    <x v="1"/>
    <x v="1"/>
    <x v="7"/>
    <s v="Master's"/>
    <s v="Single"/>
    <n v="70244"/>
    <n v="1"/>
    <n v="0"/>
    <x v="3"/>
    <x v="0"/>
    <s v="No"/>
    <s v="Travel_Rarely"/>
    <n v="3"/>
    <n v="2"/>
    <s v="No"/>
    <x v="0"/>
    <x v="2"/>
  </r>
  <r>
    <x v="139"/>
    <x v="0"/>
    <n v="38"/>
    <x v="0"/>
    <x v="1"/>
    <x v="1"/>
    <s v="Master's"/>
    <s v="Divorced"/>
    <n v="52670"/>
    <n v="5"/>
    <n v="1"/>
    <x v="1"/>
    <x v="0"/>
    <s v="No"/>
    <s v="Non-Travel"/>
    <n v="3"/>
    <n v="2"/>
    <s v="No"/>
    <x v="0"/>
    <x v="3"/>
  </r>
  <r>
    <x v="140"/>
    <x v="0"/>
    <n v="42"/>
    <x v="1"/>
    <x v="1"/>
    <x v="3"/>
    <s v="Bachelor's"/>
    <s v="Divorced"/>
    <n v="73624"/>
    <n v="6"/>
    <n v="5"/>
    <x v="0"/>
    <x v="0"/>
    <s v="Yes"/>
    <s v="Travel_Frequently"/>
    <n v="2"/>
    <n v="2"/>
    <s v="No"/>
    <x v="1"/>
    <x v="0"/>
  </r>
  <r>
    <x v="141"/>
    <x v="0"/>
    <n v="44"/>
    <x v="1"/>
    <x v="1"/>
    <x v="3"/>
    <s v="Bachelor's"/>
    <s v="Divorced"/>
    <n v="37180"/>
    <n v="11"/>
    <n v="6"/>
    <x v="0"/>
    <x v="0"/>
    <s v="No"/>
    <s v="Non-Travel"/>
    <n v="4"/>
    <n v="2"/>
    <s v="No"/>
    <x v="0"/>
    <x v="1"/>
  </r>
  <r>
    <x v="142"/>
    <x v="1"/>
    <n v="28"/>
    <x v="0"/>
    <x v="2"/>
    <x v="17"/>
    <s v="Bachelor's"/>
    <s v="Single"/>
    <n v="63464"/>
    <n v="10"/>
    <n v="2"/>
    <x v="0"/>
    <x v="0"/>
    <s v="No"/>
    <s v="Travel_Frequently"/>
    <n v="3"/>
    <n v="2"/>
    <s v="No"/>
    <x v="0"/>
    <x v="0"/>
  </r>
  <r>
    <x v="143"/>
    <x v="1"/>
    <n v="31"/>
    <x v="1"/>
    <x v="3"/>
    <x v="9"/>
    <s v="Bachelor's"/>
    <s v="Divorced"/>
    <n v="43138"/>
    <n v="2"/>
    <n v="1"/>
    <x v="3"/>
    <x v="0"/>
    <s v="No"/>
    <s v="Travel_Rarely"/>
    <n v="3"/>
    <n v="1"/>
    <s v="No"/>
    <x v="0"/>
    <x v="2"/>
  </r>
  <r>
    <x v="144"/>
    <x v="0"/>
    <n v="41"/>
    <x v="0"/>
    <x v="3"/>
    <x v="9"/>
    <s v="PhD"/>
    <s v="Single"/>
    <n v="90496"/>
    <n v="13"/>
    <n v="6"/>
    <x v="3"/>
    <x v="0"/>
    <s v="No"/>
    <s v="Travel_Frequently"/>
    <n v="4"/>
    <n v="1"/>
    <s v="No"/>
    <x v="0"/>
    <x v="1"/>
  </r>
  <r>
    <x v="145"/>
    <x v="1"/>
    <n v="32"/>
    <x v="0"/>
    <x v="1"/>
    <x v="3"/>
    <s v="Bachelor's"/>
    <s v="Single"/>
    <n v="86220"/>
    <n v="7"/>
    <n v="6"/>
    <x v="2"/>
    <x v="3"/>
    <s v="No"/>
    <s v="Non-Travel"/>
    <n v="2"/>
    <n v="1"/>
    <s v="No"/>
    <x v="0"/>
    <x v="0"/>
  </r>
  <r>
    <x v="146"/>
    <x v="0"/>
    <n v="35"/>
    <x v="0"/>
    <x v="3"/>
    <x v="16"/>
    <s v="Bachelor's"/>
    <s v="Married"/>
    <n v="44867"/>
    <n v="17"/>
    <n v="4"/>
    <x v="2"/>
    <x v="2"/>
    <s v="No"/>
    <s v="Travel_Rarely"/>
    <n v="4"/>
    <n v="2"/>
    <s v="No"/>
    <x v="0"/>
    <x v="1"/>
  </r>
  <r>
    <x v="147"/>
    <x v="0"/>
    <n v="36"/>
    <x v="1"/>
    <x v="0"/>
    <x v="2"/>
    <s v="High School"/>
    <s v="Married"/>
    <n v="67081"/>
    <n v="16"/>
    <n v="2"/>
    <x v="0"/>
    <x v="1"/>
    <s v="Yes"/>
    <s v="Non-Travel"/>
    <n v="4"/>
    <n v="3"/>
    <s v="No"/>
    <x v="1"/>
    <x v="1"/>
  </r>
  <r>
    <x v="148"/>
    <x v="2"/>
    <n v="46"/>
    <x v="1"/>
    <x v="0"/>
    <x v="0"/>
    <s v="Bachelor's"/>
    <s v="Married"/>
    <n v="47440"/>
    <n v="13"/>
    <n v="11"/>
    <x v="3"/>
    <x v="0"/>
    <s v="No"/>
    <s v="Travel_Rarely"/>
    <n v="3"/>
    <n v="6"/>
    <s v="No"/>
    <x v="0"/>
    <x v="1"/>
  </r>
  <r>
    <x v="149"/>
    <x v="0"/>
    <n v="35"/>
    <x v="0"/>
    <x v="3"/>
    <x v="5"/>
    <s v="Master's"/>
    <s v="Divorced"/>
    <n v="66488"/>
    <n v="5"/>
    <n v="0"/>
    <x v="1"/>
    <x v="1"/>
    <s v="No"/>
    <s v="Travel_Rarely"/>
    <n v="3"/>
    <n v="2"/>
    <s v="No"/>
    <x v="0"/>
    <x v="3"/>
  </r>
  <r>
    <x v="150"/>
    <x v="1"/>
    <n v="32"/>
    <x v="0"/>
    <x v="0"/>
    <x v="2"/>
    <s v="Bachelor's"/>
    <s v="Married"/>
    <n v="83618"/>
    <n v="13"/>
    <n v="6"/>
    <x v="0"/>
    <x v="0"/>
    <s v="No"/>
    <s v="Travel_Frequently"/>
    <n v="2"/>
    <n v="2"/>
    <s v="No"/>
    <x v="1"/>
    <x v="1"/>
  </r>
  <r>
    <x v="151"/>
    <x v="1"/>
    <n v="34"/>
    <x v="1"/>
    <x v="1"/>
    <x v="1"/>
    <s v="High School"/>
    <s v="Divorced"/>
    <n v="46371"/>
    <n v="8"/>
    <n v="0"/>
    <x v="0"/>
    <x v="3"/>
    <s v="No"/>
    <s v="Travel_Rarely"/>
    <n v="3"/>
    <n v="4"/>
    <s v="No"/>
    <x v="0"/>
    <x v="0"/>
  </r>
  <r>
    <x v="152"/>
    <x v="2"/>
    <n v="45"/>
    <x v="1"/>
    <x v="2"/>
    <x v="17"/>
    <s v="Bachelor's"/>
    <s v="Married"/>
    <n v="78309"/>
    <n v="6"/>
    <n v="3"/>
    <x v="2"/>
    <x v="1"/>
    <s v="Yes"/>
    <s v="Travel_Frequently"/>
    <n v="3"/>
    <n v="2"/>
    <s v="No"/>
    <x v="0"/>
    <x v="0"/>
  </r>
  <r>
    <x v="153"/>
    <x v="0"/>
    <n v="39"/>
    <x v="0"/>
    <x v="3"/>
    <x v="18"/>
    <s v="Bachelor's"/>
    <s v="Married"/>
    <n v="56785"/>
    <n v="15"/>
    <n v="7"/>
    <x v="3"/>
    <x v="0"/>
    <s v="No"/>
    <s v="Travel_Frequently"/>
    <n v="3"/>
    <n v="0"/>
    <s v="No"/>
    <x v="0"/>
    <x v="1"/>
  </r>
  <r>
    <x v="154"/>
    <x v="1"/>
    <n v="27"/>
    <x v="1"/>
    <x v="3"/>
    <x v="18"/>
    <s v="Bachelor's"/>
    <s v="Married"/>
    <n v="65809"/>
    <n v="4"/>
    <n v="1"/>
    <x v="1"/>
    <x v="1"/>
    <s v="No"/>
    <s v="Travel_Rarely"/>
    <n v="3"/>
    <n v="1"/>
    <s v="No"/>
    <x v="0"/>
    <x v="3"/>
  </r>
  <r>
    <x v="155"/>
    <x v="1"/>
    <n v="31"/>
    <x v="0"/>
    <x v="4"/>
    <x v="6"/>
    <s v="Bachelor's"/>
    <s v="Married"/>
    <n v="78438"/>
    <n v="7"/>
    <n v="7"/>
    <x v="1"/>
    <x v="0"/>
    <s v="Yes"/>
    <s v="Travel_Rarely"/>
    <n v="2"/>
    <n v="5"/>
    <s v="No"/>
    <x v="1"/>
    <x v="0"/>
  </r>
  <r>
    <x v="156"/>
    <x v="0"/>
    <n v="35"/>
    <x v="0"/>
    <x v="4"/>
    <x v="10"/>
    <s v="Bachelor's"/>
    <s v="Single"/>
    <n v="66891"/>
    <n v="16"/>
    <n v="7"/>
    <x v="0"/>
    <x v="3"/>
    <s v="No"/>
    <s v="Travel_Rarely"/>
    <n v="3"/>
    <n v="1"/>
    <s v="No"/>
    <x v="0"/>
    <x v="1"/>
  </r>
  <r>
    <x v="157"/>
    <x v="1"/>
    <n v="26"/>
    <x v="0"/>
    <x v="0"/>
    <x v="11"/>
    <s v="Master's"/>
    <s v="Single"/>
    <n v="63015"/>
    <n v="1"/>
    <n v="0"/>
    <x v="3"/>
    <x v="1"/>
    <s v="Yes"/>
    <s v="Travel_Rarely"/>
    <n v="3"/>
    <n v="6"/>
    <s v="No"/>
    <x v="0"/>
    <x v="2"/>
  </r>
  <r>
    <x v="158"/>
    <x v="0"/>
    <n v="44"/>
    <x v="1"/>
    <x v="1"/>
    <x v="3"/>
    <s v="PhD"/>
    <s v="Single"/>
    <n v="63140"/>
    <n v="25"/>
    <n v="12"/>
    <x v="1"/>
    <x v="0"/>
    <s v="No"/>
    <s v="Travel_Rarely"/>
    <n v="3"/>
    <n v="3"/>
    <s v="No"/>
    <x v="0"/>
    <x v="1"/>
  </r>
  <r>
    <x v="159"/>
    <x v="0"/>
    <n v="38"/>
    <x v="1"/>
    <x v="3"/>
    <x v="16"/>
    <s v="PhD"/>
    <s v="Single"/>
    <n v="78385"/>
    <n v="3"/>
    <n v="0"/>
    <x v="0"/>
    <x v="0"/>
    <s v="Yes"/>
    <s v="Non-Travel"/>
    <n v="2"/>
    <n v="2"/>
    <s v="No"/>
    <x v="1"/>
    <x v="3"/>
  </r>
  <r>
    <x v="160"/>
    <x v="1"/>
    <n v="30"/>
    <x v="0"/>
    <x v="1"/>
    <x v="3"/>
    <s v="High School"/>
    <s v="Single"/>
    <n v="92175"/>
    <n v="5"/>
    <n v="2"/>
    <x v="1"/>
    <x v="3"/>
    <s v="No"/>
    <s v="Travel_Rarely"/>
    <n v="3"/>
    <n v="1"/>
    <s v="No"/>
    <x v="0"/>
    <x v="3"/>
  </r>
  <r>
    <x v="161"/>
    <x v="1"/>
    <n v="31"/>
    <x v="1"/>
    <x v="1"/>
    <x v="1"/>
    <s v="Bachelor's"/>
    <s v="Married"/>
    <n v="85410"/>
    <n v="10"/>
    <n v="0"/>
    <x v="0"/>
    <x v="3"/>
    <s v="No"/>
    <s v="Non-Travel"/>
    <n v="2"/>
    <n v="5"/>
    <s v="No"/>
    <x v="0"/>
    <x v="0"/>
  </r>
  <r>
    <x v="162"/>
    <x v="0"/>
    <n v="35"/>
    <x v="0"/>
    <x v="2"/>
    <x v="13"/>
    <s v="Bachelor's"/>
    <s v="Married"/>
    <n v="70751"/>
    <n v="16"/>
    <n v="12"/>
    <x v="0"/>
    <x v="2"/>
    <s v="No"/>
    <s v="Travel_Frequently"/>
    <n v="3"/>
    <n v="6"/>
    <s v="No"/>
    <x v="0"/>
    <x v="1"/>
  </r>
  <r>
    <x v="163"/>
    <x v="0"/>
    <n v="44"/>
    <x v="1"/>
    <x v="2"/>
    <x v="13"/>
    <s v="High School"/>
    <s v="Single"/>
    <n v="22000"/>
    <n v="8"/>
    <n v="6"/>
    <x v="3"/>
    <x v="3"/>
    <s v="No"/>
    <s v="Travel_Rarely"/>
    <n v="3"/>
    <n v="1"/>
    <s v="No"/>
    <x v="0"/>
    <x v="0"/>
  </r>
  <r>
    <x v="164"/>
    <x v="4"/>
    <n v="57"/>
    <x v="0"/>
    <x v="0"/>
    <x v="11"/>
    <s v="Bachelor's"/>
    <s v="Single"/>
    <n v="88088"/>
    <n v="7"/>
    <n v="0"/>
    <x v="2"/>
    <x v="0"/>
    <s v="Yes"/>
    <s v="Travel_Rarely"/>
    <n v="2"/>
    <n v="2"/>
    <s v="No"/>
    <x v="0"/>
    <x v="0"/>
  </r>
  <r>
    <x v="165"/>
    <x v="0"/>
    <n v="39"/>
    <x v="0"/>
    <x v="5"/>
    <x v="12"/>
    <s v="Bachelor's"/>
    <s v="Married"/>
    <n v="69346"/>
    <n v="13"/>
    <n v="8"/>
    <x v="0"/>
    <x v="1"/>
    <s v="No"/>
    <s v="Travel_Rarely"/>
    <n v="3"/>
    <n v="5"/>
    <s v="No"/>
    <x v="0"/>
    <x v="1"/>
  </r>
  <r>
    <x v="166"/>
    <x v="2"/>
    <n v="46"/>
    <x v="1"/>
    <x v="2"/>
    <x v="4"/>
    <s v="High School"/>
    <s v="Married"/>
    <n v="56468"/>
    <n v="10"/>
    <n v="2"/>
    <x v="2"/>
    <x v="3"/>
    <s v="No"/>
    <s v="Travel_Rarely"/>
    <n v="3"/>
    <n v="5"/>
    <s v="No"/>
    <x v="0"/>
    <x v="0"/>
  </r>
  <r>
    <x v="167"/>
    <x v="1"/>
    <n v="32"/>
    <x v="1"/>
    <x v="5"/>
    <x v="8"/>
    <s v="High School"/>
    <s v="Single"/>
    <n v="31276"/>
    <n v="11"/>
    <n v="10"/>
    <x v="3"/>
    <x v="0"/>
    <s v="Yes"/>
    <s v="Travel_Rarely"/>
    <n v="3"/>
    <n v="5"/>
    <s v="No"/>
    <x v="0"/>
    <x v="1"/>
  </r>
  <r>
    <x v="168"/>
    <x v="1"/>
    <n v="27"/>
    <x v="0"/>
    <x v="5"/>
    <x v="14"/>
    <s v="Bachelor's"/>
    <s v="Married"/>
    <n v="55277"/>
    <n v="8"/>
    <n v="5"/>
    <x v="1"/>
    <x v="0"/>
    <s v="No"/>
    <s v="Travel_Rarely"/>
    <n v="3"/>
    <n v="1"/>
    <s v="No"/>
    <x v="0"/>
    <x v="0"/>
  </r>
  <r>
    <x v="169"/>
    <x v="1"/>
    <n v="32"/>
    <x v="1"/>
    <x v="1"/>
    <x v="3"/>
    <s v="Bachelor's"/>
    <s v="Married"/>
    <n v="53214"/>
    <n v="4"/>
    <n v="4"/>
    <x v="2"/>
    <x v="0"/>
    <s v="No"/>
    <s v="Travel_Rarely"/>
    <n v="3"/>
    <n v="6"/>
    <s v="No"/>
    <x v="0"/>
    <x v="3"/>
  </r>
  <r>
    <x v="170"/>
    <x v="1"/>
    <n v="32"/>
    <x v="1"/>
    <x v="0"/>
    <x v="0"/>
    <s v="Master's"/>
    <s v="Married"/>
    <n v="55413"/>
    <n v="3"/>
    <n v="1"/>
    <x v="3"/>
    <x v="1"/>
    <s v="No"/>
    <s v="Travel_Frequently"/>
    <n v="3"/>
    <n v="6"/>
    <s v="Yes"/>
    <x v="0"/>
    <x v="3"/>
  </r>
  <r>
    <x v="171"/>
    <x v="1"/>
    <n v="27"/>
    <x v="1"/>
    <x v="0"/>
    <x v="2"/>
    <s v="Master's"/>
    <s v="Divorced"/>
    <n v="86901"/>
    <n v="8"/>
    <n v="1"/>
    <x v="0"/>
    <x v="3"/>
    <s v="No"/>
    <s v="Travel_Rarely"/>
    <n v="3"/>
    <n v="2"/>
    <s v="No"/>
    <x v="0"/>
    <x v="0"/>
  </r>
  <r>
    <x v="172"/>
    <x v="1"/>
    <n v="30"/>
    <x v="1"/>
    <x v="0"/>
    <x v="11"/>
    <s v="Master's"/>
    <s v="Single"/>
    <n v="76904"/>
    <n v="10"/>
    <n v="0"/>
    <x v="0"/>
    <x v="0"/>
    <s v="No"/>
    <s v="Travel_Rarely"/>
    <n v="3"/>
    <n v="6"/>
    <s v="Yes"/>
    <x v="0"/>
    <x v="0"/>
  </r>
  <r>
    <x v="173"/>
    <x v="1"/>
    <n v="28"/>
    <x v="1"/>
    <x v="1"/>
    <x v="7"/>
    <s v="Master's"/>
    <s v="Married"/>
    <n v="94095"/>
    <n v="6"/>
    <n v="2"/>
    <x v="1"/>
    <x v="0"/>
    <s v="Yes"/>
    <s v="Travel_Rarely"/>
    <n v="4"/>
    <n v="1"/>
    <s v="No"/>
    <x v="0"/>
    <x v="0"/>
  </r>
  <r>
    <x v="174"/>
    <x v="1"/>
    <n v="32"/>
    <x v="0"/>
    <x v="0"/>
    <x v="0"/>
    <s v="Bachelor's"/>
    <s v="Single"/>
    <n v="45612"/>
    <n v="0"/>
    <n v="0"/>
    <x v="0"/>
    <x v="0"/>
    <s v="No"/>
    <s v="Travel_Rarely"/>
    <n v="3"/>
    <n v="6"/>
    <s v="No"/>
    <x v="0"/>
    <x v="4"/>
  </r>
  <r>
    <x v="175"/>
    <x v="1"/>
    <n v="29"/>
    <x v="0"/>
    <x v="4"/>
    <x v="6"/>
    <s v="Bachelor's"/>
    <s v="Single"/>
    <n v="48236"/>
    <n v="7"/>
    <n v="2"/>
    <x v="1"/>
    <x v="0"/>
    <s v="No"/>
    <s v="Travel_Frequently"/>
    <n v="3"/>
    <n v="3"/>
    <s v="Yes"/>
    <x v="0"/>
    <x v="0"/>
  </r>
  <r>
    <x v="176"/>
    <x v="2"/>
    <n v="47"/>
    <x v="0"/>
    <x v="5"/>
    <x v="12"/>
    <s v="Master's"/>
    <s v="Married"/>
    <n v="84915"/>
    <n v="17"/>
    <n v="3"/>
    <x v="1"/>
    <x v="2"/>
    <s v="No"/>
    <s v="Travel_Rarely"/>
    <n v="4"/>
    <n v="3"/>
    <s v="Yes"/>
    <x v="0"/>
    <x v="1"/>
  </r>
  <r>
    <x v="177"/>
    <x v="1"/>
    <n v="33"/>
    <x v="1"/>
    <x v="5"/>
    <x v="14"/>
    <s v="Bachelor's"/>
    <s v="Married"/>
    <n v="60296"/>
    <n v="12"/>
    <n v="11"/>
    <x v="0"/>
    <x v="2"/>
    <s v="No"/>
    <s v="Non-Travel"/>
    <n v="3"/>
    <n v="6"/>
    <s v="No"/>
    <x v="0"/>
    <x v="1"/>
  </r>
  <r>
    <x v="178"/>
    <x v="0"/>
    <n v="43"/>
    <x v="1"/>
    <x v="4"/>
    <x v="10"/>
    <s v="High School"/>
    <s v="Married"/>
    <n v="29317"/>
    <n v="16"/>
    <n v="9"/>
    <x v="1"/>
    <x v="3"/>
    <s v="Yes"/>
    <s v="Travel_Rarely"/>
    <n v="3"/>
    <n v="6"/>
    <s v="No"/>
    <x v="0"/>
    <x v="1"/>
  </r>
  <r>
    <x v="179"/>
    <x v="0"/>
    <n v="38"/>
    <x v="1"/>
    <x v="1"/>
    <x v="3"/>
    <s v="Master's"/>
    <s v="Married"/>
    <n v="62618"/>
    <n v="1"/>
    <n v="0"/>
    <x v="0"/>
    <x v="0"/>
    <s v="Yes"/>
    <s v="Travel_Rarely"/>
    <n v="3"/>
    <n v="2"/>
    <s v="No"/>
    <x v="0"/>
    <x v="2"/>
  </r>
  <r>
    <x v="180"/>
    <x v="0"/>
    <n v="44"/>
    <x v="0"/>
    <x v="4"/>
    <x v="15"/>
    <s v="Bachelor's"/>
    <s v="Married"/>
    <n v="69429"/>
    <n v="5"/>
    <n v="5"/>
    <x v="1"/>
    <x v="1"/>
    <s v="No"/>
    <s v="Travel_Rarely"/>
    <n v="2"/>
    <n v="3"/>
    <s v="No"/>
    <x v="0"/>
    <x v="3"/>
  </r>
  <r>
    <x v="181"/>
    <x v="2"/>
    <n v="45"/>
    <x v="0"/>
    <x v="2"/>
    <x v="13"/>
    <s v="Master's"/>
    <s v="Married"/>
    <n v="43195"/>
    <n v="6"/>
    <n v="5"/>
    <x v="1"/>
    <x v="0"/>
    <s v="No"/>
    <s v="Travel_Frequently"/>
    <n v="3"/>
    <n v="5"/>
    <s v="No"/>
    <x v="0"/>
    <x v="0"/>
  </r>
  <r>
    <x v="182"/>
    <x v="0"/>
    <n v="40"/>
    <x v="0"/>
    <x v="4"/>
    <x v="6"/>
    <s v="Bachelor's"/>
    <s v="Married"/>
    <n v="46900"/>
    <n v="9"/>
    <n v="3"/>
    <x v="0"/>
    <x v="0"/>
    <s v="No"/>
    <s v="Non-Travel"/>
    <n v="3"/>
    <n v="5"/>
    <s v="No"/>
    <x v="0"/>
    <x v="0"/>
  </r>
  <r>
    <x v="183"/>
    <x v="1"/>
    <n v="33"/>
    <x v="0"/>
    <x v="0"/>
    <x v="0"/>
    <s v="Master's"/>
    <s v="Married"/>
    <n v="35720"/>
    <n v="9"/>
    <n v="0"/>
    <x v="1"/>
    <x v="0"/>
    <s v="No"/>
    <s v="Travel_Rarely"/>
    <n v="3"/>
    <n v="2"/>
    <s v="No"/>
    <x v="0"/>
    <x v="0"/>
  </r>
  <r>
    <x v="184"/>
    <x v="2"/>
    <n v="47"/>
    <x v="1"/>
    <x v="3"/>
    <x v="9"/>
    <s v="Master's"/>
    <s v="Divorced"/>
    <n v="52855"/>
    <n v="20"/>
    <n v="3"/>
    <x v="3"/>
    <x v="0"/>
    <s v="No"/>
    <s v="Travel_Rarely"/>
    <n v="3"/>
    <n v="1"/>
    <s v="No"/>
    <x v="0"/>
    <x v="1"/>
  </r>
  <r>
    <x v="185"/>
    <x v="0"/>
    <n v="40"/>
    <x v="0"/>
    <x v="4"/>
    <x v="15"/>
    <s v="Master's"/>
    <s v="Single"/>
    <n v="57757"/>
    <n v="18"/>
    <n v="10"/>
    <x v="1"/>
    <x v="3"/>
    <s v="No"/>
    <s v="Travel_Rarely"/>
    <n v="3"/>
    <n v="5"/>
    <s v="No"/>
    <x v="0"/>
    <x v="1"/>
  </r>
  <r>
    <x v="186"/>
    <x v="2"/>
    <n v="54"/>
    <x v="0"/>
    <x v="1"/>
    <x v="1"/>
    <s v="Bachelor's"/>
    <s v="Married"/>
    <n v="23248"/>
    <n v="16"/>
    <n v="0"/>
    <x v="0"/>
    <x v="1"/>
    <s v="No"/>
    <s v="Travel_Frequently"/>
    <n v="2"/>
    <n v="1"/>
    <s v="No"/>
    <x v="0"/>
    <x v="1"/>
  </r>
  <r>
    <x v="187"/>
    <x v="3"/>
    <n v="23"/>
    <x v="1"/>
    <x v="1"/>
    <x v="7"/>
    <s v="Bachelor's"/>
    <s v="Married"/>
    <n v="67613"/>
    <n v="5"/>
    <n v="4"/>
    <x v="1"/>
    <x v="3"/>
    <s v="No"/>
    <s v="Travel_Rarely"/>
    <n v="3"/>
    <n v="0"/>
    <s v="No"/>
    <x v="0"/>
    <x v="3"/>
  </r>
  <r>
    <x v="188"/>
    <x v="3"/>
    <n v="21"/>
    <x v="0"/>
    <x v="0"/>
    <x v="11"/>
    <s v="Master's"/>
    <s v="Married"/>
    <n v="92123"/>
    <n v="2"/>
    <n v="0"/>
    <x v="0"/>
    <x v="0"/>
    <s v="Yes"/>
    <s v="Travel_Rarely"/>
    <n v="3"/>
    <n v="5"/>
    <s v="No"/>
    <x v="1"/>
    <x v="2"/>
  </r>
  <r>
    <x v="189"/>
    <x v="1"/>
    <n v="34"/>
    <x v="1"/>
    <x v="1"/>
    <x v="3"/>
    <s v="PhD"/>
    <s v="Married"/>
    <n v="95781"/>
    <n v="6"/>
    <n v="5"/>
    <x v="1"/>
    <x v="0"/>
    <s v="No"/>
    <s v="Travel_Rarely"/>
    <n v="4"/>
    <n v="4"/>
    <s v="No"/>
    <x v="0"/>
    <x v="0"/>
  </r>
  <r>
    <x v="190"/>
    <x v="3"/>
    <n v="21"/>
    <x v="0"/>
    <x v="0"/>
    <x v="11"/>
    <s v="High School"/>
    <s v="Single"/>
    <n v="62506"/>
    <n v="3"/>
    <n v="1"/>
    <x v="0"/>
    <x v="2"/>
    <s v="Yes"/>
    <s v="Travel_Rarely"/>
    <n v="3"/>
    <n v="1"/>
    <s v="No"/>
    <x v="0"/>
    <x v="3"/>
  </r>
  <r>
    <x v="191"/>
    <x v="2"/>
    <n v="45"/>
    <x v="1"/>
    <x v="5"/>
    <x v="8"/>
    <s v="Master's"/>
    <s v="Married"/>
    <n v="68952"/>
    <n v="8"/>
    <n v="1"/>
    <x v="1"/>
    <x v="0"/>
    <s v="Yes"/>
    <s v="Travel_Rarely"/>
    <n v="3"/>
    <n v="4"/>
    <s v="No"/>
    <x v="0"/>
    <x v="0"/>
  </r>
  <r>
    <x v="192"/>
    <x v="1"/>
    <n v="27"/>
    <x v="0"/>
    <x v="5"/>
    <x v="14"/>
    <s v="High School"/>
    <s v="Single"/>
    <n v="119081"/>
    <n v="3"/>
    <n v="3"/>
    <x v="1"/>
    <x v="2"/>
    <s v="No"/>
    <s v="Non-Travel"/>
    <n v="3"/>
    <n v="5"/>
    <s v="No"/>
    <x v="0"/>
    <x v="3"/>
  </r>
  <r>
    <x v="193"/>
    <x v="1"/>
    <n v="26"/>
    <x v="1"/>
    <x v="4"/>
    <x v="6"/>
    <s v="PhD"/>
    <s v="Divorced"/>
    <n v="56339"/>
    <n v="3"/>
    <n v="0"/>
    <x v="1"/>
    <x v="1"/>
    <s v="No"/>
    <s v="Travel_Rarely"/>
    <n v="4"/>
    <n v="5"/>
    <s v="No"/>
    <x v="1"/>
    <x v="3"/>
  </r>
  <r>
    <x v="194"/>
    <x v="1"/>
    <n v="30"/>
    <x v="1"/>
    <x v="0"/>
    <x v="11"/>
    <s v="Bachelor's"/>
    <s v="Single"/>
    <n v="24930"/>
    <n v="6"/>
    <n v="5"/>
    <x v="3"/>
    <x v="0"/>
    <s v="No"/>
    <s v="Travel_Frequently"/>
    <n v="3"/>
    <n v="5"/>
    <s v="No"/>
    <x v="0"/>
    <x v="0"/>
  </r>
  <r>
    <x v="195"/>
    <x v="0"/>
    <n v="38"/>
    <x v="1"/>
    <x v="0"/>
    <x v="11"/>
    <s v="Master's"/>
    <s v="Single"/>
    <n v="98099"/>
    <n v="11"/>
    <n v="5"/>
    <x v="3"/>
    <x v="0"/>
    <s v="No"/>
    <s v="Non-Travel"/>
    <n v="3"/>
    <n v="5"/>
    <s v="No"/>
    <x v="0"/>
    <x v="1"/>
  </r>
  <r>
    <x v="196"/>
    <x v="1"/>
    <n v="30"/>
    <x v="0"/>
    <x v="0"/>
    <x v="11"/>
    <s v="PhD"/>
    <s v="Single"/>
    <n v="79863"/>
    <n v="12"/>
    <n v="12"/>
    <x v="1"/>
    <x v="0"/>
    <s v="No"/>
    <s v="Non-Travel"/>
    <n v="3"/>
    <n v="3"/>
    <s v="Yes"/>
    <x v="0"/>
    <x v="1"/>
  </r>
  <r>
    <x v="197"/>
    <x v="3"/>
    <n v="21"/>
    <x v="1"/>
    <x v="5"/>
    <x v="12"/>
    <s v="Bachelor's"/>
    <s v="Married"/>
    <n v="34727"/>
    <n v="0"/>
    <n v="0"/>
    <x v="3"/>
    <x v="1"/>
    <s v="No"/>
    <s v="Travel_Rarely"/>
    <n v="2"/>
    <n v="0"/>
    <s v="No"/>
    <x v="1"/>
    <x v="4"/>
  </r>
  <r>
    <x v="198"/>
    <x v="0"/>
    <n v="37"/>
    <x v="0"/>
    <x v="1"/>
    <x v="1"/>
    <s v="Bachelor's"/>
    <s v="Married"/>
    <n v="42313"/>
    <n v="9"/>
    <n v="9"/>
    <x v="3"/>
    <x v="1"/>
    <s v="Yes"/>
    <s v="Travel_Rarely"/>
    <n v="3"/>
    <n v="3"/>
    <s v="Yes"/>
    <x v="0"/>
    <x v="0"/>
  </r>
  <r>
    <x v="199"/>
    <x v="0"/>
    <n v="39"/>
    <x v="0"/>
    <x v="3"/>
    <x v="16"/>
    <s v="Bachelor's"/>
    <s v="Married"/>
    <n v="91319"/>
    <n v="8"/>
    <n v="2"/>
    <x v="1"/>
    <x v="0"/>
    <s v="Yes"/>
    <s v="Non-Travel"/>
    <n v="4"/>
    <n v="1"/>
    <s v="No"/>
    <x v="0"/>
    <x v="0"/>
  </r>
  <r>
    <x v="200"/>
    <x v="1"/>
    <n v="33"/>
    <x v="0"/>
    <x v="2"/>
    <x v="17"/>
    <s v="Master's"/>
    <s v="Married"/>
    <n v="95106"/>
    <n v="13"/>
    <n v="3"/>
    <x v="2"/>
    <x v="0"/>
    <s v="Yes"/>
    <s v="Non-Travel"/>
    <n v="3"/>
    <n v="0"/>
    <s v="Yes"/>
    <x v="0"/>
    <x v="1"/>
  </r>
  <r>
    <x v="201"/>
    <x v="3"/>
    <n v="24"/>
    <x v="1"/>
    <x v="3"/>
    <x v="18"/>
    <s v="Bachelor's"/>
    <s v="Married"/>
    <n v="98644"/>
    <n v="4"/>
    <n v="2"/>
    <x v="0"/>
    <x v="0"/>
    <s v="No"/>
    <s v="Travel_Rarely"/>
    <n v="2"/>
    <n v="1"/>
    <s v="No"/>
    <x v="1"/>
    <x v="3"/>
  </r>
  <r>
    <x v="202"/>
    <x v="0"/>
    <n v="38"/>
    <x v="1"/>
    <x v="1"/>
    <x v="7"/>
    <s v="Unknown"/>
    <s v="Single"/>
    <n v="84663"/>
    <n v="15"/>
    <n v="5"/>
    <x v="0"/>
    <x v="3"/>
    <s v="Yes"/>
    <s v="Travel_Rarely"/>
    <n v="3"/>
    <n v="1"/>
    <s v="No"/>
    <x v="0"/>
    <x v="1"/>
  </r>
  <r>
    <x v="203"/>
    <x v="1"/>
    <n v="29"/>
    <x v="0"/>
    <x v="1"/>
    <x v="3"/>
    <s v="Bachelor's"/>
    <s v="Married"/>
    <n v="50430"/>
    <n v="2"/>
    <n v="0"/>
    <x v="2"/>
    <x v="0"/>
    <s v="No"/>
    <s v="Travel_Rarely"/>
    <n v="3"/>
    <n v="5"/>
    <s v="No"/>
    <x v="0"/>
    <x v="2"/>
  </r>
  <r>
    <x v="204"/>
    <x v="0"/>
    <n v="44"/>
    <x v="1"/>
    <x v="1"/>
    <x v="3"/>
    <s v="High School"/>
    <s v="Single"/>
    <n v="38619"/>
    <n v="24"/>
    <n v="6"/>
    <x v="1"/>
    <x v="0"/>
    <s v="No"/>
    <s v="Travel_Frequently"/>
    <n v="3"/>
    <n v="5"/>
    <s v="Yes"/>
    <x v="0"/>
    <x v="1"/>
  </r>
  <r>
    <x v="205"/>
    <x v="0"/>
    <n v="36"/>
    <x v="0"/>
    <x v="1"/>
    <x v="7"/>
    <s v="High School"/>
    <s v="Married"/>
    <n v="50821"/>
    <n v="10"/>
    <n v="2"/>
    <x v="0"/>
    <x v="1"/>
    <s v="No"/>
    <s v="Travel_Rarely"/>
    <n v="3"/>
    <n v="4"/>
    <s v="No"/>
    <x v="0"/>
    <x v="0"/>
  </r>
  <r>
    <x v="206"/>
    <x v="3"/>
    <n v="21"/>
    <x v="1"/>
    <x v="5"/>
    <x v="14"/>
    <s v="Master's"/>
    <s v="Single"/>
    <n v="96275"/>
    <n v="1"/>
    <n v="1"/>
    <x v="0"/>
    <x v="0"/>
    <s v="No"/>
    <s v="Non-Travel"/>
    <n v="3"/>
    <n v="1"/>
    <s v="No"/>
    <x v="0"/>
    <x v="2"/>
  </r>
  <r>
    <x v="207"/>
    <x v="1"/>
    <n v="25"/>
    <x v="1"/>
    <x v="0"/>
    <x v="2"/>
    <s v="Bachelor's"/>
    <s v="Married"/>
    <n v="58519"/>
    <n v="7"/>
    <n v="4"/>
    <x v="0"/>
    <x v="0"/>
    <s v="No"/>
    <s v="Travel_Rarely"/>
    <n v="3"/>
    <n v="2"/>
    <s v="No"/>
    <x v="0"/>
    <x v="0"/>
  </r>
  <r>
    <x v="208"/>
    <x v="0"/>
    <n v="35"/>
    <x v="1"/>
    <x v="1"/>
    <x v="1"/>
    <s v="Bachelor's"/>
    <s v="Married"/>
    <n v="96017"/>
    <n v="6"/>
    <n v="1"/>
    <x v="1"/>
    <x v="0"/>
    <s v="No"/>
    <s v="Travel_Rarely"/>
    <n v="3"/>
    <n v="6"/>
    <s v="No"/>
    <x v="0"/>
    <x v="0"/>
  </r>
  <r>
    <x v="209"/>
    <x v="1"/>
    <n v="33"/>
    <x v="1"/>
    <x v="4"/>
    <x v="6"/>
    <s v="Bachelor's"/>
    <s v="Single"/>
    <n v="115592"/>
    <n v="7"/>
    <n v="5"/>
    <x v="0"/>
    <x v="2"/>
    <s v="No"/>
    <s v="Travel_Frequently"/>
    <n v="3"/>
    <n v="6"/>
    <s v="No"/>
    <x v="0"/>
    <x v="0"/>
  </r>
  <r>
    <x v="210"/>
    <x v="0"/>
    <n v="40"/>
    <x v="1"/>
    <x v="5"/>
    <x v="8"/>
    <s v="Master's"/>
    <s v="Married"/>
    <n v="63701"/>
    <n v="3"/>
    <n v="0"/>
    <x v="1"/>
    <x v="0"/>
    <s v="No"/>
    <s v="Travel_Rarely"/>
    <n v="3"/>
    <n v="0"/>
    <s v="Yes"/>
    <x v="0"/>
    <x v="3"/>
  </r>
  <r>
    <x v="211"/>
    <x v="1"/>
    <n v="31"/>
    <x v="0"/>
    <x v="4"/>
    <x v="6"/>
    <s v="Bachelor's"/>
    <s v="Married"/>
    <n v="88327"/>
    <n v="12"/>
    <n v="0"/>
    <x v="3"/>
    <x v="1"/>
    <s v="No"/>
    <s v="Travel_Rarely"/>
    <n v="3"/>
    <n v="4"/>
    <s v="No"/>
    <x v="0"/>
    <x v="1"/>
  </r>
  <r>
    <x v="212"/>
    <x v="3"/>
    <n v="21"/>
    <x v="0"/>
    <x v="4"/>
    <x v="6"/>
    <s v="Master's"/>
    <s v="Married"/>
    <n v="98027"/>
    <n v="1"/>
    <n v="1"/>
    <x v="2"/>
    <x v="2"/>
    <s v="No"/>
    <s v="Travel_Rarely"/>
    <n v="3"/>
    <n v="6"/>
    <s v="No"/>
    <x v="0"/>
    <x v="2"/>
  </r>
  <r>
    <x v="213"/>
    <x v="0"/>
    <n v="37"/>
    <x v="0"/>
    <x v="0"/>
    <x v="0"/>
    <s v="Bachelor's"/>
    <s v="Single"/>
    <n v="75710"/>
    <n v="6"/>
    <n v="3"/>
    <x v="3"/>
    <x v="1"/>
    <s v="No"/>
    <s v="Travel_Rarely"/>
    <n v="3"/>
    <n v="1"/>
    <s v="No"/>
    <x v="0"/>
    <x v="0"/>
  </r>
  <r>
    <x v="214"/>
    <x v="0"/>
    <n v="39"/>
    <x v="0"/>
    <x v="1"/>
    <x v="7"/>
    <s v="High School"/>
    <s v="Single"/>
    <n v="96318"/>
    <n v="17"/>
    <n v="4"/>
    <x v="3"/>
    <x v="1"/>
    <s v="No"/>
    <s v="Travel_Rarely"/>
    <n v="3"/>
    <n v="5"/>
    <s v="No"/>
    <x v="0"/>
    <x v="1"/>
  </r>
  <r>
    <x v="215"/>
    <x v="2"/>
    <n v="54"/>
    <x v="1"/>
    <x v="0"/>
    <x v="0"/>
    <s v="Master's"/>
    <s v="Married"/>
    <n v="58618"/>
    <n v="19"/>
    <n v="7"/>
    <x v="1"/>
    <x v="1"/>
    <s v="No"/>
    <s v="Travel_Frequently"/>
    <n v="2"/>
    <n v="0"/>
    <s v="No"/>
    <x v="0"/>
    <x v="1"/>
  </r>
  <r>
    <x v="216"/>
    <x v="1"/>
    <n v="34"/>
    <x v="0"/>
    <x v="1"/>
    <x v="7"/>
    <s v="PhD"/>
    <s v="Single"/>
    <n v="37306"/>
    <n v="2"/>
    <n v="1"/>
    <x v="3"/>
    <x v="1"/>
    <s v="No"/>
    <s v="Non-Travel"/>
    <n v="2"/>
    <n v="5"/>
    <s v="No"/>
    <x v="0"/>
    <x v="2"/>
  </r>
  <r>
    <x v="217"/>
    <x v="1"/>
    <n v="29"/>
    <x v="1"/>
    <x v="0"/>
    <x v="11"/>
    <s v="Master's"/>
    <s v="Single"/>
    <n v="47748"/>
    <n v="7"/>
    <n v="1"/>
    <x v="2"/>
    <x v="0"/>
    <s v="Yes"/>
    <s v="Travel_Rarely"/>
    <n v="3"/>
    <n v="0"/>
    <s v="No"/>
    <x v="0"/>
    <x v="0"/>
  </r>
  <r>
    <x v="218"/>
    <x v="0"/>
    <n v="35"/>
    <x v="0"/>
    <x v="1"/>
    <x v="3"/>
    <s v="Bachelor's"/>
    <s v="Single"/>
    <n v="67899"/>
    <n v="11"/>
    <n v="11"/>
    <x v="1"/>
    <x v="1"/>
    <s v="No"/>
    <s v="Non-Travel"/>
    <n v="3"/>
    <n v="1"/>
    <s v="Yes"/>
    <x v="0"/>
    <x v="1"/>
  </r>
  <r>
    <x v="219"/>
    <x v="0"/>
    <n v="37"/>
    <x v="0"/>
    <x v="5"/>
    <x v="12"/>
    <s v="Bachelor's"/>
    <s v="Single"/>
    <n v="80128"/>
    <n v="13"/>
    <n v="9"/>
    <x v="2"/>
    <x v="1"/>
    <s v="Yes"/>
    <s v="Travel_Rarely"/>
    <n v="4"/>
    <n v="2"/>
    <s v="No"/>
    <x v="0"/>
    <x v="1"/>
  </r>
  <r>
    <x v="220"/>
    <x v="1"/>
    <n v="30"/>
    <x v="1"/>
    <x v="1"/>
    <x v="7"/>
    <s v="Bachelor's"/>
    <s v="Single"/>
    <n v="92847"/>
    <n v="12"/>
    <n v="1"/>
    <x v="1"/>
    <x v="3"/>
    <s v="No"/>
    <s v="Travel_Rarely"/>
    <n v="3"/>
    <n v="1"/>
    <s v="Yes"/>
    <x v="0"/>
    <x v="1"/>
  </r>
  <r>
    <x v="221"/>
    <x v="2"/>
    <n v="49"/>
    <x v="1"/>
    <x v="0"/>
    <x v="11"/>
    <s v="High School"/>
    <s v="Single"/>
    <n v="70950"/>
    <n v="19"/>
    <n v="2"/>
    <x v="1"/>
    <x v="1"/>
    <s v="No"/>
    <s v="Travel_Rarely"/>
    <n v="3"/>
    <n v="0"/>
    <s v="Yes"/>
    <x v="0"/>
    <x v="1"/>
  </r>
  <r>
    <x v="222"/>
    <x v="0"/>
    <n v="39"/>
    <x v="0"/>
    <x v="4"/>
    <x v="6"/>
    <s v="Master's"/>
    <s v="Married"/>
    <n v="50813"/>
    <n v="5"/>
    <n v="2"/>
    <x v="0"/>
    <x v="0"/>
    <s v="Yes"/>
    <s v="Travel_Rarely"/>
    <n v="2"/>
    <n v="6"/>
    <s v="No"/>
    <x v="0"/>
    <x v="3"/>
  </r>
  <r>
    <x v="223"/>
    <x v="0"/>
    <n v="36"/>
    <x v="1"/>
    <x v="4"/>
    <x v="15"/>
    <s v="Bachelor's"/>
    <s v="Single"/>
    <n v="73360"/>
    <n v="10"/>
    <n v="10"/>
    <x v="0"/>
    <x v="1"/>
    <s v="No"/>
    <s v="Travel_Rarely"/>
    <n v="2"/>
    <n v="3"/>
    <s v="Yes"/>
    <x v="0"/>
    <x v="0"/>
  </r>
  <r>
    <x v="224"/>
    <x v="1"/>
    <n v="28"/>
    <x v="0"/>
    <x v="1"/>
    <x v="3"/>
    <s v="Bachelor's"/>
    <s v="Single"/>
    <n v="39026"/>
    <n v="10"/>
    <n v="8"/>
    <x v="3"/>
    <x v="3"/>
    <s v="No"/>
    <s v="Travel_Rarely"/>
    <n v="3"/>
    <n v="3"/>
    <s v="No"/>
    <x v="0"/>
    <x v="0"/>
  </r>
  <r>
    <x v="225"/>
    <x v="0"/>
    <n v="38"/>
    <x v="0"/>
    <x v="1"/>
    <x v="1"/>
    <s v="Bachelor's"/>
    <s v="Married"/>
    <n v="87459"/>
    <n v="13"/>
    <n v="0"/>
    <x v="3"/>
    <x v="0"/>
    <s v="No"/>
    <s v="Travel_Rarely"/>
    <n v="2"/>
    <n v="1"/>
    <s v="No"/>
    <x v="0"/>
    <x v="1"/>
  </r>
  <r>
    <x v="226"/>
    <x v="2"/>
    <n v="46"/>
    <x v="0"/>
    <x v="2"/>
    <x v="4"/>
    <s v="High School"/>
    <s v="Single"/>
    <n v="28446"/>
    <n v="9"/>
    <n v="7"/>
    <x v="1"/>
    <x v="2"/>
    <s v="Yes"/>
    <s v="Travel_Rarely"/>
    <n v="3"/>
    <n v="6"/>
    <s v="No"/>
    <x v="1"/>
    <x v="0"/>
  </r>
  <r>
    <x v="227"/>
    <x v="0"/>
    <n v="41"/>
    <x v="1"/>
    <x v="5"/>
    <x v="8"/>
    <s v="Bachelor's"/>
    <s v="Married"/>
    <n v="77007"/>
    <n v="1"/>
    <n v="1"/>
    <x v="1"/>
    <x v="1"/>
    <s v="No"/>
    <s v="Travel_Rarely"/>
    <n v="2"/>
    <n v="6"/>
    <s v="Yes"/>
    <x v="0"/>
    <x v="2"/>
  </r>
  <r>
    <x v="228"/>
    <x v="3"/>
    <n v="24"/>
    <x v="1"/>
    <x v="0"/>
    <x v="11"/>
    <s v="Bachelor's"/>
    <s v="Married"/>
    <n v="69088"/>
    <n v="1"/>
    <n v="1"/>
    <x v="0"/>
    <x v="0"/>
    <s v="No"/>
    <s v="Travel_Frequently"/>
    <n v="3"/>
    <n v="4"/>
    <s v="No"/>
    <x v="0"/>
    <x v="2"/>
  </r>
  <r>
    <x v="229"/>
    <x v="0"/>
    <n v="37"/>
    <x v="1"/>
    <x v="4"/>
    <x v="10"/>
    <s v="High School"/>
    <s v="Single"/>
    <n v="54209"/>
    <n v="5"/>
    <n v="1"/>
    <x v="3"/>
    <x v="1"/>
    <s v="No"/>
    <s v="Travel_Rarely"/>
    <n v="3"/>
    <n v="2"/>
    <s v="No"/>
    <x v="0"/>
    <x v="3"/>
  </r>
  <r>
    <x v="230"/>
    <x v="0"/>
    <n v="42"/>
    <x v="1"/>
    <x v="1"/>
    <x v="1"/>
    <s v="Bachelor's"/>
    <s v="Single"/>
    <n v="48141"/>
    <n v="5"/>
    <n v="2"/>
    <x v="1"/>
    <x v="0"/>
    <s v="No"/>
    <s v="Travel_Rarely"/>
    <n v="3"/>
    <n v="1"/>
    <s v="No"/>
    <x v="0"/>
    <x v="3"/>
  </r>
  <r>
    <x v="231"/>
    <x v="0"/>
    <n v="37"/>
    <x v="0"/>
    <x v="0"/>
    <x v="11"/>
    <s v="PhD"/>
    <s v="Single"/>
    <n v="77186"/>
    <n v="12"/>
    <n v="4"/>
    <x v="2"/>
    <x v="3"/>
    <s v="No"/>
    <s v="Travel_Rarely"/>
    <n v="3"/>
    <n v="3"/>
    <s v="Yes"/>
    <x v="0"/>
    <x v="1"/>
  </r>
  <r>
    <x v="232"/>
    <x v="0"/>
    <n v="39"/>
    <x v="1"/>
    <x v="4"/>
    <x v="15"/>
    <s v="High School"/>
    <s v="Married"/>
    <n v="80488"/>
    <n v="14"/>
    <n v="7"/>
    <x v="1"/>
    <x v="0"/>
    <s v="Yes"/>
    <s v="Travel_Rarely"/>
    <n v="3"/>
    <n v="6"/>
    <s v="No"/>
    <x v="0"/>
    <x v="1"/>
  </r>
  <r>
    <x v="233"/>
    <x v="3"/>
    <n v="22"/>
    <x v="0"/>
    <x v="4"/>
    <x v="10"/>
    <s v="Bachelor's"/>
    <s v="Married"/>
    <n v="58110"/>
    <n v="0"/>
    <n v="0"/>
    <x v="1"/>
    <x v="2"/>
    <s v="Yes"/>
    <s v="Travel_Rarely"/>
    <n v="4"/>
    <n v="0"/>
    <s v="No"/>
    <x v="0"/>
    <x v="4"/>
  </r>
  <r>
    <x v="234"/>
    <x v="0"/>
    <n v="35"/>
    <x v="1"/>
    <x v="1"/>
    <x v="7"/>
    <s v="Master's"/>
    <s v="Married"/>
    <n v="59569"/>
    <n v="11"/>
    <n v="6"/>
    <x v="3"/>
    <x v="1"/>
    <s v="No"/>
    <s v="Travel_Frequently"/>
    <n v="2"/>
    <n v="3"/>
    <s v="No"/>
    <x v="0"/>
    <x v="1"/>
  </r>
  <r>
    <x v="235"/>
    <x v="0"/>
    <n v="39"/>
    <x v="1"/>
    <x v="1"/>
    <x v="1"/>
    <s v="Bachelor's"/>
    <s v="Single"/>
    <n v="66428"/>
    <n v="14"/>
    <n v="1"/>
    <x v="0"/>
    <x v="3"/>
    <s v="No"/>
    <s v="Travel_Rarely"/>
    <n v="4"/>
    <n v="3"/>
    <s v="Yes"/>
    <x v="0"/>
    <x v="1"/>
  </r>
  <r>
    <x v="236"/>
    <x v="0"/>
    <n v="36"/>
    <x v="1"/>
    <x v="1"/>
    <x v="1"/>
    <s v="Bachelor's"/>
    <s v="Single"/>
    <n v="75685"/>
    <n v="11"/>
    <n v="9"/>
    <x v="1"/>
    <x v="3"/>
    <s v="No"/>
    <s v="Travel_Rarely"/>
    <n v="3"/>
    <n v="1"/>
    <s v="No"/>
    <x v="0"/>
    <x v="1"/>
  </r>
  <r>
    <x v="237"/>
    <x v="0"/>
    <n v="40"/>
    <x v="1"/>
    <x v="1"/>
    <x v="7"/>
    <s v="Master's"/>
    <s v="Married"/>
    <n v="43769"/>
    <n v="14"/>
    <n v="10"/>
    <x v="0"/>
    <x v="2"/>
    <s v="Yes"/>
    <s v="Travel_Rarely"/>
    <n v="3"/>
    <n v="2"/>
    <s v="No"/>
    <x v="0"/>
    <x v="1"/>
  </r>
  <r>
    <x v="238"/>
    <x v="3"/>
    <n v="21"/>
    <x v="1"/>
    <x v="3"/>
    <x v="18"/>
    <s v="Bachelor's"/>
    <s v="Married"/>
    <n v="41963"/>
    <n v="1"/>
    <n v="1"/>
    <x v="1"/>
    <x v="0"/>
    <s v="No"/>
    <s v="Travel_Rarely"/>
    <n v="3"/>
    <n v="3"/>
    <s v="No"/>
    <x v="0"/>
    <x v="2"/>
  </r>
  <r>
    <x v="239"/>
    <x v="1"/>
    <n v="25"/>
    <x v="0"/>
    <x v="0"/>
    <x v="0"/>
    <s v="Master's"/>
    <s v="Married"/>
    <n v="101764"/>
    <n v="4"/>
    <n v="3"/>
    <x v="3"/>
    <x v="0"/>
    <s v="No"/>
    <s v="Non-Travel"/>
    <n v="4"/>
    <n v="3"/>
    <s v="Yes"/>
    <x v="0"/>
    <x v="3"/>
  </r>
  <r>
    <x v="240"/>
    <x v="0"/>
    <n v="36"/>
    <x v="0"/>
    <x v="3"/>
    <x v="18"/>
    <s v="Master's"/>
    <s v="Divorced"/>
    <n v="65175"/>
    <n v="16"/>
    <n v="12"/>
    <x v="1"/>
    <x v="0"/>
    <s v="No"/>
    <s v="Travel_Rarely"/>
    <n v="3"/>
    <n v="3"/>
    <s v="No"/>
    <x v="0"/>
    <x v="1"/>
  </r>
  <r>
    <x v="241"/>
    <x v="1"/>
    <n v="32"/>
    <x v="1"/>
    <x v="4"/>
    <x v="10"/>
    <s v="Bachelor's"/>
    <s v="Single"/>
    <n v="36856"/>
    <n v="13"/>
    <n v="9"/>
    <x v="3"/>
    <x v="0"/>
    <s v="Yes"/>
    <s v="Travel_Rarely"/>
    <n v="4"/>
    <n v="5"/>
    <s v="No"/>
    <x v="0"/>
    <x v="1"/>
  </r>
  <r>
    <x v="242"/>
    <x v="0"/>
    <n v="42"/>
    <x v="1"/>
    <x v="1"/>
    <x v="1"/>
    <s v="Master's"/>
    <s v="Married"/>
    <n v="64169"/>
    <n v="20"/>
    <n v="6"/>
    <x v="1"/>
    <x v="1"/>
    <s v="No"/>
    <s v="Travel_Frequently"/>
    <n v="3"/>
    <n v="0"/>
    <s v="No"/>
    <x v="0"/>
    <x v="1"/>
  </r>
  <r>
    <x v="243"/>
    <x v="3"/>
    <n v="23"/>
    <x v="1"/>
    <x v="4"/>
    <x v="6"/>
    <s v="Bachelor's"/>
    <s v="Married"/>
    <n v="34614"/>
    <n v="0"/>
    <n v="0"/>
    <x v="1"/>
    <x v="3"/>
    <s v="No"/>
    <s v="Travel_Frequently"/>
    <n v="4"/>
    <n v="2"/>
    <s v="No"/>
    <x v="0"/>
    <x v="4"/>
  </r>
  <r>
    <x v="244"/>
    <x v="0"/>
    <n v="39"/>
    <x v="0"/>
    <x v="2"/>
    <x v="13"/>
    <s v="Master's"/>
    <s v="Single"/>
    <n v="60097"/>
    <n v="11"/>
    <n v="7"/>
    <x v="1"/>
    <x v="0"/>
    <s v="Yes"/>
    <s v="Travel_Rarely"/>
    <n v="4"/>
    <n v="2"/>
    <s v="No"/>
    <x v="0"/>
    <x v="1"/>
  </r>
  <r>
    <x v="245"/>
    <x v="1"/>
    <n v="25"/>
    <x v="0"/>
    <x v="0"/>
    <x v="2"/>
    <s v="Master's"/>
    <s v="Divorced"/>
    <n v="58795"/>
    <n v="1"/>
    <n v="1"/>
    <x v="1"/>
    <x v="3"/>
    <s v="No"/>
    <s v="Travel_Rarely"/>
    <n v="2"/>
    <n v="3"/>
    <s v="No"/>
    <x v="0"/>
    <x v="2"/>
  </r>
  <r>
    <x v="246"/>
    <x v="0"/>
    <n v="36"/>
    <x v="1"/>
    <x v="0"/>
    <x v="0"/>
    <s v="Master's"/>
    <s v="Divorced"/>
    <n v="61012"/>
    <n v="2"/>
    <n v="1"/>
    <x v="3"/>
    <x v="3"/>
    <s v="No"/>
    <s v="Travel_Frequently"/>
    <n v="2"/>
    <n v="1"/>
    <s v="No"/>
    <x v="0"/>
    <x v="2"/>
  </r>
  <r>
    <x v="247"/>
    <x v="1"/>
    <n v="34"/>
    <x v="1"/>
    <x v="2"/>
    <x v="4"/>
    <s v="Bachelor's"/>
    <s v="Married"/>
    <n v="79450"/>
    <n v="4"/>
    <n v="0"/>
    <x v="0"/>
    <x v="2"/>
    <s v="No"/>
    <s v="Travel_Rarely"/>
    <n v="3"/>
    <n v="3"/>
    <s v="No"/>
    <x v="0"/>
    <x v="3"/>
  </r>
  <r>
    <x v="248"/>
    <x v="1"/>
    <n v="33"/>
    <x v="0"/>
    <x v="5"/>
    <x v="8"/>
    <s v="Master's"/>
    <s v="Married"/>
    <n v="72742"/>
    <n v="7"/>
    <n v="2"/>
    <x v="3"/>
    <x v="3"/>
    <s v="No"/>
    <s v="Travel_Rarely"/>
    <n v="3"/>
    <n v="1"/>
    <s v="No"/>
    <x v="0"/>
    <x v="0"/>
  </r>
  <r>
    <x v="249"/>
    <x v="2"/>
    <n v="47"/>
    <x v="0"/>
    <x v="5"/>
    <x v="8"/>
    <s v="High School"/>
    <s v="Married"/>
    <n v="48260"/>
    <n v="4"/>
    <n v="3"/>
    <x v="1"/>
    <x v="0"/>
    <s v="No"/>
    <s v="Travel_Frequently"/>
    <n v="3"/>
    <n v="6"/>
    <s v="No"/>
    <x v="0"/>
    <x v="3"/>
  </r>
  <r>
    <x v="250"/>
    <x v="0"/>
    <n v="40"/>
    <x v="1"/>
    <x v="1"/>
    <x v="3"/>
    <s v="High School"/>
    <s v="Single"/>
    <n v="37366"/>
    <n v="15"/>
    <n v="9"/>
    <x v="1"/>
    <x v="1"/>
    <s v="Yes"/>
    <s v="Travel_Rarely"/>
    <n v="3"/>
    <n v="6"/>
    <s v="No"/>
    <x v="0"/>
    <x v="1"/>
  </r>
  <r>
    <x v="251"/>
    <x v="1"/>
    <n v="30"/>
    <x v="1"/>
    <x v="3"/>
    <x v="9"/>
    <s v="Bachelor's"/>
    <s v="Married"/>
    <n v="72472"/>
    <n v="11"/>
    <n v="2"/>
    <x v="0"/>
    <x v="0"/>
    <s v="No"/>
    <s v="Travel_Rarely"/>
    <n v="3"/>
    <n v="1"/>
    <s v="Yes"/>
    <x v="0"/>
    <x v="1"/>
  </r>
  <r>
    <x v="252"/>
    <x v="1"/>
    <n v="28"/>
    <x v="1"/>
    <x v="3"/>
    <x v="9"/>
    <s v="Bachelor's"/>
    <s v="Single"/>
    <n v="63909"/>
    <n v="10"/>
    <n v="8"/>
    <x v="3"/>
    <x v="0"/>
    <s v="No"/>
    <s v="Non-Travel"/>
    <n v="3"/>
    <n v="0"/>
    <s v="No"/>
    <x v="0"/>
    <x v="0"/>
  </r>
  <r>
    <x v="253"/>
    <x v="2"/>
    <n v="46"/>
    <x v="1"/>
    <x v="3"/>
    <x v="18"/>
    <s v="Bachelor's"/>
    <s v="Married"/>
    <n v="82734"/>
    <n v="24"/>
    <n v="4"/>
    <x v="1"/>
    <x v="2"/>
    <s v="No"/>
    <s v="Travel_Rarely"/>
    <n v="3"/>
    <n v="2"/>
    <s v="No"/>
    <x v="1"/>
    <x v="1"/>
  </r>
  <r>
    <x v="254"/>
    <x v="0"/>
    <n v="41"/>
    <x v="0"/>
    <x v="3"/>
    <x v="16"/>
    <s v="Master's"/>
    <s v="Married"/>
    <n v="49570"/>
    <n v="23"/>
    <n v="8"/>
    <x v="3"/>
    <x v="1"/>
    <s v="No"/>
    <s v="Travel_Rarely"/>
    <n v="3"/>
    <n v="5"/>
    <s v="No"/>
    <x v="0"/>
    <x v="1"/>
  </r>
  <r>
    <x v="255"/>
    <x v="0"/>
    <n v="40"/>
    <x v="0"/>
    <x v="0"/>
    <x v="0"/>
    <s v="Master's"/>
    <s v="Married"/>
    <n v="50638"/>
    <n v="16"/>
    <n v="10"/>
    <x v="1"/>
    <x v="0"/>
    <s v="Yes"/>
    <s v="Travel_Rarely"/>
    <n v="3"/>
    <n v="6"/>
    <s v="No"/>
    <x v="0"/>
    <x v="1"/>
  </r>
  <r>
    <x v="256"/>
    <x v="1"/>
    <n v="32"/>
    <x v="1"/>
    <x v="4"/>
    <x v="6"/>
    <s v="Master's"/>
    <s v="Married"/>
    <n v="96308"/>
    <n v="6"/>
    <n v="4"/>
    <x v="3"/>
    <x v="3"/>
    <s v="No"/>
    <s v="Travel_Rarely"/>
    <n v="3"/>
    <n v="5"/>
    <s v="No"/>
    <x v="0"/>
    <x v="0"/>
  </r>
  <r>
    <x v="257"/>
    <x v="0"/>
    <n v="35"/>
    <x v="1"/>
    <x v="1"/>
    <x v="3"/>
    <s v="Bachelor's"/>
    <s v="Divorced"/>
    <n v="73853"/>
    <n v="12"/>
    <n v="11"/>
    <x v="3"/>
    <x v="2"/>
    <s v="No"/>
    <s v="Travel_Rarely"/>
    <n v="3"/>
    <n v="6"/>
    <s v="No"/>
    <x v="0"/>
    <x v="1"/>
  </r>
  <r>
    <x v="258"/>
    <x v="3"/>
    <n v="21"/>
    <x v="0"/>
    <x v="1"/>
    <x v="3"/>
    <s v="PhD"/>
    <s v="Married"/>
    <n v="108417"/>
    <n v="1"/>
    <n v="0"/>
    <x v="3"/>
    <x v="2"/>
    <s v="Yes"/>
    <s v="Travel_Rarely"/>
    <n v="3"/>
    <n v="1"/>
    <s v="No"/>
    <x v="0"/>
    <x v="2"/>
  </r>
  <r>
    <x v="259"/>
    <x v="4"/>
    <n v="56"/>
    <x v="0"/>
    <x v="0"/>
    <x v="0"/>
    <s v="PhD"/>
    <s v="Single"/>
    <n v="80803"/>
    <n v="20"/>
    <n v="6"/>
    <x v="0"/>
    <x v="3"/>
    <s v="No"/>
    <s v="Travel_Frequently"/>
    <n v="4"/>
    <n v="4"/>
    <s v="No"/>
    <x v="0"/>
    <x v="1"/>
  </r>
  <r>
    <x v="260"/>
    <x v="1"/>
    <n v="29"/>
    <x v="1"/>
    <x v="3"/>
    <x v="5"/>
    <s v="High School"/>
    <s v="Single"/>
    <n v="76491"/>
    <n v="0"/>
    <n v="0"/>
    <x v="2"/>
    <x v="1"/>
    <s v="No"/>
    <s v="Travel_Rarely"/>
    <n v="3"/>
    <n v="1"/>
    <s v="No"/>
    <x v="0"/>
    <x v="4"/>
  </r>
  <r>
    <x v="261"/>
    <x v="0"/>
    <n v="41"/>
    <x v="1"/>
    <x v="3"/>
    <x v="18"/>
    <s v="Bachelor's"/>
    <s v="Married"/>
    <n v="75016"/>
    <n v="6"/>
    <n v="0"/>
    <x v="1"/>
    <x v="0"/>
    <s v="Yes"/>
    <s v="Travel_Frequently"/>
    <n v="3"/>
    <n v="5"/>
    <s v="No"/>
    <x v="1"/>
    <x v="0"/>
  </r>
  <r>
    <x v="262"/>
    <x v="0"/>
    <n v="40"/>
    <x v="0"/>
    <x v="3"/>
    <x v="16"/>
    <s v="Master's"/>
    <s v="Married"/>
    <n v="56754"/>
    <n v="6"/>
    <n v="5"/>
    <x v="1"/>
    <x v="0"/>
    <s v="No"/>
    <s v="Travel_Rarely"/>
    <n v="3"/>
    <n v="5"/>
    <s v="No"/>
    <x v="0"/>
    <x v="0"/>
  </r>
  <r>
    <x v="263"/>
    <x v="1"/>
    <n v="32"/>
    <x v="0"/>
    <x v="5"/>
    <x v="14"/>
    <s v="Bachelor's"/>
    <s v="Divorced"/>
    <n v="84799"/>
    <n v="8"/>
    <n v="4"/>
    <x v="1"/>
    <x v="0"/>
    <s v="No"/>
    <s v="Travel_Frequently"/>
    <n v="3"/>
    <n v="2"/>
    <s v="No"/>
    <x v="0"/>
    <x v="0"/>
  </r>
  <r>
    <x v="264"/>
    <x v="0"/>
    <n v="38"/>
    <x v="1"/>
    <x v="2"/>
    <x v="13"/>
    <s v="Master's"/>
    <s v="Single"/>
    <n v="55229"/>
    <n v="15"/>
    <n v="6"/>
    <x v="1"/>
    <x v="1"/>
    <s v="No"/>
    <s v="Travel_Rarely"/>
    <n v="3"/>
    <n v="1"/>
    <s v="No"/>
    <x v="0"/>
    <x v="1"/>
  </r>
  <r>
    <x v="265"/>
    <x v="0"/>
    <n v="38"/>
    <x v="1"/>
    <x v="2"/>
    <x v="13"/>
    <s v="High School"/>
    <s v="Single"/>
    <n v="88990"/>
    <n v="18"/>
    <n v="8"/>
    <x v="0"/>
    <x v="1"/>
    <s v="No"/>
    <s v="Travel_Rarely"/>
    <n v="3"/>
    <n v="4"/>
    <s v="No"/>
    <x v="0"/>
    <x v="1"/>
  </r>
  <r>
    <x v="266"/>
    <x v="0"/>
    <n v="35"/>
    <x v="0"/>
    <x v="4"/>
    <x v="15"/>
    <s v="Master's"/>
    <s v="Divorced"/>
    <n v="54156"/>
    <n v="7"/>
    <n v="1"/>
    <x v="1"/>
    <x v="0"/>
    <s v="Yes"/>
    <s v="Travel_Rarely"/>
    <n v="3"/>
    <n v="6"/>
    <s v="No"/>
    <x v="1"/>
    <x v="0"/>
  </r>
  <r>
    <x v="267"/>
    <x v="1"/>
    <n v="32"/>
    <x v="1"/>
    <x v="3"/>
    <x v="5"/>
    <s v="Master's"/>
    <s v="Married"/>
    <n v="60145"/>
    <n v="12"/>
    <n v="8"/>
    <x v="1"/>
    <x v="3"/>
    <s v="No"/>
    <s v="Travel_Rarely"/>
    <n v="3"/>
    <n v="6"/>
    <s v="No"/>
    <x v="0"/>
    <x v="1"/>
  </r>
  <r>
    <x v="268"/>
    <x v="1"/>
    <n v="31"/>
    <x v="1"/>
    <x v="5"/>
    <x v="8"/>
    <s v="Bachelor's"/>
    <s v="Married"/>
    <n v="63618"/>
    <n v="5"/>
    <n v="0"/>
    <x v="1"/>
    <x v="3"/>
    <s v="No"/>
    <s v="Travel_Rarely"/>
    <n v="4"/>
    <n v="5"/>
    <s v="No"/>
    <x v="0"/>
    <x v="3"/>
  </r>
  <r>
    <x v="269"/>
    <x v="0"/>
    <n v="36"/>
    <x v="0"/>
    <x v="0"/>
    <x v="11"/>
    <s v="Bachelor's"/>
    <s v="Married"/>
    <n v="43715"/>
    <n v="9"/>
    <n v="2"/>
    <x v="1"/>
    <x v="3"/>
    <s v="No"/>
    <s v="Travel_Rarely"/>
    <n v="3"/>
    <n v="5"/>
    <s v="Yes"/>
    <x v="0"/>
    <x v="0"/>
  </r>
  <r>
    <x v="270"/>
    <x v="2"/>
    <n v="49"/>
    <x v="1"/>
    <x v="2"/>
    <x v="4"/>
    <s v="High School"/>
    <s v="Married"/>
    <n v="66891"/>
    <n v="0"/>
    <n v="0"/>
    <x v="1"/>
    <x v="0"/>
    <s v="No"/>
    <s v="Non-Travel"/>
    <n v="2"/>
    <n v="6"/>
    <s v="No"/>
    <x v="0"/>
    <x v="4"/>
  </r>
  <r>
    <x v="271"/>
    <x v="0"/>
    <n v="35"/>
    <x v="0"/>
    <x v="1"/>
    <x v="7"/>
    <s v="Bachelor's"/>
    <s v="Single"/>
    <n v="73685"/>
    <n v="1"/>
    <n v="1"/>
    <x v="0"/>
    <x v="3"/>
    <s v="No"/>
    <s v="Non-Travel"/>
    <n v="3"/>
    <n v="2"/>
    <s v="No"/>
    <x v="0"/>
    <x v="2"/>
  </r>
  <r>
    <x v="272"/>
    <x v="1"/>
    <n v="26"/>
    <x v="0"/>
    <x v="1"/>
    <x v="3"/>
    <s v="Bachelor's"/>
    <s v="Single"/>
    <n v="38337"/>
    <n v="8"/>
    <n v="2"/>
    <x v="2"/>
    <x v="0"/>
    <s v="No"/>
    <s v="Travel_Rarely"/>
    <n v="3"/>
    <n v="4"/>
    <s v="Yes"/>
    <x v="0"/>
    <x v="0"/>
  </r>
  <r>
    <x v="273"/>
    <x v="0"/>
    <n v="35"/>
    <x v="1"/>
    <x v="1"/>
    <x v="7"/>
    <s v="Bachelor's"/>
    <s v="Divorced"/>
    <n v="43416"/>
    <n v="0"/>
    <n v="0"/>
    <x v="1"/>
    <x v="2"/>
    <s v="No"/>
    <s v="Travel_Rarely"/>
    <n v="3"/>
    <n v="0"/>
    <s v="Yes"/>
    <x v="0"/>
    <x v="4"/>
  </r>
  <r>
    <x v="274"/>
    <x v="0"/>
    <n v="37"/>
    <x v="1"/>
    <x v="4"/>
    <x v="10"/>
    <s v="Master's"/>
    <s v="Single"/>
    <n v="79575"/>
    <n v="19"/>
    <n v="9"/>
    <x v="3"/>
    <x v="2"/>
    <s v="No"/>
    <s v="Travel_Rarely"/>
    <n v="3"/>
    <n v="0"/>
    <s v="No"/>
    <x v="0"/>
    <x v="1"/>
  </r>
  <r>
    <x v="275"/>
    <x v="3"/>
    <n v="24"/>
    <x v="1"/>
    <x v="5"/>
    <x v="12"/>
    <s v="Bachelor's"/>
    <s v="Married"/>
    <n v="59629"/>
    <n v="0"/>
    <n v="0"/>
    <x v="3"/>
    <x v="0"/>
    <s v="No"/>
    <s v="Travel_Rarely"/>
    <n v="4"/>
    <n v="3"/>
    <s v="Yes"/>
    <x v="0"/>
    <x v="4"/>
  </r>
  <r>
    <x v="276"/>
    <x v="3"/>
    <n v="23"/>
    <x v="0"/>
    <x v="1"/>
    <x v="1"/>
    <s v="Bachelor's"/>
    <s v="Single"/>
    <n v="48378"/>
    <n v="5"/>
    <n v="1"/>
    <x v="3"/>
    <x v="3"/>
    <s v="Yes"/>
    <s v="Travel_Frequently"/>
    <n v="3"/>
    <n v="4"/>
    <s v="No"/>
    <x v="0"/>
    <x v="3"/>
  </r>
  <r>
    <x v="277"/>
    <x v="1"/>
    <n v="28"/>
    <x v="0"/>
    <x v="5"/>
    <x v="8"/>
    <s v="Bachelor's"/>
    <s v="Single"/>
    <n v="92215"/>
    <n v="6"/>
    <n v="4"/>
    <x v="1"/>
    <x v="3"/>
    <s v="No"/>
    <s v="Travel_Rarely"/>
    <n v="3"/>
    <n v="2"/>
    <s v="No"/>
    <x v="0"/>
    <x v="0"/>
  </r>
  <r>
    <x v="278"/>
    <x v="3"/>
    <n v="21"/>
    <x v="0"/>
    <x v="3"/>
    <x v="18"/>
    <s v="PhD"/>
    <s v="Married"/>
    <n v="86631"/>
    <n v="1"/>
    <n v="1"/>
    <x v="1"/>
    <x v="0"/>
    <s v="Yes"/>
    <s v="Travel_Frequently"/>
    <n v="3"/>
    <n v="2"/>
    <s v="No"/>
    <x v="0"/>
    <x v="2"/>
  </r>
  <r>
    <x v="279"/>
    <x v="3"/>
    <n v="22"/>
    <x v="1"/>
    <x v="1"/>
    <x v="1"/>
    <s v="Bachelor's"/>
    <s v="Married"/>
    <n v="70161"/>
    <n v="2"/>
    <n v="0"/>
    <x v="1"/>
    <x v="3"/>
    <s v="No"/>
    <s v="Travel_Rarely"/>
    <n v="3"/>
    <n v="5"/>
    <s v="No"/>
    <x v="0"/>
    <x v="2"/>
  </r>
  <r>
    <x v="280"/>
    <x v="1"/>
    <n v="28"/>
    <x v="0"/>
    <x v="5"/>
    <x v="8"/>
    <s v="High School"/>
    <s v="Single"/>
    <n v="40272"/>
    <n v="10"/>
    <n v="4"/>
    <x v="3"/>
    <x v="0"/>
    <s v="No"/>
    <s v="Travel_Rarely"/>
    <n v="4"/>
    <n v="2"/>
    <s v="No"/>
    <x v="1"/>
    <x v="0"/>
  </r>
  <r>
    <x v="281"/>
    <x v="3"/>
    <n v="24"/>
    <x v="1"/>
    <x v="0"/>
    <x v="0"/>
    <s v="Master's"/>
    <s v="Single"/>
    <n v="84694"/>
    <n v="5"/>
    <n v="0"/>
    <x v="1"/>
    <x v="0"/>
    <s v="No"/>
    <s v="Travel_Frequently"/>
    <n v="3"/>
    <n v="1"/>
    <s v="No"/>
    <x v="0"/>
    <x v="3"/>
  </r>
  <r>
    <x v="282"/>
    <x v="2"/>
    <n v="48"/>
    <x v="1"/>
    <x v="0"/>
    <x v="11"/>
    <s v="Bachelor's"/>
    <s v="Married"/>
    <n v="62513"/>
    <n v="15"/>
    <n v="11"/>
    <x v="3"/>
    <x v="3"/>
    <s v="Yes"/>
    <s v="Travel_Rarely"/>
    <n v="3"/>
    <n v="2"/>
    <s v="No"/>
    <x v="0"/>
    <x v="1"/>
  </r>
  <r>
    <x v="283"/>
    <x v="1"/>
    <n v="33"/>
    <x v="1"/>
    <x v="4"/>
    <x v="15"/>
    <s v="Bachelor's"/>
    <s v="Married"/>
    <n v="38065"/>
    <n v="12"/>
    <n v="5"/>
    <x v="3"/>
    <x v="0"/>
    <s v="No"/>
    <s v="Travel_Frequently"/>
    <n v="4"/>
    <n v="2"/>
    <s v="No"/>
    <x v="0"/>
    <x v="1"/>
  </r>
  <r>
    <x v="284"/>
    <x v="1"/>
    <n v="34"/>
    <x v="1"/>
    <x v="1"/>
    <x v="1"/>
    <s v="Master's"/>
    <s v="Married"/>
    <n v="43822"/>
    <n v="1"/>
    <n v="1"/>
    <x v="0"/>
    <x v="0"/>
    <s v="No"/>
    <s v="Non-Travel"/>
    <n v="3"/>
    <n v="3"/>
    <s v="No"/>
    <x v="1"/>
    <x v="2"/>
  </r>
  <r>
    <x v="285"/>
    <x v="1"/>
    <n v="31"/>
    <x v="0"/>
    <x v="3"/>
    <x v="5"/>
    <s v="Master's"/>
    <s v="Married"/>
    <n v="80696"/>
    <n v="3"/>
    <n v="1"/>
    <x v="1"/>
    <x v="2"/>
    <s v="Yes"/>
    <s v="Non-Travel"/>
    <n v="3"/>
    <n v="3"/>
    <s v="No"/>
    <x v="0"/>
    <x v="3"/>
  </r>
  <r>
    <x v="286"/>
    <x v="3"/>
    <n v="21"/>
    <x v="1"/>
    <x v="5"/>
    <x v="8"/>
    <s v="Bachelor's"/>
    <s v="Divorced"/>
    <n v="61539"/>
    <n v="2"/>
    <n v="0"/>
    <x v="1"/>
    <x v="0"/>
    <s v="Yes"/>
    <s v="Travel_Rarely"/>
    <n v="4"/>
    <n v="1"/>
    <s v="No"/>
    <x v="0"/>
    <x v="2"/>
  </r>
  <r>
    <x v="287"/>
    <x v="0"/>
    <n v="43"/>
    <x v="1"/>
    <x v="0"/>
    <x v="2"/>
    <s v="Master's"/>
    <s v="Married"/>
    <n v="46998"/>
    <n v="23"/>
    <n v="10"/>
    <x v="1"/>
    <x v="3"/>
    <s v="Yes"/>
    <s v="Non-Travel"/>
    <n v="3"/>
    <n v="0"/>
    <s v="Yes"/>
    <x v="0"/>
    <x v="1"/>
  </r>
  <r>
    <x v="288"/>
    <x v="0"/>
    <n v="38"/>
    <x v="1"/>
    <x v="0"/>
    <x v="11"/>
    <s v="Master's"/>
    <s v="Single"/>
    <n v="77428"/>
    <n v="20"/>
    <n v="6"/>
    <x v="0"/>
    <x v="1"/>
    <s v="No"/>
    <s v="Travel_Rarely"/>
    <n v="3"/>
    <n v="5"/>
    <s v="No"/>
    <x v="0"/>
    <x v="1"/>
  </r>
  <r>
    <x v="289"/>
    <x v="0"/>
    <n v="39"/>
    <x v="1"/>
    <x v="1"/>
    <x v="1"/>
    <s v="Bachelor's"/>
    <s v="Single"/>
    <n v="51607"/>
    <n v="9"/>
    <n v="7"/>
    <x v="1"/>
    <x v="1"/>
    <s v="No"/>
    <s v="Travel_Rarely"/>
    <n v="3"/>
    <n v="4"/>
    <s v="Yes"/>
    <x v="0"/>
    <x v="0"/>
  </r>
  <r>
    <x v="290"/>
    <x v="1"/>
    <n v="32"/>
    <x v="1"/>
    <x v="3"/>
    <x v="9"/>
    <s v="High School"/>
    <s v="Single"/>
    <n v="43500"/>
    <n v="12"/>
    <n v="2"/>
    <x v="1"/>
    <x v="1"/>
    <s v="No"/>
    <s v="Travel_Rarely"/>
    <n v="4"/>
    <n v="4"/>
    <s v="No"/>
    <x v="0"/>
    <x v="1"/>
  </r>
  <r>
    <x v="291"/>
    <x v="1"/>
    <n v="33"/>
    <x v="0"/>
    <x v="3"/>
    <x v="5"/>
    <s v="Master's"/>
    <s v="Single"/>
    <n v="56626"/>
    <n v="13"/>
    <n v="8"/>
    <x v="0"/>
    <x v="0"/>
    <s v="No"/>
    <s v="Travel_Rarely"/>
    <n v="3"/>
    <n v="4"/>
    <s v="No"/>
    <x v="1"/>
    <x v="1"/>
  </r>
  <r>
    <x v="292"/>
    <x v="1"/>
    <n v="30"/>
    <x v="0"/>
    <x v="1"/>
    <x v="3"/>
    <s v="Master's"/>
    <s v="Married"/>
    <n v="94440"/>
    <n v="5"/>
    <n v="3"/>
    <x v="2"/>
    <x v="2"/>
    <s v="No"/>
    <s v="Travel_Frequently"/>
    <n v="3"/>
    <n v="4"/>
    <s v="No"/>
    <x v="0"/>
    <x v="3"/>
  </r>
  <r>
    <x v="293"/>
    <x v="0"/>
    <n v="43"/>
    <x v="0"/>
    <x v="2"/>
    <x v="17"/>
    <s v="Bachelor's"/>
    <s v="Married"/>
    <n v="66620"/>
    <n v="10"/>
    <n v="6"/>
    <x v="0"/>
    <x v="0"/>
    <s v="Yes"/>
    <s v="Travel_Frequently"/>
    <n v="3"/>
    <n v="5"/>
    <s v="Yes"/>
    <x v="0"/>
    <x v="0"/>
  </r>
  <r>
    <x v="294"/>
    <x v="3"/>
    <n v="23"/>
    <x v="1"/>
    <x v="1"/>
    <x v="7"/>
    <s v="High School"/>
    <s v="Married"/>
    <n v="64363"/>
    <n v="0"/>
    <n v="0"/>
    <x v="0"/>
    <x v="1"/>
    <s v="Yes"/>
    <s v="Travel_Rarely"/>
    <n v="4"/>
    <n v="4"/>
    <s v="No"/>
    <x v="1"/>
    <x v="4"/>
  </r>
  <r>
    <x v="295"/>
    <x v="0"/>
    <n v="37"/>
    <x v="1"/>
    <x v="0"/>
    <x v="11"/>
    <s v="Bachelor's"/>
    <s v="Single"/>
    <n v="22000"/>
    <n v="4"/>
    <n v="2"/>
    <x v="1"/>
    <x v="0"/>
    <s v="No"/>
    <s v="Travel_Rarely"/>
    <n v="4"/>
    <n v="2"/>
    <s v="Yes"/>
    <x v="0"/>
    <x v="3"/>
  </r>
  <r>
    <x v="296"/>
    <x v="0"/>
    <n v="37"/>
    <x v="0"/>
    <x v="4"/>
    <x v="6"/>
    <s v="Bachelor's"/>
    <s v="Married"/>
    <n v="62072"/>
    <n v="12"/>
    <n v="11"/>
    <x v="0"/>
    <x v="2"/>
    <s v="No"/>
    <s v="Travel_Frequently"/>
    <n v="3"/>
    <n v="5"/>
    <s v="No"/>
    <x v="0"/>
    <x v="1"/>
  </r>
  <r>
    <x v="297"/>
    <x v="1"/>
    <n v="29"/>
    <x v="1"/>
    <x v="1"/>
    <x v="7"/>
    <s v="High School"/>
    <s v="Single"/>
    <n v="73739"/>
    <n v="10"/>
    <n v="6"/>
    <x v="0"/>
    <x v="3"/>
    <s v="Yes"/>
    <s v="Non-Travel"/>
    <n v="4"/>
    <n v="2"/>
    <s v="No"/>
    <x v="0"/>
    <x v="0"/>
  </r>
  <r>
    <x v="298"/>
    <x v="0"/>
    <n v="40"/>
    <x v="0"/>
    <x v="1"/>
    <x v="7"/>
    <s v="Master's"/>
    <s v="Single"/>
    <n v="46332"/>
    <n v="11"/>
    <n v="10"/>
    <x v="1"/>
    <x v="3"/>
    <s v="Yes"/>
    <s v="Travel_Frequently"/>
    <n v="3"/>
    <n v="0"/>
    <s v="No"/>
    <x v="1"/>
    <x v="1"/>
  </r>
  <r>
    <x v="299"/>
    <x v="3"/>
    <n v="21"/>
    <x v="0"/>
    <x v="4"/>
    <x v="6"/>
    <s v="Bachelor's"/>
    <s v="Married"/>
    <n v="86583"/>
    <n v="3"/>
    <n v="3"/>
    <x v="1"/>
    <x v="0"/>
    <s v="No"/>
    <s v="Travel_Rarely"/>
    <n v="3"/>
    <n v="6"/>
    <s v="No"/>
    <x v="0"/>
    <x v="3"/>
  </r>
  <r>
    <x v="300"/>
    <x v="0"/>
    <n v="37"/>
    <x v="0"/>
    <x v="1"/>
    <x v="7"/>
    <s v="Bachelor's"/>
    <s v="Single"/>
    <n v="60949"/>
    <n v="8"/>
    <n v="7"/>
    <x v="3"/>
    <x v="0"/>
    <s v="No"/>
    <s v="Travel_Rarely"/>
    <n v="3"/>
    <n v="0"/>
    <s v="No"/>
    <x v="1"/>
    <x v="0"/>
  </r>
  <r>
    <x v="301"/>
    <x v="3"/>
    <n v="21"/>
    <x v="0"/>
    <x v="2"/>
    <x v="13"/>
    <s v="Bachelor's"/>
    <s v="Single"/>
    <n v="54797"/>
    <n v="2"/>
    <n v="2"/>
    <x v="3"/>
    <x v="0"/>
    <s v="No"/>
    <s v="Travel_Rarely"/>
    <n v="3"/>
    <n v="1"/>
    <s v="No"/>
    <x v="0"/>
    <x v="2"/>
  </r>
  <r>
    <x v="302"/>
    <x v="1"/>
    <n v="32"/>
    <x v="0"/>
    <x v="0"/>
    <x v="0"/>
    <s v="Bachelor's"/>
    <s v="Single"/>
    <n v="101906"/>
    <n v="2"/>
    <n v="2"/>
    <x v="2"/>
    <x v="1"/>
    <s v="No"/>
    <s v="Travel_Rarely"/>
    <n v="4"/>
    <n v="5"/>
    <s v="No"/>
    <x v="0"/>
    <x v="2"/>
  </r>
  <r>
    <x v="303"/>
    <x v="0"/>
    <n v="37"/>
    <x v="0"/>
    <x v="0"/>
    <x v="11"/>
    <s v="Bachelor's"/>
    <s v="Single"/>
    <n v="65955"/>
    <n v="12"/>
    <n v="3"/>
    <x v="2"/>
    <x v="2"/>
    <s v="No"/>
    <s v="Travel_Rarely"/>
    <n v="3"/>
    <n v="3"/>
    <s v="No"/>
    <x v="0"/>
    <x v="1"/>
  </r>
  <r>
    <x v="304"/>
    <x v="1"/>
    <n v="31"/>
    <x v="1"/>
    <x v="1"/>
    <x v="3"/>
    <s v="High School"/>
    <s v="Single"/>
    <n v="75384"/>
    <n v="3"/>
    <n v="3"/>
    <x v="0"/>
    <x v="0"/>
    <s v="No"/>
    <s v="Travel_Rarely"/>
    <n v="3"/>
    <n v="2"/>
    <s v="No"/>
    <x v="0"/>
    <x v="3"/>
  </r>
  <r>
    <x v="305"/>
    <x v="1"/>
    <n v="33"/>
    <x v="0"/>
    <x v="4"/>
    <x v="6"/>
    <s v="Bachelor's"/>
    <s v="Single"/>
    <n v="89679"/>
    <n v="8"/>
    <n v="0"/>
    <x v="1"/>
    <x v="0"/>
    <s v="No"/>
    <s v="Non-Travel"/>
    <n v="4"/>
    <n v="3"/>
    <s v="No"/>
    <x v="0"/>
    <x v="0"/>
  </r>
  <r>
    <x v="306"/>
    <x v="1"/>
    <n v="26"/>
    <x v="0"/>
    <x v="1"/>
    <x v="7"/>
    <s v="Bachelor's"/>
    <s v="Divorced"/>
    <n v="83566"/>
    <n v="5"/>
    <n v="4"/>
    <x v="1"/>
    <x v="1"/>
    <s v="Yes"/>
    <s v="Travel_Rarely"/>
    <n v="3"/>
    <n v="5"/>
    <s v="No"/>
    <x v="0"/>
    <x v="3"/>
  </r>
  <r>
    <x v="307"/>
    <x v="1"/>
    <n v="33"/>
    <x v="1"/>
    <x v="3"/>
    <x v="5"/>
    <s v="Bachelor's"/>
    <s v="Married"/>
    <n v="30796"/>
    <n v="1"/>
    <n v="0"/>
    <x v="1"/>
    <x v="0"/>
    <s v="No"/>
    <s v="Travel_Frequently"/>
    <n v="4"/>
    <n v="3"/>
    <s v="No"/>
    <x v="0"/>
    <x v="2"/>
  </r>
  <r>
    <x v="308"/>
    <x v="1"/>
    <n v="29"/>
    <x v="1"/>
    <x v="3"/>
    <x v="18"/>
    <s v="Master's"/>
    <s v="Married"/>
    <n v="56630"/>
    <n v="9"/>
    <n v="7"/>
    <x v="1"/>
    <x v="3"/>
    <s v="Yes"/>
    <s v="Non-Travel"/>
    <n v="3"/>
    <n v="2"/>
    <s v="No"/>
    <x v="0"/>
    <x v="0"/>
  </r>
  <r>
    <x v="309"/>
    <x v="1"/>
    <n v="31"/>
    <x v="1"/>
    <x v="1"/>
    <x v="1"/>
    <s v="Master's"/>
    <s v="Single"/>
    <n v="37134"/>
    <n v="10"/>
    <n v="6"/>
    <x v="3"/>
    <x v="0"/>
    <s v="No"/>
    <s v="Travel_Rarely"/>
    <n v="3"/>
    <n v="0"/>
    <s v="No"/>
    <x v="0"/>
    <x v="0"/>
  </r>
  <r>
    <x v="310"/>
    <x v="0"/>
    <n v="40"/>
    <x v="1"/>
    <x v="1"/>
    <x v="3"/>
    <s v="Master's"/>
    <s v="Single"/>
    <n v="61373"/>
    <n v="6"/>
    <n v="6"/>
    <x v="3"/>
    <x v="2"/>
    <s v="No"/>
    <s v="Travel_Rarely"/>
    <n v="4"/>
    <n v="2"/>
    <s v="No"/>
    <x v="0"/>
    <x v="0"/>
  </r>
  <r>
    <x v="311"/>
    <x v="0"/>
    <n v="36"/>
    <x v="1"/>
    <x v="5"/>
    <x v="14"/>
    <s v="High School"/>
    <s v="Divorced"/>
    <n v="60847"/>
    <n v="12"/>
    <n v="4"/>
    <x v="1"/>
    <x v="0"/>
    <s v="No"/>
    <s v="Travel_Rarely"/>
    <n v="4"/>
    <n v="4"/>
    <s v="No"/>
    <x v="1"/>
    <x v="1"/>
  </r>
  <r>
    <x v="312"/>
    <x v="0"/>
    <n v="37"/>
    <x v="1"/>
    <x v="2"/>
    <x v="17"/>
    <s v="Master's"/>
    <s v="Married"/>
    <n v="64182"/>
    <n v="7"/>
    <n v="5"/>
    <x v="1"/>
    <x v="1"/>
    <s v="No"/>
    <s v="Travel_Rarely"/>
    <n v="2"/>
    <n v="6"/>
    <s v="No"/>
    <x v="0"/>
    <x v="0"/>
  </r>
  <r>
    <x v="313"/>
    <x v="0"/>
    <n v="39"/>
    <x v="1"/>
    <x v="1"/>
    <x v="7"/>
    <s v="Bachelor's"/>
    <s v="Married"/>
    <n v="51319"/>
    <n v="14"/>
    <n v="12"/>
    <x v="3"/>
    <x v="3"/>
    <s v="No"/>
    <s v="Travel_Rarely"/>
    <n v="3"/>
    <n v="1"/>
    <s v="No"/>
    <x v="0"/>
    <x v="1"/>
  </r>
  <r>
    <x v="314"/>
    <x v="1"/>
    <n v="28"/>
    <x v="0"/>
    <x v="1"/>
    <x v="7"/>
    <s v="Master's"/>
    <s v="Married"/>
    <n v="48495"/>
    <n v="4"/>
    <n v="4"/>
    <x v="2"/>
    <x v="0"/>
    <s v="No"/>
    <s v="Travel_Rarely"/>
    <n v="3"/>
    <n v="1"/>
    <s v="No"/>
    <x v="0"/>
    <x v="3"/>
  </r>
  <r>
    <x v="315"/>
    <x v="0"/>
    <n v="36"/>
    <x v="1"/>
    <x v="4"/>
    <x v="10"/>
    <s v="Bachelor's"/>
    <s v="Married"/>
    <n v="50897"/>
    <n v="3"/>
    <n v="3"/>
    <x v="1"/>
    <x v="0"/>
    <s v="No"/>
    <s v="Travel_Rarely"/>
    <n v="4"/>
    <n v="6"/>
    <s v="No"/>
    <x v="0"/>
    <x v="3"/>
  </r>
  <r>
    <x v="316"/>
    <x v="0"/>
    <n v="36"/>
    <x v="0"/>
    <x v="4"/>
    <x v="15"/>
    <s v="Bachelor's"/>
    <s v="Single"/>
    <n v="32262"/>
    <n v="18"/>
    <n v="4"/>
    <x v="0"/>
    <x v="1"/>
    <s v="No"/>
    <s v="Travel_Frequently"/>
    <n v="4"/>
    <n v="4"/>
    <s v="No"/>
    <x v="0"/>
    <x v="1"/>
  </r>
  <r>
    <x v="317"/>
    <x v="2"/>
    <n v="45"/>
    <x v="0"/>
    <x v="1"/>
    <x v="1"/>
    <s v="Bachelor's"/>
    <s v="Single"/>
    <n v="67008"/>
    <n v="14"/>
    <n v="5"/>
    <x v="3"/>
    <x v="3"/>
    <s v="No"/>
    <s v="Travel_Frequently"/>
    <n v="2"/>
    <n v="4"/>
    <s v="No"/>
    <x v="0"/>
    <x v="1"/>
  </r>
  <r>
    <x v="318"/>
    <x v="1"/>
    <n v="25"/>
    <x v="1"/>
    <x v="3"/>
    <x v="16"/>
    <s v="High School"/>
    <s v="Single"/>
    <n v="69151"/>
    <n v="3"/>
    <n v="2"/>
    <x v="2"/>
    <x v="1"/>
    <s v="No"/>
    <s v="Travel_Rarely"/>
    <n v="3"/>
    <n v="1"/>
    <s v="No"/>
    <x v="1"/>
    <x v="3"/>
  </r>
  <r>
    <x v="319"/>
    <x v="0"/>
    <n v="40"/>
    <x v="1"/>
    <x v="4"/>
    <x v="15"/>
    <s v="High School"/>
    <s v="Married"/>
    <n v="70991"/>
    <n v="4"/>
    <n v="1"/>
    <x v="1"/>
    <x v="3"/>
    <s v="Yes"/>
    <s v="Travel_Rarely"/>
    <n v="3"/>
    <n v="4"/>
    <s v="No"/>
    <x v="0"/>
    <x v="3"/>
  </r>
  <r>
    <x v="320"/>
    <x v="0"/>
    <n v="37"/>
    <x v="1"/>
    <x v="1"/>
    <x v="3"/>
    <s v="High School"/>
    <s v="Single"/>
    <n v="100718"/>
    <n v="13"/>
    <n v="5"/>
    <x v="1"/>
    <x v="0"/>
    <s v="Yes"/>
    <s v="Travel_Rarely"/>
    <n v="4"/>
    <n v="3"/>
    <s v="No"/>
    <x v="0"/>
    <x v="1"/>
  </r>
  <r>
    <x v="321"/>
    <x v="0"/>
    <n v="35"/>
    <x v="1"/>
    <x v="0"/>
    <x v="11"/>
    <s v="Bachelor's"/>
    <s v="Married"/>
    <n v="68935"/>
    <n v="0"/>
    <n v="0"/>
    <x v="2"/>
    <x v="3"/>
    <s v="Yes"/>
    <s v="Non-Travel"/>
    <n v="3"/>
    <n v="0"/>
    <s v="No"/>
    <x v="0"/>
    <x v="4"/>
  </r>
  <r>
    <x v="322"/>
    <x v="0"/>
    <n v="37"/>
    <x v="0"/>
    <x v="0"/>
    <x v="0"/>
    <s v="PhD"/>
    <s v="Married"/>
    <n v="22000"/>
    <n v="0"/>
    <n v="0"/>
    <x v="1"/>
    <x v="3"/>
    <s v="No"/>
    <s v="Travel_Rarely"/>
    <n v="3"/>
    <n v="3"/>
    <s v="No"/>
    <x v="0"/>
    <x v="4"/>
  </r>
  <r>
    <x v="323"/>
    <x v="1"/>
    <n v="31"/>
    <x v="0"/>
    <x v="3"/>
    <x v="5"/>
    <s v="Bachelor's"/>
    <s v="Single"/>
    <n v="99009"/>
    <n v="11"/>
    <n v="3"/>
    <x v="1"/>
    <x v="1"/>
    <s v="No"/>
    <s v="Travel_Frequently"/>
    <n v="3"/>
    <n v="1"/>
    <s v="No"/>
    <x v="0"/>
    <x v="1"/>
  </r>
  <r>
    <x v="324"/>
    <x v="1"/>
    <n v="34"/>
    <x v="0"/>
    <x v="5"/>
    <x v="8"/>
    <s v="Bachelor's"/>
    <s v="Divorced"/>
    <n v="62455"/>
    <n v="8"/>
    <n v="3"/>
    <x v="3"/>
    <x v="0"/>
    <s v="No"/>
    <s v="Travel_Rarely"/>
    <n v="3"/>
    <n v="3"/>
    <s v="No"/>
    <x v="0"/>
    <x v="0"/>
  </r>
  <r>
    <x v="325"/>
    <x v="3"/>
    <n v="21"/>
    <x v="1"/>
    <x v="3"/>
    <x v="18"/>
    <s v="High School"/>
    <s v="Single"/>
    <n v="125088"/>
    <n v="3"/>
    <n v="3"/>
    <x v="1"/>
    <x v="2"/>
    <s v="No"/>
    <s v="Travel_Rarely"/>
    <n v="3"/>
    <n v="0"/>
    <s v="No"/>
    <x v="0"/>
    <x v="3"/>
  </r>
  <r>
    <x v="326"/>
    <x v="3"/>
    <n v="22"/>
    <x v="1"/>
    <x v="2"/>
    <x v="13"/>
    <s v="PhD"/>
    <s v="Married"/>
    <n v="39088"/>
    <n v="3"/>
    <n v="3"/>
    <x v="1"/>
    <x v="0"/>
    <s v="No"/>
    <s v="Travel_Frequently"/>
    <n v="3"/>
    <n v="0"/>
    <s v="No"/>
    <x v="0"/>
    <x v="3"/>
  </r>
  <r>
    <x v="327"/>
    <x v="1"/>
    <n v="28"/>
    <x v="0"/>
    <x v="2"/>
    <x v="17"/>
    <s v="Bachelor's"/>
    <s v="Single"/>
    <n v="48167"/>
    <n v="9"/>
    <n v="5"/>
    <x v="3"/>
    <x v="0"/>
    <s v="No"/>
    <s v="Travel_Rarely"/>
    <n v="3"/>
    <n v="0"/>
    <s v="No"/>
    <x v="1"/>
    <x v="0"/>
  </r>
  <r>
    <x v="328"/>
    <x v="3"/>
    <n v="22"/>
    <x v="0"/>
    <x v="1"/>
    <x v="1"/>
    <s v="High School"/>
    <s v="Married"/>
    <n v="77473"/>
    <n v="2"/>
    <n v="2"/>
    <x v="3"/>
    <x v="3"/>
    <s v="Yes"/>
    <s v="Travel_Rarely"/>
    <n v="4"/>
    <n v="1"/>
    <s v="No"/>
    <x v="0"/>
    <x v="2"/>
  </r>
  <r>
    <x v="329"/>
    <x v="0"/>
    <n v="36"/>
    <x v="0"/>
    <x v="2"/>
    <x v="4"/>
    <s v="High School"/>
    <s v="Married"/>
    <n v="94060"/>
    <n v="14"/>
    <n v="3"/>
    <x v="3"/>
    <x v="1"/>
    <s v="No"/>
    <s v="Travel_Rarely"/>
    <n v="4"/>
    <n v="3"/>
    <s v="No"/>
    <x v="0"/>
    <x v="1"/>
  </r>
  <r>
    <x v="330"/>
    <x v="1"/>
    <n v="33"/>
    <x v="1"/>
    <x v="0"/>
    <x v="2"/>
    <s v="Bachelor's"/>
    <s v="Married"/>
    <n v="89357"/>
    <n v="11"/>
    <n v="8"/>
    <x v="1"/>
    <x v="0"/>
    <s v="No"/>
    <s v="Travel_Rarely"/>
    <n v="4"/>
    <n v="4"/>
    <s v="No"/>
    <x v="1"/>
    <x v="1"/>
  </r>
  <r>
    <x v="331"/>
    <x v="3"/>
    <n v="21"/>
    <x v="0"/>
    <x v="5"/>
    <x v="8"/>
    <s v="Bachelor's"/>
    <s v="Married"/>
    <n v="80957"/>
    <n v="1"/>
    <n v="0"/>
    <x v="1"/>
    <x v="0"/>
    <s v="No"/>
    <s v="Travel_Rarely"/>
    <n v="3"/>
    <n v="5"/>
    <s v="No"/>
    <x v="0"/>
    <x v="2"/>
  </r>
  <r>
    <x v="332"/>
    <x v="1"/>
    <n v="32"/>
    <x v="1"/>
    <x v="0"/>
    <x v="11"/>
    <s v="High School"/>
    <s v="Married"/>
    <n v="68405"/>
    <n v="4"/>
    <n v="4"/>
    <x v="3"/>
    <x v="1"/>
    <s v="Yes"/>
    <s v="Travel_Rarely"/>
    <n v="3"/>
    <n v="0"/>
    <s v="No"/>
    <x v="0"/>
    <x v="3"/>
  </r>
  <r>
    <x v="333"/>
    <x v="1"/>
    <n v="32"/>
    <x v="0"/>
    <x v="1"/>
    <x v="3"/>
    <s v="Bachelor's"/>
    <s v="Married"/>
    <n v="22000"/>
    <n v="0"/>
    <n v="0"/>
    <x v="0"/>
    <x v="1"/>
    <s v="No"/>
    <s v="Travel_Frequently"/>
    <n v="3"/>
    <n v="1"/>
    <s v="No"/>
    <x v="1"/>
    <x v="4"/>
  </r>
  <r>
    <x v="334"/>
    <x v="0"/>
    <n v="37"/>
    <x v="1"/>
    <x v="3"/>
    <x v="18"/>
    <s v="Bachelor's"/>
    <s v="Married"/>
    <n v="37934"/>
    <n v="17"/>
    <n v="8"/>
    <x v="3"/>
    <x v="1"/>
    <s v="No"/>
    <s v="Travel_Rarely"/>
    <n v="3"/>
    <n v="3"/>
    <s v="No"/>
    <x v="0"/>
    <x v="1"/>
  </r>
  <r>
    <x v="335"/>
    <x v="0"/>
    <n v="36"/>
    <x v="0"/>
    <x v="1"/>
    <x v="1"/>
    <s v="PhD"/>
    <s v="Single"/>
    <n v="71624"/>
    <n v="12"/>
    <n v="11"/>
    <x v="1"/>
    <x v="0"/>
    <s v="No"/>
    <s v="Travel_Frequently"/>
    <n v="4"/>
    <n v="2"/>
    <s v="Yes"/>
    <x v="0"/>
    <x v="1"/>
  </r>
  <r>
    <x v="336"/>
    <x v="0"/>
    <n v="40"/>
    <x v="1"/>
    <x v="3"/>
    <x v="18"/>
    <s v="Master's"/>
    <s v="Married"/>
    <n v="80730"/>
    <n v="12"/>
    <n v="3"/>
    <x v="1"/>
    <x v="1"/>
    <s v="No"/>
    <s v="Travel_Frequently"/>
    <n v="3"/>
    <n v="4"/>
    <s v="No"/>
    <x v="0"/>
    <x v="1"/>
  </r>
  <r>
    <x v="337"/>
    <x v="2"/>
    <n v="50"/>
    <x v="1"/>
    <x v="5"/>
    <x v="12"/>
    <s v="Master's"/>
    <s v="Married"/>
    <n v="27036"/>
    <n v="22"/>
    <n v="3"/>
    <x v="3"/>
    <x v="0"/>
    <s v="No"/>
    <s v="Travel_Frequently"/>
    <n v="3"/>
    <n v="4"/>
    <s v="No"/>
    <x v="0"/>
    <x v="1"/>
  </r>
  <r>
    <x v="338"/>
    <x v="0"/>
    <n v="38"/>
    <x v="1"/>
    <x v="3"/>
    <x v="9"/>
    <s v="Master's"/>
    <s v="Single"/>
    <n v="64684"/>
    <n v="15"/>
    <n v="3"/>
    <x v="1"/>
    <x v="1"/>
    <s v="No"/>
    <s v="Travel_Rarely"/>
    <n v="3"/>
    <n v="2"/>
    <s v="No"/>
    <x v="0"/>
    <x v="1"/>
  </r>
  <r>
    <x v="339"/>
    <x v="3"/>
    <n v="21"/>
    <x v="0"/>
    <x v="5"/>
    <x v="12"/>
    <s v="Bachelor's"/>
    <s v="Married"/>
    <n v="106379"/>
    <n v="0"/>
    <n v="0"/>
    <x v="1"/>
    <x v="1"/>
    <s v="Yes"/>
    <s v="Non-Travel"/>
    <n v="3"/>
    <n v="4"/>
    <s v="No"/>
    <x v="0"/>
    <x v="4"/>
  </r>
  <r>
    <x v="340"/>
    <x v="3"/>
    <n v="21"/>
    <x v="1"/>
    <x v="0"/>
    <x v="0"/>
    <s v="High School"/>
    <s v="Married"/>
    <n v="22159"/>
    <n v="2"/>
    <n v="0"/>
    <x v="0"/>
    <x v="1"/>
    <s v="No"/>
    <s v="Travel_Frequently"/>
    <n v="3"/>
    <n v="5"/>
    <s v="No"/>
    <x v="0"/>
    <x v="2"/>
  </r>
  <r>
    <x v="341"/>
    <x v="1"/>
    <n v="25"/>
    <x v="1"/>
    <x v="3"/>
    <x v="16"/>
    <s v="Bachelor's"/>
    <s v="Married"/>
    <n v="84099"/>
    <n v="2"/>
    <n v="0"/>
    <x v="3"/>
    <x v="2"/>
    <s v="No"/>
    <s v="Travel_Rarely"/>
    <n v="2"/>
    <n v="1"/>
    <s v="No"/>
    <x v="0"/>
    <x v="2"/>
  </r>
  <r>
    <x v="342"/>
    <x v="1"/>
    <n v="30"/>
    <x v="1"/>
    <x v="1"/>
    <x v="7"/>
    <s v="High School"/>
    <s v="Married"/>
    <n v="29888"/>
    <n v="10"/>
    <n v="1"/>
    <x v="3"/>
    <x v="1"/>
    <s v="No"/>
    <s v="Travel_Rarely"/>
    <n v="3"/>
    <n v="6"/>
    <s v="No"/>
    <x v="0"/>
    <x v="0"/>
  </r>
  <r>
    <x v="343"/>
    <x v="3"/>
    <n v="24"/>
    <x v="0"/>
    <x v="0"/>
    <x v="11"/>
    <s v="High School"/>
    <s v="Married"/>
    <n v="42095"/>
    <n v="4"/>
    <n v="2"/>
    <x v="3"/>
    <x v="0"/>
    <s v="No"/>
    <s v="Travel_Rarely"/>
    <n v="3"/>
    <n v="3"/>
    <s v="No"/>
    <x v="0"/>
    <x v="3"/>
  </r>
  <r>
    <x v="344"/>
    <x v="2"/>
    <n v="47"/>
    <x v="1"/>
    <x v="0"/>
    <x v="2"/>
    <s v="Bachelor's"/>
    <s v="Divorced"/>
    <n v="90945"/>
    <n v="16"/>
    <n v="10"/>
    <x v="1"/>
    <x v="1"/>
    <s v="Yes"/>
    <s v="Travel_Rarely"/>
    <n v="3"/>
    <n v="2"/>
    <s v="No"/>
    <x v="0"/>
    <x v="1"/>
  </r>
  <r>
    <x v="345"/>
    <x v="0"/>
    <n v="35"/>
    <x v="1"/>
    <x v="0"/>
    <x v="0"/>
    <s v="Bachelor's"/>
    <s v="Married"/>
    <n v="69024"/>
    <n v="8"/>
    <n v="5"/>
    <x v="1"/>
    <x v="0"/>
    <s v="No"/>
    <s v="Travel_Rarely"/>
    <n v="2"/>
    <n v="0"/>
    <s v="No"/>
    <x v="1"/>
    <x v="0"/>
  </r>
  <r>
    <x v="346"/>
    <x v="3"/>
    <n v="21"/>
    <x v="0"/>
    <x v="1"/>
    <x v="1"/>
    <s v="High School"/>
    <s v="Divorced"/>
    <n v="71186"/>
    <n v="3"/>
    <n v="2"/>
    <x v="3"/>
    <x v="1"/>
    <s v="No"/>
    <s v="Travel_Rarely"/>
    <n v="3"/>
    <n v="6"/>
    <s v="No"/>
    <x v="0"/>
    <x v="3"/>
  </r>
  <r>
    <x v="347"/>
    <x v="0"/>
    <n v="40"/>
    <x v="1"/>
    <x v="1"/>
    <x v="7"/>
    <s v="Bachelor's"/>
    <s v="Single"/>
    <n v="103091"/>
    <n v="11"/>
    <n v="6"/>
    <x v="0"/>
    <x v="1"/>
    <s v="No"/>
    <s v="Travel_Rarely"/>
    <n v="3"/>
    <n v="3"/>
    <s v="No"/>
    <x v="0"/>
    <x v="1"/>
  </r>
  <r>
    <x v="348"/>
    <x v="2"/>
    <n v="50"/>
    <x v="1"/>
    <x v="4"/>
    <x v="6"/>
    <s v="High School"/>
    <s v="Single"/>
    <n v="72798"/>
    <n v="13"/>
    <n v="0"/>
    <x v="1"/>
    <x v="1"/>
    <s v="No"/>
    <s v="Travel_Rarely"/>
    <n v="3"/>
    <n v="2"/>
    <s v="No"/>
    <x v="0"/>
    <x v="1"/>
  </r>
  <r>
    <x v="349"/>
    <x v="1"/>
    <n v="27"/>
    <x v="0"/>
    <x v="0"/>
    <x v="0"/>
    <s v="Master's"/>
    <s v="Single"/>
    <n v="78784"/>
    <n v="4"/>
    <n v="2"/>
    <x v="2"/>
    <x v="3"/>
    <s v="No"/>
    <s v="Travel_Frequently"/>
    <n v="3"/>
    <n v="5"/>
    <s v="No"/>
    <x v="0"/>
    <x v="3"/>
  </r>
  <r>
    <x v="350"/>
    <x v="1"/>
    <n v="31"/>
    <x v="1"/>
    <x v="3"/>
    <x v="16"/>
    <s v="High School"/>
    <s v="Single"/>
    <n v="68259"/>
    <n v="13"/>
    <n v="0"/>
    <x v="0"/>
    <x v="3"/>
    <s v="No"/>
    <s v="Travel_Rarely"/>
    <n v="2"/>
    <n v="4"/>
    <s v="No"/>
    <x v="0"/>
    <x v="1"/>
  </r>
  <r>
    <x v="351"/>
    <x v="1"/>
    <n v="31"/>
    <x v="0"/>
    <x v="2"/>
    <x v="13"/>
    <s v="Master's"/>
    <s v="Single"/>
    <n v="30671"/>
    <n v="4"/>
    <n v="0"/>
    <x v="0"/>
    <x v="3"/>
    <s v="No"/>
    <s v="Travel_Frequently"/>
    <n v="3"/>
    <n v="5"/>
    <s v="Yes"/>
    <x v="0"/>
    <x v="3"/>
  </r>
  <r>
    <x v="352"/>
    <x v="0"/>
    <n v="38"/>
    <x v="1"/>
    <x v="2"/>
    <x v="17"/>
    <s v="Bachelor's"/>
    <s v="Single"/>
    <n v="30005"/>
    <n v="11"/>
    <n v="6"/>
    <x v="3"/>
    <x v="3"/>
    <s v="Yes"/>
    <s v="Travel_Rarely"/>
    <n v="3"/>
    <n v="0"/>
    <s v="No"/>
    <x v="0"/>
    <x v="1"/>
  </r>
  <r>
    <x v="353"/>
    <x v="1"/>
    <n v="27"/>
    <x v="0"/>
    <x v="1"/>
    <x v="7"/>
    <s v="Bachelor's"/>
    <s v="Married"/>
    <n v="38807"/>
    <n v="3"/>
    <n v="3"/>
    <x v="1"/>
    <x v="1"/>
    <s v="Yes"/>
    <s v="Travel_Rarely"/>
    <n v="3"/>
    <n v="0"/>
    <s v="No"/>
    <x v="0"/>
    <x v="3"/>
  </r>
  <r>
    <x v="354"/>
    <x v="0"/>
    <n v="41"/>
    <x v="0"/>
    <x v="1"/>
    <x v="7"/>
    <s v="Master's"/>
    <s v="Married"/>
    <n v="63840"/>
    <n v="11"/>
    <n v="1"/>
    <x v="3"/>
    <x v="0"/>
    <s v="No"/>
    <s v="Travel_Rarely"/>
    <n v="4"/>
    <n v="0"/>
    <s v="No"/>
    <x v="0"/>
    <x v="1"/>
  </r>
  <r>
    <x v="355"/>
    <x v="2"/>
    <n v="45"/>
    <x v="1"/>
    <x v="3"/>
    <x v="18"/>
    <s v="Bachelor's"/>
    <s v="Married"/>
    <n v="65081"/>
    <n v="6"/>
    <n v="0"/>
    <x v="1"/>
    <x v="0"/>
    <s v="Yes"/>
    <s v="Non-Travel"/>
    <n v="3"/>
    <n v="6"/>
    <s v="No"/>
    <x v="1"/>
    <x v="0"/>
  </r>
  <r>
    <x v="356"/>
    <x v="0"/>
    <n v="35"/>
    <x v="0"/>
    <x v="0"/>
    <x v="0"/>
    <s v="Master's"/>
    <s v="Married"/>
    <n v="82639"/>
    <n v="6"/>
    <n v="1"/>
    <x v="0"/>
    <x v="2"/>
    <s v="No"/>
    <s v="Travel_Frequently"/>
    <n v="3"/>
    <n v="4"/>
    <s v="No"/>
    <x v="0"/>
    <x v="0"/>
  </r>
  <r>
    <x v="357"/>
    <x v="1"/>
    <n v="32"/>
    <x v="1"/>
    <x v="4"/>
    <x v="6"/>
    <s v="Master's"/>
    <s v="Single"/>
    <n v="65858"/>
    <n v="4"/>
    <n v="1"/>
    <x v="1"/>
    <x v="1"/>
    <s v="No"/>
    <s v="Travel_Rarely"/>
    <n v="3"/>
    <n v="2"/>
    <s v="Yes"/>
    <x v="1"/>
    <x v="3"/>
  </r>
  <r>
    <x v="358"/>
    <x v="3"/>
    <n v="23"/>
    <x v="1"/>
    <x v="1"/>
    <x v="7"/>
    <s v="High School"/>
    <s v="Single"/>
    <n v="71702"/>
    <n v="2"/>
    <n v="0"/>
    <x v="1"/>
    <x v="0"/>
    <s v="No"/>
    <s v="Non-Travel"/>
    <n v="3"/>
    <n v="6"/>
    <s v="Yes"/>
    <x v="0"/>
    <x v="2"/>
  </r>
  <r>
    <x v="359"/>
    <x v="0"/>
    <n v="43"/>
    <x v="1"/>
    <x v="2"/>
    <x v="13"/>
    <s v="Bachelor's"/>
    <s v="Single"/>
    <n v="65804"/>
    <n v="24"/>
    <n v="1"/>
    <x v="3"/>
    <x v="1"/>
    <s v="Yes"/>
    <s v="Travel_Frequently"/>
    <n v="3"/>
    <n v="2"/>
    <s v="No"/>
    <x v="0"/>
    <x v="1"/>
  </r>
  <r>
    <x v="360"/>
    <x v="1"/>
    <n v="33"/>
    <x v="1"/>
    <x v="2"/>
    <x v="13"/>
    <s v="High School"/>
    <s v="Single"/>
    <n v="79387"/>
    <n v="9"/>
    <n v="9"/>
    <x v="3"/>
    <x v="0"/>
    <s v="No"/>
    <s v="Travel_Rarely"/>
    <n v="3"/>
    <n v="2"/>
    <s v="Yes"/>
    <x v="0"/>
    <x v="0"/>
  </r>
  <r>
    <x v="361"/>
    <x v="0"/>
    <n v="35"/>
    <x v="1"/>
    <x v="0"/>
    <x v="0"/>
    <s v="High School"/>
    <s v="Single"/>
    <n v="34923"/>
    <n v="10"/>
    <n v="9"/>
    <x v="1"/>
    <x v="0"/>
    <s v="No"/>
    <s v="Travel_Rarely"/>
    <n v="3"/>
    <n v="2"/>
    <s v="No"/>
    <x v="0"/>
    <x v="0"/>
  </r>
  <r>
    <x v="362"/>
    <x v="2"/>
    <n v="47"/>
    <x v="0"/>
    <x v="4"/>
    <x v="6"/>
    <s v="PhD"/>
    <s v="Single"/>
    <n v="65047"/>
    <n v="23"/>
    <n v="6"/>
    <x v="0"/>
    <x v="3"/>
    <s v="No"/>
    <s v="Travel_Rarely"/>
    <n v="3"/>
    <n v="6"/>
    <s v="No"/>
    <x v="0"/>
    <x v="1"/>
  </r>
  <r>
    <x v="363"/>
    <x v="1"/>
    <n v="34"/>
    <x v="1"/>
    <x v="4"/>
    <x v="10"/>
    <s v="Master's"/>
    <s v="Married"/>
    <n v="100558"/>
    <n v="16"/>
    <n v="2"/>
    <x v="0"/>
    <x v="0"/>
    <s v="No"/>
    <s v="Travel_Rarely"/>
    <n v="3"/>
    <n v="4"/>
    <s v="No"/>
    <x v="0"/>
    <x v="1"/>
  </r>
  <r>
    <x v="364"/>
    <x v="1"/>
    <n v="33"/>
    <x v="0"/>
    <x v="4"/>
    <x v="15"/>
    <s v="Bachelor's"/>
    <s v="Married"/>
    <n v="95657"/>
    <n v="3"/>
    <n v="3"/>
    <x v="1"/>
    <x v="0"/>
    <s v="No"/>
    <s v="Non-Travel"/>
    <n v="3"/>
    <n v="0"/>
    <s v="No"/>
    <x v="0"/>
    <x v="3"/>
  </r>
  <r>
    <x v="365"/>
    <x v="0"/>
    <n v="41"/>
    <x v="1"/>
    <x v="3"/>
    <x v="16"/>
    <s v="High School"/>
    <s v="Single"/>
    <n v="42014"/>
    <n v="6"/>
    <n v="4"/>
    <x v="1"/>
    <x v="2"/>
    <s v="Yes"/>
    <s v="Travel_Rarely"/>
    <n v="3"/>
    <n v="3"/>
    <s v="No"/>
    <x v="0"/>
    <x v="0"/>
  </r>
  <r>
    <x v="366"/>
    <x v="1"/>
    <n v="27"/>
    <x v="0"/>
    <x v="1"/>
    <x v="7"/>
    <s v="Master's"/>
    <s v="Single"/>
    <n v="28674"/>
    <n v="6"/>
    <n v="5"/>
    <x v="0"/>
    <x v="0"/>
    <s v="No"/>
    <s v="Travel_Rarely"/>
    <n v="3"/>
    <n v="3"/>
    <s v="No"/>
    <x v="0"/>
    <x v="0"/>
  </r>
  <r>
    <x v="367"/>
    <x v="1"/>
    <n v="28"/>
    <x v="1"/>
    <x v="3"/>
    <x v="9"/>
    <s v="Master's"/>
    <s v="Married"/>
    <n v="84452"/>
    <n v="6"/>
    <n v="6"/>
    <x v="3"/>
    <x v="2"/>
    <s v="Yes"/>
    <s v="Travel_Rarely"/>
    <n v="3"/>
    <n v="5"/>
    <s v="No"/>
    <x v="0"/>
    <x v="0"/>
  </r>
  <r>
    <x v="368"/>
    <x v="3"/>
    <n v="22"/>
    <x v="1"/>
    <x v="4"/>
    <x v="6"/>
    <s v="Master's"/>
    <s v="Married"/>
    <n v="109986"/>
    <n v="4"/>
    <n v="1"/>
    <x v="0"/>
    <x v="0"/>
    <s v="No"/>
    <s v="Travel_Rarely"/>
    <n v="4"/>
    <n v="2"/>
    <s v="No"/>
    <x v="0"/>
    <x v="3"/>
  </r>
  <r>
    <x v="369"/>
    <x v="0"/>
    <n v="36"/>
    <x v="1"/>
    <x v="3"/>
    <x v="18"/>
    <s v="Master's"/>
    <s v="Married"/>
    <n v="59928"/>
    <n v="9"/>
    <n v="9"/>
    <x v="1"/>
    <x v="0"/>
    <s v="No"/>
    <s v="Travel_Rarely"/>
    <n v="3"/>
    <n v="1"/>
    <s v="No"/>
    <x v="0"/>
    <x v="0"/>
  </r>
  <r>
    <x v="370"/>
    <x v="0"/>
    <n v="36"/>
    <x v="0"/>
    <x v="1"/>
    <x v="3"/>
    <s v="Bachelor's"/>
    <s v="Single"/>
    <n v="84874"/>
    <n v="4"/>
    <n v="3"/>
    <x v="1"/>
    <x v="3"/>
    <s v="No"/>
    <s v="Travel_Rarely"/>
    <n v="4"/>
    <n v="0"/>
    <s v="No"/>
    <x v="0"/>
    <x v="3"/>
  </r>
  <r>
    <x v="371"/>
    <x v="0"/>
    <n v="39"/>
    <x v="1"/>
    <x v="0"/>
    <x v="0"/>
    <s v="Bachelor's"/>
    <s v="Married"/>
    <n v="24390"/>
    <n v="11"/>
    <n v="8"/>
    <x v="1"/>
    <x v="1"/>
    <s v="No"/>
    <s v="Travel_Rarely"/>
    <n v="3"/>
    <n v="1"/>
    <s v="No"/>
    <x v="0"/>
    <x v="1"/>
  </r>
  <r>
    <x v="372"/>
    <x v="0"/>
    <n v="42"/>
    <x v="0"/>
    <x v="3"/>
    <x v="9"/>
    <s v="Master's"/>
    <s v="Divorced"/>
    <n v="75566"/>
    <n v="4"/>
    <n v="1"/>
    <x v="0"/>
    <x v="1"/>
    <s v="No"/>
    <s v="Travel_Rarely"/>
    <n v="3"/>
    <n v="3"/>
    <s v="No"/>
    <x v="1"/>
    <x v="3"/>
  </r>
  <r>
    <x v="373"/>
    <x v="0"/>
    <n v="42"/>
    <x v="0"/>
    <x v="0"/>
    <x v="2"/>
    <s v="High School"/>
    <s v="Single"/>
    <n v="98267"/>
    <n v="3"/>
    <n v="2"/>
    <x v="1"/>
    <x v="0"/>
    <s v="No"/>
    <s v="Travel_Rarely"/>
    <n v="2"/>
    <n v="3"/>
    <s v="No"/>
    <x v="0"/>
    <x v="3"/>
  </r>
  <r>
    <x v="374"/>
    <x v="2"/>
    <n v="45"/>
    <x v="0"/>
    <x v="0"/>
    <x v="11"/>
    <s v="PhD"/>
    <s v="Married"/>
    <n v="70574"/>
    <n v="21"/>
    <n v="3"/>
    <x v="0"/>
    <x v="0"/>
    <s v="No"/>
    <s v="Travel_Rarely"/>
    <n v="2"/>
    <n v="6"/>
    <s v="No"/>
    <x v="0"/>
    <x v="1"/>
  </r>
  <r>
    <x v="375"/>
    <x v="0"/>
    <n v="38"/>
    <x v="0"/>
    <x v="1"/>
    <x v="3"/>
    <s v="Bachelor's"/>
    <s v="Single"/>
    <n v="102126"/>
    <n v="9"/>
    <n v="1"/>
    <x v="1"/>
    <x v="1"/>
    <s v="No"/>
    <s v="Travel_Rarely"/>
    <n v="2"/>
    <n v="2"/>
    <s v="No"/>
    <x v="0"/>
    <x v="0"/>
  </r>
  <r>
    <x v="376"/>
    <x v="1"/>
    <n v="25"/>
    <x v="0"/>
    <x v="5"/>
    <x v="12"/>
    <s v="Bachelor's"/>
    <s v="Single"/>
    <n v="96548"/>
    <n v="0"/>
    <n v="0"/>
    <x v="1"/>
    <x v="1"/>
    <s v="No"/>
    <s v="Travel_Rarely"/>
    <n v="3"/>
    <n v="4"/>
    <s v="Yes"/>
    <x v="1"/>
    <x v="4"/>
  </r>
  <r>
    <x v="377"/>
    <x v="1"/>
    <n v="33"/>
    <x v="0"/>
    <x v="4"/>
    <x v="6"/>
    <s v="Bachelor's"/>
    <s v="Single"/>
    <n v="68027"/>
    <n v="14"/>
    <n v="10"/>
    <x v="0"/>
    <x v="1"/>
    <s v="No"/>
    <s v="Travel_Rarely"/>
    <n v="3"/>
    <n v="1"/>
    <s v="No"/>
    <x v="0"/>
    <x v="1"/>
  </r>
  <r>
    <x v="378"/>
    <x v="1"/>
    <n v="30"/>
    <x v="0"/>
    <x v="3"/>
    <x v="5"/>
    <s v="Bachelor's"/>
    <s v="Married"/>
    <n v="84741"/>
    <n v="8"/>
    <n v="4"/>
    <x v="1"/>
    <x v="3"/>
    <s v="No"/>
    <s v="Travel_Rarely"/>
    <n v="3"/>
    <n v="6"/>
    <s v="No"/>
    <x v="0"/>
    <x v="0"/>
  </r>
  <r>
    <x v="379"/>
    <x v="3"/>
    <n v="24"/>
    <x v="1"/>
    <x v="3"/>
    <x v="18"/>
    <s v="Master's"/>
    <s v="Single"/>
    <n v="59190"/>
    <n v="0"/>
    <n v="0"/>
    <x v="3"/>
    <x v="1"/>
    <s v="No"/>
    <s v="Travel_Rarely"/>
    <n v="3"/>
    <n v="1"/>
    <s v="No"/>
    <x v="0"/>
    <x v="4"/>
  </r>
  <r>
    <x v="380"/>
    <x v="0"/>
    <n v="44"/>
    <x v="0"/>
    <x v="1"/>
    <x v="3"/>
    <s v="PhD"/>
    <s v="Married"/>
    <n v="91143"/>
    <n v="24"/>
    <n v="9"/>
    <x v="1"/>
    <x v="1"/>
    <s v="Yes"/>
    <s v="Travel_Rarely"/>
    <n v="3"/>
    <n v="2"/>
    <s v="No"/>
    <x v="0"/>
    <x v="1"/>
  </r>
  <r>
    <x v="381"/>
    <x v="2"/>
    <n v="45"/>
    <x v="1"/>
    <x v="5"/>
    <x v="8"/>
    <s v="Master's"/>
    <s v="Married"/>
    <n v="85398"/>
    <n v="1"/>
    <n v="1"/>
    <x v="0"/>
    <x v="0"/>
    <s v="No"/>
    <s v="Travel_Rarely"/>
    <n v="3"/>
    <n v="6"/>
    <s v="No"/>
    <x v="0"/>
    <x v="2"/>
  </r>
  <r>
    <x v="382"/>
    <x v="1"/>
    <n v="29"/>
    <x v="0"/>
    <x v="3"/>
    <x v="9"/>
    <s v="Master's"/>
    <s v="Single"/>
    <n v="87140"/>
    <n v="3"/>
    <n v="1"/>
    <x v="1"/>
    <x v="1"/>
    <s v="No"/>
    <s v="Travel_Frequently"/>
    <n v="3"/>
    <n v="1"/>
    <s v="No"/>
    <x v="0"/>
    <x v="3"/>
  </r>
  <r>
    <x v="383"/>
    <x v="1"/>
    <n v="34"/>
    <x v="0"/>
    <x v="1"/>
    <x v="3"/>
    <s v="Master's"/>
    <s v="Married"/>
    <n v="81011"/>
    <n v="5"/>
    <n v="5"/>
    <x v="3"/>
    <x v="3"/>
    <s v="No"/>
    <s v="Travel_Frequently"/>
    <n v="3"/>
    <n v="3"/>
    <s v="No"/>
    <x v="0"/>
    <x v="3"/>
  </r>
  <r>
    <x v="384"/>
    <x v="0"/>
    <n v="39"/>
    <x v="1"/>
    <x v="4"/>
    <x v="6"/>
    <s v="Bachelor's"/>
    <s v="Married"/>
    <n v="93040"/>
    <n v="12"/>
    <n v="7"/>
    <x v="1"/>
    <x v="3"/>
    <s v="No"/>
    <s v="Non-Travel"/>
    <n v="3"/>
    <n v="3"/>
    <s v="No"/>
    <x v="0"/>
    <x v="1"/>
  </r>
  <r>
    <x v="385"/>
    <x v="0"/>
    <n v="42"/>
    <x v="0"/>
    <x v="5"/>
    <x v="12"/>
    <s v="Bachelor's"/>
    <s v="Married"/>
    <n v="54477"/>
    <n v="7"/>
    <n v="7"/>
    <x v="1"/>
    <x v="0"/>
    <s v="No"/>
    <s v="Travel_Rarely"/>
    <n v="3"/>
    <n v="2"/>
    <s v="Yes"/>
    <x v="0"/>
    <x v="0"/>
  </r>
  <r>
    <x v="386"/>
    <x v="0"/>
    <n v="41"/>
    <x v="1"/>
    <x v="5"/>
    <x v="14"/>
    <s v="Master's"/>
    <s v="Single"/>
    <n v="106993"/>
    <n v="5"/>
    <n v="0"/>
    <x v="2"/>
    <x v="0"/>
    <s v="No"/>
    <s v="Travel_Rarely"/>
    <n v="3"/>
    <n v="5"/>
    <s v="Yes"/>
    <x v="0"/>
    <x v="3"/>
  </r>
  <r>
    <x v="387"/>
    <x v="0"/>
    <n v="40"/>
    <x v="1"/>
    <x v="3"/>
    <x v="9"/>
    <s v="Master's"/>
    <s v="Married"/>
    <n v="54153"/>
    <n v="16"/>
    <n v="2"/>
    <x v="2"/>
    <x v="1"/>
    <s v="No"/>
    <s v="Travel_Rarely"/>
    <n v="3"/>
    <n v="3"/>
    <s v="No"/>
    <x v="0"/>
    <x v="1"/>
  </r>
  <r>
    <x v="388"/>
    <x v="2"/>
    <n v="45"/>
    <x v="0"/>
    <x v="3"/>
    <x v="18"/>
    <s v="Master's"/>
    <s v="Married"/>
    <n v="51361"/>
    <n v="16"/>
    <n v="10"/>
    <x v="1"/>
    <x v="1"/>
    <s v="Yes"/>
    <s v="Travel_Rarely"/>
    <n v="3"/>
    <n v="4"/>
    <s v="No"/>
    <x v="0"/>
    <x v="1"/>
  </r>
  <r>
    <x v="389"/>
    <x v="3"/>
    <n v="23"/>
    <x v="0"/>
    <x v="1"/>
    <x v="3"/>
    <s v="Bachelor's"/>
    <s v="Married"/>
    <n v="69773"/>
    <n v="4"/>
    <n v="2"/>
    <x v="1"/>
    <x v="1"/>
    <s v="No"/>
    <s v="Travel_Rarely"/>
    <n v="3"/>
    <n v="4"/>
    <s v="No"/>
    <x v="0"/>
    <x v="3"/>
  </r>
  <r>
    <x v="390"/>
    <x v="0"/>
    <n v="36"/>
    <x v="0"/>
    <x v="3"/>
    <x v="9"/>
    <s v="High School"/>
    <s v="Single"/>
    <n v="78251"/>
    <n v="10"/>
    <n v="6"/>
    <x v="1"/>
    <x v="0"/>
    <s v="No"/>
    <s v="Travel_Frequently"/>
    <n v="3"/>
    <n v="6"/>
    <s v="No"/>
    <x v="0"/>
    <x v="0"/>
  </r>
  <r>
    <x v="391"/>
    <x v="1"/>
    <n v="33"/>
    <x v="1"/>
    <x v="1"/>
    <x v="1"/>
    <s v="High School"/>
    <s v="Married"/>
    <n v="70418"/>
    <n v="1"/>
    <n v="1"/>
    <x v="2"/>
    <x v="0"/>
    <s v="Yes"/>
    <s v="Travel_Rarely"/>
    <n v="3"/>
    <n v="1"/>
    <s v="No"/>
    <x v="0"/>
    <x v="2"/>
  </r>
  <r>
    <x v="392"/>
    <x v="1"/>
    <n v="34"/>
    <x v="0"/>
    <x v="1"/>
    <x v="7"/>
    <s v="High School"/>
    <s v="Single"/>
    <n v="84020"/>
    <n v="1"/>
    <n v="1"/>
    <x v="0"/>
    <x v="3"/>
    <s v="No"/>
    <s v="Travel_Rarely"/>
    <n v="3"/>
    <n v="3"/>
    <s v="No"/>
    <x v="0"/>
    <x v="2"/>
  </r>
  <r>
    <x v="393"/>
    <x v="2"/>
    <n v="47"/>
    <x v="0"/>
    <x v="0"/>
    <x v="2"/>
    <s v="Master's"/>
    <s v="Single"/>
    <n v="52855"/>
    <n v="3"/>
    <n v="0"/>
    <x v="0"/>
    <x v="2"/>
    <s v="No"/>
    <s v="Travel_Frequently"/>
    <n v="3"/>
    <n v="5"/>
    <s v="No"/>
    <x v="0"/>
    <x v="3"/>
  </r>
  <r>
    <x v="394"/>
    <x v="1"/>
    <n v="29"/>
    <x v="0"/>
    <x v="3"/>
    <x v="9"/>
    <s v="Master's"/>
    <s v="Married"/>
    <n v="57671"/>
    <n v="10"/>
    <n v="8"/>
    <x v="0"/>
    <x v="0"/>
    <s v="No"/>
    <s v="Travel_Frequently"/>
    <n v="3"/>
    <n v="6"/>
    <s v="No"/>
    <x v="0"/>
    <x v="0"/>
  </r>
  <r>
    <x v="395"/>
    <x v="1"/>
    <n v="29"/>
    <x v="1"/>
    <x v="1"/>
    <x v="7"/>
    <s v="Bachelor's"/>
    <s v="Single"/>
    <n v="96918"/>
    <n v="11"/>
    <n v="11"/>
    <x v="0"/>
    <x v="2"/>
    <s v="No"/>
    <s v="Travel_Rarely"/>
    <n v="3"/>
    <n v="1"/>
    <s v="No"/>
    <x v="0"/>
    <x v="1"/>
  </r>
  <r>
    <x v="396"/>
    <x v="0"/>
    <n v="38"/>
    <x v="1"/>
    <x v="1"/>
    <x v="7"/>
    <s v="Bachelor's"/>
    <s v="Married"/>
    <n v="86453"/>
    <n v="1"/>
    <n v="0"/>
    <x v="1"/>
    <x v="0"/>
    <s v="No"/>
    <s v="Travel_Rarely"/>
    <n v="3"/>
    <n v="5"/>
    <s v="No"/>
    <x v="0"/>
    <x v="2"/>
  </r>
  <r>
    <x v="397"/>
    <x v="0"/>
    <n v="37"/>
    <x v="0"/>
    <x v="1"/>
    <x v="7"/>
    <s v="Master's"/>
    <s v="Married"/>
    <n v="55943"/>
    <n v="13"/>
    <n v="9"/>
    <x v="1"/>
    <x v="2"/>
    <s v="Yes"/>
    <s v="Travel_Frequently"/>
    <n v="3"/>
    <n v="0"/>
    <s v="No"/>
    <x v="0"/>
    <x v="1"/>
  </r>
  <r>
    <x v="398"/>
    <x v="0"/>
    <n v="39"/>
    <x v="0"/>
    <x v="0"/>
    <x v="2"/>
    <s v="Bachelor's"/>
    <s v="Married"/>
    <n v="61204"/>
    <n v="10"/>
    <n v="1"/>
    <x v="2"/>
    <x v="3"/>
    <s v="No"/>
    <s v="Travel_Rarely"/>
    <n v="4"/>
    <n v="4"/>
    <s v="No"/>
    <x v="0"/>
    <x v="0"/>
  </r>
  <r>
    <x v="399"/>
    <x v="1"/>
    <n v="33"/>
    <x v="0"/>
    <x v="5"/>
    <x v="12"/>
    <s v="Master's"/>
    <s v="Single"/>
    <n v="76503"/>
    <n v="5"/>
    <n v="4"/>
    <x v="0"/>
    <x v="2"/>
    <s v="Yes"/>
    <s v="Travel_Rarely"/>
    <n v="2"/>
    <n v="4"/>
    <s v="No"/>
    <x v="0"/>
    <x v="3"/>
  </r>
  <r>
    <x v="400"/>
    <x v="1"/>
    <n v="31"/>
    <x v="0"/>
    <x v="1"/>
    <x v="1"/>
    <s v="Master's"/>
    <s v="Single"/>
    <n v="43138"/>
    <n v="4"/>
    <n v="2"/>
    <x v="1"/>
    <x v="1"/>
    <s v="No"/>
    <s v="Travel_Rarely"/>
    <n v="3"/>
    <n v="4"/>
    <s v="No"/>
    <x v="0"/>
    <x v="3"/>
  </r>
  <r>
    <x v="401"/>
    <x v="0"/>
    <n v="36"/>
    <x v="1"/>
    <x v="3"/>
    <x v="5"/>
    <s v="Bachelor's"/>
    <s v="Married"/>
    <n v="51540"/>
    <n v="11"/>
    <n v="6"/>
    <x v="0"/>
    <x v="0"/>
    <s v="No"/>
    <s v="Travel_Rarely"/>
    <n v="3"/>
    <n v="6"/>
    <s v="No"/>
    <x v="0"/>
    <x v="1"/>
  </r>
  <r>
    <x v="402"/>
    <x v="3"/>
    <n v="21"/>
    <x v="0"/>
    <x v="4"/>
    <x v="10"/>
    <s v="Bachelor's"/>
    <s v="Single"/>
    <n v="73422"/>
    <n v="0"/>
    <n v="0"/>
    <x v="0"/>
    <x v="3"/>
    <s v="No"/>
    <s v="Travel_Rarely"/>
    <n v="2"/>
    <n v="4"/>
    <s v="No"/>
    <x v="0"/>
    <x v="4"/>
  </r>
  <r>
    <x v="403"/>
    <x v="0"/>
    <n v="36"/>
    <x v="1"/>
    <x v="5"/>
    <x v="12"/>
    <s v="High School"/>
    <s v="Single"/>
    <n v="27369"/>
    <n v="0"/>
    <n v="0"/>
    <x v="1"/>
    <x v="1"/>
    <s v="Yes"/>
    <s v="Travel_Rarely"/>
    <n v="3"/>
    <n v="1"/>
    <s v="No"/>
    <x v="0"/>
    <x v="4"/>
  </r>
  <r>
    <x v="404"/>
    <x v="0"/>
    <n v="44"/>
    <x v="1"/>
    <x v="1"/>
    <x v="3"/>
    <s v="High School"/>
    <s v="Married"/>
    <n v="89910"/>
    <n v="12"/>
    <n v="5"/>
    <x v="3"/>
    <x v="1"/>
    <s v="No"/>
    <s v="Travel_Frequently"/>
    <n v="4"/>
    <n v="1"/>
    <s v="No"/>
    <x v="1"/>
    <x v="1"/>
  </r>
  <r>
    <x v="405"/>
    <x v="0"/>
    <n v="44"/>
    <x v="0"/>
    <x v="1"/>
    <x v="3"/>
    <s v="High School"/>
    <s v="Single"/>
    <n v="70248"/>
    <n v="22"/>
    <n v="7"/>
    <x v="0"/>
    <x v="2"/>
    <s v="Yes"/>
    <s v="Non-Travel"/>
    <n v="4"/>
    <n v="3"/>
    <s v="Yes"/>
    <x v="0"/>
    <x v="1"/>
  </r>
  <r>
    <x v="406"/>
    <x v="1"/>
    <n v="34"/>
    <x v="0"/>
    <x v="0"/>
    <x v="2"/>
    <s v="Master's"/>
    <s v="Married"/>
    <n v="91483"/>
    <n v="7"/>
    <n v="4"/>
    <x v="3"/>
    <x v="1"/>
    <s v="Yes"/>
    <s v="Non-Travel"/>
    <n v="3"/>
    <n v="4"/>
    <s v="No"/>
    <x v="0"/>
    <x v="0"/>
  </r>
  <r>
    <x v="407"/>
    <x v="1"/>
    <n v="25"/>
    <x v="0"/>
    <x v="4"/>
    <x v="15"/>
    <s v="PhD"/>
    <s v="Single"/>
    <n v="63769"/>
    <n v="4"/>
    <n v="2"/>
    <x v="0"/>
    <x v="1"/>
    <s v="No"/>
    <s v="Travel_Rarely"/>
    <n v="3"/>
    <n v="5"/>
    <s v="No"/>
    <x v="1"/>
    <x v="3"/>
  </r>
  <r>
    <x v="408"/>
    <x v="1"/>
    <n v="33"/>
    <x v="0"/>
    <x v="3"/>
    <x v="9"/>
    <s v="Bachelor's"/>
    <s v="Single"/>
    <n v="47936"/>
    <n v="3"/>
    <n v="0"/>
    <x v="1"/>
    <x v="0"/>
    <s v="Yes"/>
    <s v="Travel_Rarely"/>
    <n v="3"/>
    <n v="3"/>
    <s v="Yes"/>
    <x v="0"/>
    <x v="3"/>
  </r>
  <r>
    <x v="409"/>
    <x v="2"/>
    <n v="50"/>
    <x v="0"/>
    <x v="0"/>
    <x v="11"/>
    <s v="Bachelor's"/>
    <s v="Single"/>
    <n v="77592"/>
    <n v="20"/>
    <n v="8"/>
    <x v="1"/>
    <x v="0"/>
    <s v="No"/>
    <s v="Travel_Rarely"/>
    <n v="3"/>
    <n v="5"/>
    <s v="Yes"/>
    <x v="0"/>
    <x v="1"/>
  </r>
  <r>
    <x v="410"/>
    <x v="0"/>
    <n v="39"/>
    <x v="1"/>
    <x v="1"/>
    <x v="7"/>
    <s v="PhD"/>
    <s v="Single"/>
    <n v="120623"/>
    <n v="10"/>
    <n v="10"/>
    <x v="0"/>
    <x v="1"/>
    <s v="No"/>
    <s v="Travel_Frequently"/>
    <n v="3"/>
    <n v="4"/>
    <s v="Yes"/>
    <x v="0"/>
    <x v="0"/>
  </r>
  <r>
    <x v="411"/>
    <x v="3"/>
    <n v="23"/>
    <x v="1"/>
    <x v="0"/>
    <x v="2"/>
    <s v="PhD"/>
    <s v="Married"/>
    <n v="58848"/>
    <n v="5"/>
    <n v="0"/>
    <x v="1"/>
    <x v="0"/>
    <s v="Yes"/>
    <s v="Travel_Rarely"/>
    <n v="3"/>
    <n v="4"/>
    <s v="Yes"/>
    <x v="0"/>
    <x v="3"/>
  </r>
  <r>
    <x v="412"/>
    <x v="1"/>
    <n v="28"/>
    <x v="0"/>
    <x v="1"/>
    <x v="1"/>
    <s v="High School"/>
    <s v="Single"/>
    <n v="82151"/>
    <n v="7"/>
    <n v="3"/>
    <x v="1"/>
    <x v="0"/>
    <s v="Yes"/>
    <s v="Travel_Frequently"/>
    <n v="3"/>
    <n v="6"/>
    <s v="No"/>
    <x v="1"/>
    <x v="0"/>
  </r>
  <r>
    <x v="413"/>
    <x v="1"/>
    <n v="32"/>
    <x v="1"/>
    <x v="2"/>
    <x v="13"/>
    <s v="Master's"/>
    <s v="Married"/>
    <n v="75136"/>
    <n v="14"/>
    <n v="11"/>
    <x v="0"/>
    <x v="0"/>
    <s v="No"/>
    <s v="Non-Travel"/>
    <n v="3"/>
    <n v="3"/>
    <s v="Yes"/>
    <x v="0"/>
    <x v="1"/>
  </r>
  <r>
    <x v="414"/>
    <x v="1"/>
    <n v="32"/>
    <x v="1"/>
    <x v="4"/>
    <x v="15"/>
    <s v="High School"/>
    <s v="Single"/>
    <n v="63683"/>
    <n v="14"/>
    <n v="9"/>
    <x v="0"/>
    <x v="3"/>
    <s v="No"/>
    <s v="Non-Travel"/>
    <n v="4"/>
    <n v="0"/>
    <s v="No"/>
    <x v="0"/>
    <x v="1"/>
  </r>
  <r>
    <x v="415"/>
    <x v="0"/>
    <n v="35"/>
    <x v="0"/>
    <x v="4"/>
    <x v="15"/>
    <s v="Bachelor's"/>
    <s v="Single"/>
    <n v="77673"/>
    <n v="8"/>
    <n v="8"/>
    <x v="3"/>
    <x v="0"/>
    <s v="No"/>
    <s v="Non-Travel"/>
    <n v="3"/>
    <n v="5"/>
    <s v="No"/>
    <x v="0"/>
    <x v="0"/>
  </r>
  <r>
    <x v="416"/>
    <x v="1"/>
    <n v="28"/>
    <x v="0"/>
    <x v="3"/>
    <x v="18"/>
    <s v="Bachelor's"/>
    <s v="Single"/>
    <n v="95066"/>
    <n v="5"/>
    <n v="0"/>
    <x v="3"/>
    <x v="2"/>
    <s v="No"/>
    <s v="Travel_Rarely"/>
    <n v="3"/>
    <n v="3"/>
    <s v="No"/>
    <x v="0"/>
    <x v="3"/>
  </r>
  <r>
    <x v="417"/>
    <x v="2"/>
    <n v="48"/>
    <x v="1"/>
    <x v="3"/>
    <x v="9"/>
    <s v="Bachelor's"/>
    <s v="Married"/>
    <n v="38503"/>
    <n v="24"/>
    <n v="11"/>
    <x v="3"/>
    <x v="1"/>
    <s v="No"/>
    <s v="Travel_Frequently"/>
    <n v="2"/>
    <n v="2"/>
    <s v="No"/>
    <x v="0"/>
    <x v="1"/>
  </r>
  <r>
    <x v="418"/>
    <x v="1"/>
    <n v="26"/>
    <x v="1"/>
    <x v="3"/>
    <x v="5"/>
    <s v="Master's"/>
    <s v="Single"/>
    <n v="81810"/>
    <n v="0"/>
    <n v="0"/>
    <x v="2"/>
    <x v="0"/>
    <s v="No"/>
    <s v="Non-Travel"/>
    <n v="3"/>
    <n v="3"/>
    <s v="No"/>
    <x v="0"/>
    <x v="4"/>
  </r>
  <r>
    <x v="419"/>
    <x v="3"/>
    <n v="21"/>
    <x v="0"/>
    <x v="1"/>
    <x v="3"/>
    <s v="PhD"/>
    <s v="Divorced"/>
    <n v="25220"/>
    <n v="2"/>
    <n v="0"/>
    <x v="1"/>
    <x v="0"/>
    <s v="No"/>
    <s v="Travel_Rarely"/>
    <n v="3"/>
    <n v="6"/>
    <s v="No"/>
    <x v="0"/>
    <x v="2"/>
  </r>
  <r>
    <x v="420"/>
    <x v="2"/>
    <n v="50"/>
    <x v="1"/>
    <x v="1"/>
    <x v="1"/>
    <s v="High School"/>
    <s v="Single"/>
    <n v="47440"/>
    <n v="24"/>
    <n v="7"/>
    <x v="1"/>
    <x v="1"/>
    <s v="Yes"/>
    <s v="Travel_Rarely"/>
    <n v="3"/>
    <n v="3"/>
    <s v="Yes"/>
    <x v="0"/>
    <x v="1"/>
  </r>
  <r>
    <x v="421"/>
    <x v="3"/>
    <n v="23"/>
    <x v="1"/>
    <x v="3"/>
    <x v="16"/>
    <s v="Bachelor's"/>
    <s v="Single"/>
    <n v="97965"/>
    <n v="4"/>
    <n v="4"/>
    <x v="3"/>
    <x v="2"/>
    <s v="No"/>
    <s v="Non-Travel"/>
    <n v="3"/>
    <n v="0"/>
    <s v="No"/>
    <x v="0"/>
    <x v="3"/>
  </r>
  <r>
    <x v="422"/>
    <x v="0"/>
    <n v="36"/>
    <x v="0"/>
    <x v="4"/>
    <x v="6"/>
    <s v="Master's"/>
    <s v="Married"/>
    <n v="43743"/>
    <n v="16"/>
    <n v="2"/>
    <x v="3"/>
    <x v="1"/>
    <s v="No"/>
    <s v="Travel_Rarely"/>
    <n v="3"/>
    <n v="4"/>
    <s v="No"/>
    <x v="0"/>
    <x v="1"/>
  </r>
  <r>
    <x v="423"/>
    <x v="3"/>
    <n v="23"/>
    <x v="0"/>
    <x v="0"/>
    <x v="11"/>
    <s v="Bachelor's"/>
    <s v="Married"/>
    <n v="74041"/>
    <n v="4"/>
    <n v="4"/>
    <x v="2"/>
    <x v="0"/>
    <s v="No"/>
    <s v="Non-Travel"/>
    <n v="4"/>
    <n v="1"/>
    <s v="No"/>
    <x v="0"/>
    <x v="3"/>
  </r>
  <r>
    <x v="424"/>
    <x v="3"/>
    <n v="21"/>
    <x v="1"/>
    <x v="0"/>
    <x v="0"/>
    <s v="Bachelor's"/>
    <s v="Single"/>
    <n v="36322"/>
    <n v="2"/>
    <n v="1"/>
    <x v="1"/>
    <x v="3"/>
    <s v="No"/>
    <s v="Travel_Rarely"/>
    <n v="3"/>
    <n v="5"/>
    <s v="No"/>
    <x v="0"/>
    <x v="2"/>
  </r>
  <r>
    <x v="425"/>
    <x v="1"/>
    <n v="29"/>
    <x v="0"/>
    <x v="2"/>
    <x v="17"/>
    <s v="High School"/>
    <s v="Single"/>
    <n v="58335"/>
    <n v="0"/>
    <n v="0"/>
    <x v="1"/>
    <x v="1"/>
    <s v="Yes"/>
    <s v="Travel_Rarely"/>
    <n v="3"/>
    <n v="4"/>
    <s v="No"/>
    <x v="0"/>
    <x v="4"/>
  </r>
  <r>
    <x v="426"/>
    <x v="1"/>
    <n v="33"/>
    <x v="0"/>
    <x v="2"/>
    <x v="4"/>
    <s v="Master's"/>
    <s v="Married"/>
    <n v="48884"/>
    <n v="0"/>
    <n v="0"/>
    <x v="3"/>
    <x v="0"/>
    <s v="Yes"/>
    <s v="Travel_Rarely"/>
    <n v="3"/>
    <n v="2"/>
    <s v="No"/>
    <x v="1"/>
    <x v="4"/>
  </r>
  <r>
    <x v="427"/>
    <x v="1"/>
    <n v="28"/>
    <x v="0"/>
    <x v="3"/>
    <x v="5"/>
    <s v="Bachelor's"/>
    <s v="Married"/>
    <n v="68420"/>
    <n v="0"/>
    <n v="0"/>
    <x v="0"/>
    <x v="0"/>
    <s v="No"/>
    <s v="Travel_Rarely"/>
    <n v="3"/>
    <n v="4"/>
    <s v="No"/>
    <x v="0"/>
    <x v="4"/>
  </r>
  <r>
    <x v="428"/>
    <x v="0"/>
    <n v="37"/>
    <x v="0"/>
    <x v="1"/>
    <x v="3"/>
    <s v="Bachelor's"/>
    <s v="Single"/>
    <n v="22000"/>
    <n v="11"/>
    <n v="6"/>
    <x v="1"/>
    <x v="1"/>
    <s v="No"/>
    <s v="Travel_Rarely"/>
    <n v="4"/>
    <n v="3"/>
    <s v="No"/>
    <x v="0"/>
    <x v="1"/>
  </r>
  <r>
    <x v="429"/>
    <x v="0"/>
    <n v="40"/>
    <x v="1"/>
    <x v="3"/>
    <x v="16"/>
    <s v="Bachelor's"/>
    <s v="Single"/>
    <n v="49914"/>
    <n v="1"/>
    <n v="1"/>
    <x v="1"/>
    <x v="1"/>
    <s v="No"/>
    <s v="Travel_Frequently"/>
    <n v="3"/>
    <n v="3"/>
    <s v="No"/>
    <x v="0"/>
    <x v="2"/>
  </r>
  <r>
    <x v="430"/>
    <x v="1"/>
    <n v="30"/>
    <x v="0"/>
    <x v="0"/>
    <x v="11"/>
    <s v="Master's"/>
    <s v="Married"/>
    <n v="71763"/>
    <n v="2"/>
    <n v="0"/>
    <x v="0"/>
    <x v="0"/>
    <s v="No"/>
    <s v="Travel_Rarely"/>
    <n v="3"/>
    <n v="2"/>
    <s v="No"/>
    <x v="0"/>
    <x v="2"/>
  </r>
  <r>
    <x v="431"/>
    <x v="3"/>
    <n v="24"/>
    <x v="1"/>
    <x v="0"/>
    <x v="11"/>
    <s v="Master's"/>
    <s v="Married"/>
    <n v="54370"/>
    <n v="1"/>
    <n v="1"/>
    <x v="2"/>
    <x v="0"/>
    <s v="No"/>
    <s v="Travel_Rarely"/>
    <n v="2"/>
    <n v="0"/>
    <s v="No"/>
    <x v="0"/>
    <x v="2"/>
  </r>
  <r>
    <x v="432"/>
    <x v="1"/>
    <n v="33"/>
    <x v="0"/>
    <x v="1"/>
    <x v="1"/>
    <s v="Master's"/>
    <s v="Divorced"/>
    <n v="84621"/>
    <n v="12"/>
    <n v="9"/>
    <x v="0"/>
    <x v="0"/>
    <s v="No"/>
    <s v="Travel_Frequently"/>
    <n v="3"/>
    <n v="2"/>
    <s v="No"/>
    <x v="0"/>
    <x v="1"/>
  </r>
  <r>
    <x v="433"/>
    <x v="0"/>
    <n v="42"/>
    <x v="1"/>
    <x v="1"/>
    <x v="7"/>
    <s v="Master's"/>
    <s v="Married"/>
    <n v="53678"/>
    <n v="7"/>
    <n v="6"/>
    <x v="3"/>
    <x v="3"/>
    <s v="No"/>
    <s v="Travel_Rarely"/>
    <n v="3"/>
    <n v="4"/>
    <s v="No"/>
    <x v="1"/>
    <x v="0"/>
  </r>
  <r>
    <x v="434"/>
    <x v="1"/>
    <n v="32"/>
    <x v="0"/>
    <x v="3"/>
    <x v="16"/>
    <s v="Bachelor's"/>
    <s v="Married"/>
    <n v="86743"/>
    <n v="10"/>
    <n v="3"/>
    <x v="3"/>
    <x v="0"/>
    <s v="No"/>
    <s v="Travel_Rarely"/>
    <n v="3"/>
    <n v="5"/>
    <s v="No"/>
    <x v="0"/>
    <x v="0"/>
  </r>
  <r>
    <x v="435"/>
    <x v="3"/>
    <n v="21"/>
    <x v="0"/>
    <x v="1"/>
    <x v="3"/>
    <s v="Bachelor's"/>
    <s v="Married"/>
    <n v="38566"/>
    <n v="1"/>
    <n v="0"/>
    <x v="1"/>
    <x v="0"/>
    <s v="No"/>
    <s v="Travel_Rarely"/>
    <n v="4"/>
    <n v="1"/>
    <s v="No"/>
    <x v="0"/>
    <x v="2"/>
  </r>
  <r>
    <x v="436"/>
    <x v="0"/>
    <n v="43"/>
    <x v="0"/>
    <x v="3"/>
    <x v="18"/>
    <s v="Master's"/>
    <s v="Divorced"/>
    <n v="70042"/>
    <n v="3"/>
    <n v="2"/>
    <x v="0"/>
    <x v="0"/>
    <s v="No"/>
    <s v="Travel_Rarely"/>
    <n v="4"/>
    <n v="6"/>
    <s v="No"/>
    <x v="0"/>
    <x v="3"/>
  </r>
  <r>
    <x v="437"/>
    <x v="0"/>
    <n v="41"/>
    <x v="1"/>
    <x v="0"/>
    <x v="2"/>
    <s v="Bachelor's"/>
    <s v="Single"/>
    <n v="48528"/>
    <n v="18"/>
    <n v="3"/>
    <x v="1"/>
    <x v="0"/>
    <s v="No"/>
    <s v="Travel_Rarely"/>
    <n v="3"/>
    <n v="3"/>
    <s v="No"/>
    <x v="0"/>
    <x v="1"/>
  </r>
  <r>
    <x v="438"/>
    <x v="1"/>
    <n v="34"/>
    <x v="0"/>
    <x v="5"/>
    <x v="8"/>
    <s v="Master's"/>
    <s v="Married"/>
    <n v="91688"/>
    <n v="11"/>
    <n v="3"/>
    <x v="1"/>
    <x v="1"/>
    <s v="No"/>
    <s v="Travel_Rarely"/>
    <n v="4"/>
    <n v="0"/>
    <s v="No"/>
    <x v="0"/>
    <x v="1"/>
  </r>
  <r>
    <x v="439"/>
    <x v="0"/>
    <n v="41"/>
    <x v="1"/>
    <x v="0"/>
    <x v="2"/>
    <s v="Master's"/>
    <s v="Married"/>
    <n v="58446"/>
    <n v="4"/>
    <n v="4"/>
    <x v="3"/>
    <x v="3"/>
    <s v="No"/>
    <s v="Travel_Rarely"/>
    <n v="3"/>
    <n v="6"/>
    <s v="Yes"/>
    <x v="0"/>
    <x v="3"/>
  </r>
  <r>
    <x v="440"/>
    <x v="1"/>
    <n v="26"/>
    <x v="1"/>
    <x v="1"/>
    <x v="3"/>
    <s v="High School"/>
    <s v="Married"/>
    <n v="89988"/>
    <n v="5"/>
    <n v="5"/>
    <x v="2"/>
    <x v="0"/>
    <s v="No"/>
    <s v="Travel_Rarely"/>
    <n v="4"/>
    <n v="1"/>
    <s v="No"/>
    <x v="0"/>
    <x v="3"/>
  </r>
  <r>
    <x v="441"/>
    <x v="0"/>
    <n v="43"/>
    <x v="0"/>
    <x v="2"/>
    <x v="17"/>
    <s v="High School"/>
    <s v="Single"/>
    <n v="69827"/>
    <n v="13"/>
    <n v="6"/>
    <x v="1"/>
    <x v="1"/>
    <s v="Yes"/>
    <s v="Travel_Rarely"/>
    <n v="3"/>
    <n v="4"/>
    <s v="No"/>
    <x v="0"/>
    <x v="1"/>
  </r>
  <r>
    <x v="442"/>
    <x v="0"/>
    <n v="44"/>
    <x v="0"/>
    <x v="1"/>
    <x v="3"/>
    <s v="Bachelor's"/>
    <s v="Married"/>
    <n v="60541"/>
    <n v="10"/>
    <n v="10"/>
    <x v="1"/>
    <x v="1"/>
    <s v="Yes"/>
    <s v="Travel_Rarely"/>
    <n v="3"/>
    <n v="0"/>
    <s v="No"/>
    <x v="0"/>
    <x v="0"/>
  </r>
  <r>
    <x v="443"/>
    <x v="4"/>
    <n v="55"/>
    <x v="1"/>
    <x v="4"/>
    <x v="10"/>
    <s v="Bachelor's"/>
    <s v="Married"/>
    <n v="39598"/>
    <n v="20"/>
    <n v="10"/>
    <x v="3"/>
    <x v="0"/>
    <s v="No"/>
    <s v="Travel_Rarely"/>
    <n v="3"/>
    <n v="0"/>
    <s v="No"/>
    <x v="0"/>
    <x v="1"/>
  </r>
  <r>
    <x v="444"/>
    <x v="3"/>
    <n v="24"/>
    <x v="0"/>
    <x v="0"/>
    <x v="2"/>
    <s v="PhD"/>
    <s v="Married"/>
    <n v="86565"/>
    <n v="3"/>
    <n v="3"/>
    <x v="3"/>
    <x v="0"/>
    <s v="No"/>
    <s v="Travel_Rarely"/>
    <n v="3"/>
    <n v="3"/>
    <s v="No"/>
    <x v="0"/>
    <x v="3"/>
  </r>
  <r>
    <x v="445"/>
    <x v="2"/>
    <n v="45"/>
    <x v="1"/>
    <x v="3"/>
    <x v="9"/>
    <s v="Master's"/>
    <s v="Married"/>
    <n v="77467"/>
    <n v="19"/>
    <n v="12"/>
    <x v="2"/>
    <x v="2"/>
    <s v="Yes"/>
    <s v="Travel_Rarely"/>
    <n v="3"/>
    <n v="2"/>
    <s v="No"/>
    <x v="0"/>
    <x v="1"/>
  </r>
  <r>
    <x v="446"/>
    <x v="0"/>
    <n v="35"/>
    <x v="0"/>
    <x v="4"/>
    <x v="10"/>
    <s v="Bachelor's"/>
    <s v="Single"/>
    <n v="71156"/>
    <n v="15"/>
    <n v="0"/>
    <x v="0"/>
    <x v="1"/>
    <s v="No"/>
    <s v="Travel_Frequently"/>
    <n v="3"/>
    <n v="4"/>
    <s v="No"/>
    <x v="1"/>
    <x v="1"/>
  </r>
  <r>
    <x v="447"/>
    <x v="0"/>
    <n v="38"/>
    <x v="0"/>
    <x v="5"/>
    <x v="12"/>
    <s v="High School"/>
    <s v="Single"/>
    <n v="92622"/>
    <n v="1"/>
    <n v="0"/>
    <x v="0"/>
    <x v="3"/>
    <s v="No"/>
    <s v="Travel_Frequently"/>
    <n v="2"/>
    <n v="4"/>
    <s v="No"/>
    <x v="0"/>
    <x v="2"/>
  </r>
  <r>
    <x v="448"/>
    <x v="1"/>
    <n v="28"/>
    <x v="1"/>
    <x v="0"/>
    <x v="11"/>
    <s v="Bachelor's"/>
    <s v="Single"/>
    <n v="52248"/>
    <n v="1"/>
    <n v="1"/>
    <x v="3"/>
    <x v="1"/>
    <s v="Yes"/>
    <s v="Travel_Rarely"/>
    <n v="2"/>
    <n v="5"/>
    <s v="No"/>
    <x v="0"/>
    <x v="2"/>
  </r>
  <r>
    <x v="449"/>
    <x v="1"/>
    <n v="30"/>
    <x v="0"/>
    <x v="2"/>
    <x v="4"/>
    <s v="Master's"/>
    <s v="Single"/>
    <n v="102651"/>
    <n v="3"/>
    <n v="1"/>
    <x v="1"/>
    <x v="2"/>
    <s v="No"/>
    <s v="Travel_Rarely"/>
    <n v="3"/>
    <n v="6"/>
    <s v="No"/>
    <x v="0"/>
    <x v="3"/>
  </r>
  <r>
    <x v="450"/>
    <x v="1"/>
    <n v="34"/>
    <x v="0"/>
    <x v="4"/>
    <x v="10"/>
    <s v="Bachelor's"/>
    <s v="Married"/>
    <n v="45315"/>
    <n v="8"/>
    <n v="0"/>
    <x v="1"/>
    <x v="0"/>
    <s v="No"/>
    <s v="Travel_Frequently"/>
    <n v="3"/>
    <n v="5"/>
    <s v="No"/>
    <x v="1"/>
    <x v="0"/>
  </r>
  <r>
    <x v="451"/>
    <x v="1"/>
    <n v="34"/>
    <x v="0"/>
    <x v="1"/>
    <x v="3"/>
    <s v="Master's"/>
    <s v="Married"/>
    <n v="59428"/>
    <n v="11"/>
    <n v="2"/>
    <x v="1"/>
    <x v="1"/>
    <s v="Yes"/>
    <s v="Travel_Rarely"/>
    <n v="3"/>
    <n v="5"/>
    <s v="No"/>
    <x v="0"/>
    <x v="1"/>
  </r>
  <r>
    <x v="452"/>
    <x v="1"/>
    <n v="25"/>
    <x v="1"/>
    <x v="5"/>
    <x v="14"/>
    <s v="Bachelor's"/>
    <s v="Single"/>
    <n v="103678"/>
    <n v="5"/>
    <n v="2"/>
    <x v="0"/>
    <x v="3"/>
    <s v="Yes"/>
    <s v="Travel_Frequently"/>
    <n v="3"/>
    <n v="3"/>
    <s v="No"/>
    <x v="1"/>
    <x v="3"/>
  </r>
  <r>
    <x v="453"/>
    <x v="3"/>
    <n v="21"/>
    <x v="1"/>
    <x v="4"/>
    <x v="15"/>
    <s v="Bachelor's"/>
    <s v="Single"/>
    <n v="63922"/>
    <n v="1"/>
    <n v="1"/>
    <x v="1"/>
    <x v="0"/>
    <s v="Yes"/>
    <s v="Travel_Frequently"/>
    <n v="3"/>
    <n v="5"/>
    <s v="No"/>
    <x v="1"/>
    <x v="2"/>
  </r>
  <r>
    <x v="454"/>
    <x v="0"/>
    <n v="36"/>
    <x v="1"/>
    <x v="1"/>
    <x v="7"/>
    <s v="PhD"/>
    <s v="Single"/>
    <n v="89043"/>
    <n v="5"/>
    <n v="4"/>
    <x v="0"/>
    <x v="1"/>
    <s v="No"/>
    <s v="Non-Travel"/>
    <n v="3"/>
    <n v="5"/>
    <s v="No"/>
    <x v="0"/>
    <x v="3"/>
  </r>
  <r>
    <x v="455"/>
    <x v="2"/>
    <n v="46"/>
    <x v="0"/>
    <x v="3"/>
    <x v="16"/>
    <s v="Bachelor's"/>
    <s v="Married"/>
    <n v="71942"/>
    <n v="24"/>
    <n v="3"/>
    <x v="0"/>
    <x v="1"/>
    <s v="No"/>
    <s v="Travel_Rarely"/>
    <n v="2"/>
    <n v="1"/>
    <s v="No"/>
    <x v="0"/>
    <x v="1"/>
  </r>
  <r>
    <x v="456"/>
    <x v="0"/>
    <n v="35"/>
    <x v="0"/>
    <x v="0"/>
    <x v="0"/>
    <s v="Bachelor's"/>
    <s v="Married"/>
    <n v="79800"/>
    <n v="1"/>
    <n v="1"/>
    <x v="3"/>
    <x v="1"/>
    <s v="No"/>
    <s v="Travel_Frequently"/>
    <n v="3"/>
    <n v="4"/>
    <s v="Yes"/>
    <x v="0"/>
    <x v="2"/>
  </r>
  <r>
    <x v="457"/>
    <x v="1"/>
    <n v="30"/>
    <x v="0"/>
    <x v="1"/>
    <x v="3"/>
    <s v="PhD"/>
    <s v="Married"/>
    <n v="60260"/>
    <n v="3"/>
    <n v="0"/>
    <x v="3"/>
    <x v="0"/>
    <s v="Yes"/>
    <s v="Travel_Rarely"/>
    <n v="3"/>
    <n v="2"/>
    <s v="No"/>
    <x v="0"/>
    <x v="3"/>
  </r>
  <r>
    <x v="458"/>
    <x v="1"/>
    <n v="34"/>
    <x v="1"/>
    <x v="3"/>
    <x v="18"/>
    <s v="Bachelor's"/>
    <s v="Married"/>
    <n v="22000"/>
    <n v="5"/>
    <n v="1"/>
    <x v="3"/>
    <x v="0"/>
    <s v="Yes"/>
    <s v="Travel_Rarely"/>
    <n v="3"/>
    <n v="0"/>
    <s v="No"/>
    <x v="0"/>
    <x v="3"/>
  </r>
  <r>
    <x v="459"/>
    <x v="0"/>
    <n v="35"/>
    <x v="0"/>
    <x v="0"/>
    <x v="11"/>
    <s v="PhD"/>
    <s v="Married"/>
    <n v="73755"/>
    <n v="6"/>
    <n v="3"/>
    <x v="2"/>
    <x v="0"/>
    <s v="No"/>
    <s v="Travel_Frequently"/>
    <n v="3"/>
    <n v="0"/>
    <s v="No"/>
    <x v="0"/>
    <x v="0"/>
  </r>
  <r>
    <x v="460"/>
    <x v="0"/>
    <n v="43"/>
    <x v="0"/>
    <x v="5"/>
    <x v="12"/>
    <s v="Master's"/>
    <s v="Divorced"/>
    <n v="69612"/>
    <n v="12"/>
    <n v="10"/>
    <x v="0"/>
    <x v="0"/>
    <s v="No"/>
    <s v="Travel_Rarely"/>
    <n v="3"/>
    <n v="0"/>
    <s v="No"/>
    <x v="0"/>
    <x v="1"/>
  </r>
  <r>
    <x v="461"/>
    <x v="1"/>
    <n v="25"/>
    <x v="1"/>
    <x v="1"/>
    <x v="3"/>
    <s v="Master's"/>
    <s v="Married"/>
    <n v="59845"/>
    <n v="7"/>
    <n v="3"/>
    <x v="1"/>
    <x v="0"/>
    <s v="No"/>
    <s v="Travel_Rarely"/>
    <n v="4"/>
    <n v="6"/>
    <s v="No"/>
    <x v="0"/>
    <x v="0"/>
  </r>
  <r>
    <x v="462"/>
    <x v="1"/>
    <n v="26"/>
    <x v="1"/>
    <x v="0"/>
    <x v="0"/>
    <s v="Master's"/>
    <s v="Married"/>
    <n v="62226"/>
    <n v="5"/>
    <n v="5"/>
    <x v="1"/>
    <x v="1"/>
    <s v="No"/>
    <s v="Travel_Rarely"/>
    <n v="2"/>
    <n v="2"/>
    <s v="No"/>
    <x v="0"/>
    <x v="3"/>
  </r>
  <r>
    <x v="463"/>
    <x v="0"/>
    <n v="39"/>
    <x v="1"/>
    <x v="0"/>
    <x v="0"/>
    <s v="High School"/>
    <s v="Single"/>
    <n v="42757"/>
    <n v="10"/>
    <n v="1"/>
    <x v="2"/>
    <x v="0"/>
    <s v="Yes"/>
    <s v="Travel_Rarely"/>
    <n v="3"/>
    <n v="0"/>
    <s v="Yes"/>
    <x v="1"/>
    <x v="0"/>
  </r>
  <r>
    <x v="464"/>
    <x v="3"/>
    <n v="21"/>
    <x v="1"/>
    <x v="5"/>
    <x v="8"/>
    <s v="Bachelor's"/>
    <s v="Single"/>
    <n v="68566"/>
    <n v="2"/>
    <n v="0"/>
    <x v="3"/>
    <x v="3"/>
    <s v="Yes"/>
    <s v="Travel_Rarely"/>
    <n v="2"/>
    <n v="4"/>
    <s v="No"/>
    <x v="0"/>
    <x v="2"/>
  </r>
  <r>
    <x v="465"/>
    <x v="1"/>
    <n v="30"/>
    <x v="1"/>
    <x v="5"/>
    <x v="12"/>
    <s v="PhD"/>
    <s v="Married"/>
    <n v="59821"/>
    <n v="12"/>
    <n v="8"/>
    <x v="1"/>
    <x v="3"/>
    <s v="No"/>
    <s v="Travel_Frequently"/>
    <n v="3"/>
    <n v="0"/>
    <s v="No"/>
    <x v="0"/>
    <x v="1"/>
  </r>
  <r>
    <x v="466"/>
    <x v="1"/>
    <n v="29"/>
    <x v="0"/>
    <x v="3"/>
    <x v="5"/>
    <s v="Master's"/>
    <s v="Married"/>
    <n v="41202"/>
    <n v="4"/>
    <n v="1"/>
    <x v="1"/>
    <x v="0"/>
    <s v="No"/>
    <s v="Non-Travel"/>
    <n v="3"/>
    <n v="2"/>
    <s v="No"/>
    <x v="0"/>
    <x v="3"/>
  </r>
  <r>
    <x v="467"/>
    <x v="2"/>
    <n v="54"/>
    <x v="1"/>
    <x v="3"/>
    <x v="9"/>
    <s v="Bachelor's"/>
    <s v="Single"/>
    <n v="49434"/>
    <n v="1"/>
    <n v="1"/>
    <x v="1"/>
    <x v="0"/>
    <s v="Yes"/>
    <s v="Travel_Rarely"/>
    <n v="3"/>
    <n v="6"/>
    <s v="No"/>
    <x v="0"/>
    <x v="2"/>
  </r>
  <r>
    <x v="468"/>
    <x v="0"/>
    <n v="36"/>
    <x v="0"/>
    <x v="4"/>
    <x v="6"/>
    <s v="Bachelor's"/>
    <s v="Single"/>
    <n v="80434"/>
    <n v="14"/>
    <n v="1"/>
    <x v="0"/>
    <x v="1"/>
    <s v="No"/>
    <s v="Travel_Rarely"/>
    <n v="2"/>
    <n v="6"/>
    <s v="No"/>
    <x v="0"/>
    <x v="1"/>
  </r>
  <r>
    <x v="469"/>
    <x v="1"/>
    <n v="31"/>
    <x v="0"/>
    <x v="4"/>
    <x v="15"/>
    <s v="Bachelor's"/>
    <s v="Single"/>
    <n v="40935"/>
    <n v="13"/>
    <n v="12"/>
    <x v="2"/>
    <x v="0"/>
    <s v="No"/>
    <s v="Non-Travel"/>
    <n v="4"/>
    <n v="5"/>
    <s v="No"/>
    <x v="0"/>
    <x v="1"/>
  </r>
  <r>
    <x v="470"/>
    <x v="1"/>
    <n v="31"/>
    <x v="0"/>
    <x v="4"/>
    <x v="6"/>
    <s v="Bachelor's"/>
    <s v="Married"/>
    <n v="62523"/>
    <n v="5"/>
    <n v="1"/>
    <x v="0"/>
    <x v="3"/>
    <s v="No"/>
    <s v="Travel_Frequently"/>
    <n v="3"/>
    <n v="0"/>
    <s v="No"/>
    <x v="0"/>
    <x v="3"/>
  </r>
  <r>
    <x v="471"/>
    <x v="2"/>
    <n v="49"/>
    <x v="1"/>
    <x v="1"/>
    <x v="3"/>
    <s v="Bachelor's"/>
    <s v="Divorced"/>
    <n v="31595"/>
    <n v="9"/>
    <n v="9"/>
    <x v="1"/>
    <x v="0"/>
    <s v="No"/>
    <s v="Travel_Rarely"/>
    <n v="3"/>
    <n v="1"/>
    <s v="No"/>
    <x v="0"/>
    <x v="0"/>
  </r>
  <r>
    <x v="472"/>
    <x v="1"/>
    <n v="31"/>
    <x v="1"/>
    <x v="1"/>
    <x v="3"/>
    <s v="Bachelor's"/>
    <s v="Single"/>
    <n v="58634"/>
    <n v="4"/>
    <n v="1"/>
    <x v="2"/>
    <x v="0"/>
    <s v="No"/>
    <s v="Travel_Rarely"/>
    <n v="3"/>
    <n v="2"/>
    <s v="No"/>
    <x v="0"/>
    <x v="3"/>
  </r>
  <r>
    <x v="473"/>
    <x v="0"/>
    <n v="41"/>
    <x v="1"/>
    <x v="3"/>
    <x v="16"/>
    <s v="Master's"/>
    <s v="Married"/>
    <n v="91191"/>
    <n v="23"/>
    <n v="1"/>
    <x v="1"/>
    <x v="0"/>
    <s v="Yes"/>
    <s v="Travel_Frequently"/>
    <n v="4"/>
    <n v="6"/>
    <s v="No"/>
    <x v="0"/>
    <x v="1"/>
  </r>
  <r>
    <x v="474"/>
    <x v="3"/>
    <n v="23"/>
    <x v="1"/>
    <x v="3"/>
    <x v="5"/>
    <s v="Bachelor's"/>
    <s v="Married"/>
    <n v="75116"/>
    <n v="0"/>
    <n v="0"/>
    <x v="3"/>
    <x v="3"/>
    <s v="No"/>
    <s v="Travel_Rarely"/>
    <n v="4"/>
    <n v="2"/>
    <s v="No"/>
    <x v="0"/>
    <x v="4"/>
  </r>
  <r>
    <x v="475"/>
    <x v="0"/>
    <n v="43"/>
    <x v="1"/>
    <x v="0"/>
    <x v="11"/>
    <s v="Bachelor's"/>
    <s v="Married"/>
    <n v="42915"/>
    <n v="19"/>
    <n v="10"/>
    <x v="0"/>
    <x v="0"/>
    <s v="No"/>
    <s v="Travel_Rarely"/>
    <n v="3"/>
    <n v="6"/>
    <s v="No"/>
    <x v="0"/>
    <x v="1"/>
  </r>
  <r>
    <x v="476"/>
    <x v="1"/>
    <n v="32"/>
    <x v="0"/>
    <x v="0"/>
    <x v="0"/>
    <s v="Bachelor's"/>
    <s v="Married"/>
    <n v="61832"/>
    <n v="8"/>
    <n v="3"/>
    <x v="3"/>
    <x v="1"/>
    <s v="No"/>
    <s v="Travel_Frequently"/>
    <n v="3"/>
    <n v="0"/>
    <s v="No"/>
    <x v="0"/>
    <x v="0"/>
  </r>
  <r>
    <x v="477"/>
    <x v="1"/>
    <n v="32"/>
    <x v="0"/>
    <x v="5"/>
    <x v="8"/>
    <s v="Master's"/>
    <s v="Married"/>
    <n v="106189"/>
    <n v="10"/>
    <n v="9"/>
    <x v="3"/>
    <x v="0"/>
    <s v="No"/>
    <s v="Travel_Rarely"/>
    <n v="3"/>
    <n v="3"/>
    <s v="No"/>
    <x v="0"/>
    <x v="0"/>
  </r>
  <r>
    <x v="478"/>
    <x v="1"/>
    <n v="25"/>
    <x v="1"/>
    <x v="4"/>
    <x v="10"/>
    <s v="High School"/>
    <s v="Married"/>
    <n v="90407"/>
    <n v="5"/>
    <n v="5"/>
    <x v="1"/>
    <x v="0"/>
    <s v="No"/>
    <s v="Travel_Rarely"/>
    <n v="3"/>
    <n v="0"/>
    <s v="No"/>
    <x v="0"/>
    <x v="3"/>
  </r>
  <r>
    <x v="479"/>
    <x v="1"/>
    <n v="29"/>
    <x v="0"/>
    <x v="3"/>
    <x v="9"/>
    <s v="Master's"/>
    <s v="Single"/>
    <n v="53969"/>
    <n v="1"/>
    <n v="0"/>
    <x v="1"/>
    <x v="0"/>
    <s v="Yes"/>
    <s v="Travel_Rarely"/>
    <n v="3"/>
    <n v="3"/>
    <s v="No"/>
    <x v="0"/>
    <x v="2"/>
  </r>
  <r>
    <x v="480"/>
    <x v="0"/>
    <n v="43"/>
    <x v="1"/>
    <x v="0"/>
    <x v="11"/>
    <s v="High School"/>
    <s v="Single"/>
    <n v="82114"/>
    <n v="16"/>
    <n v="12"/>
    <x v="3"/>
    <x v="0"/>
    <s v="No"/>
    <s v="Travel_Rarely"/>
    <n v="3"/>
    <n v="5"/>
    <s v="Yes"/>
    <x v="1"/>
    <x v="1"/>
  </r>
  <r>
    <x v="481"/>
    <x v="1"/>
    <n v="26"/>
    <x v="1"/>
    <x v="4"/>
    <x v="6"/>
    <s v="Bachelor's"/>
    <s v="Married"/>
    <n v="88300"/>
    <n v="4"/>
    <n v="0"/>
    <x v="1"/>
    <x v="3"/>
    <s v="Yes"/>
    <s v="Travel_Rarely"/>
    <n v="4"/>
    <n v="5"/>
    <s v="No"/>
    <x v="0"/>
    <x v="3"/>
  </r>
  <r>
    <x v="482"/>
    <x v="0"/>
    <n v="35"/>
    <x v="1"/>
    <x v="1"/>
    <x v="7"/>
    <s v="Bachelor's"/>
    <s v="Divorced"/>
    <n v="53565"/>
    <n v="10"/>
    <n v="5"/>
    <x v="0"/>
    <x v="2"/>
    <s v="No"/>
    <s v="Travel_Rarely"/>
    <n v="4"/>
    <n v="3"/>
    <s v="Yes"/>
    <x v="1"/>
    <x v="0"/>
  </r>
  <r>
    <x v="483"/>
    <x v="0"/>
    <n v="44"/>
    <x v="1"/>
    <x v="4"/>
    <x v="10"/>
    <s v="High School"/>
    <s v="Married"/>
    <n v="58354"/>
    <n v="8"/>
    <n v="5"/>
    <x v="1"/>
    <x v="1"/>
    <s v="No"/>
    <s v="Travel_Frequently"/>
    <n v="2"/>
    <n v="0"/>
    <s v="No"/>
    <x v="0"/>
    <x v="0"/>
  </r>
  <r>
    <x v="484"/>
    <x v="2"/>
    <n v="47"/>
    <x v="0"/>
    <x v="1"/>
    <x v="3"/>
    <s v="Bachelor's"/>
    <s v="Single"/>
    <n v="58638"/>
    <n v="6"/>
    <n v="6"/>
    <x v="1"/>
    <x v="1"/>
    <s v="No"/>
    <s v="Travel_Rarely"/>
    <n v="4"/>
    <n v="6"/>
    <s v="No"/>
    <x v="0"/>
    <x v="0"/>
  </r>
  <r>
    <x v="485"/>
    <x v="1"/>
    <n v="27"/>
    <x v="1"/>
    <x v="4"/>
    <x v="6"/>
    <s v="High School"/>
    <s v="Single"/>
    <n v="65023"/>
    <n v="2"/>
    <n v="2"/>
    <x v="1"/>
    <x v="3"/>
    <s v="No"/>
    <s v="Travel_Rarely"/>
    <n v="3"/>
    <n v="3"/>
    <s v="No"/>
    <x v="1"/>
    <x v="2"/>
  </r>
  <r>
    <x v="486"/>
    <x v="1"/>
    <n v="26"/>
    <x v="0"/>
    <x v="0"/>
    <x v="11"/>
    <s v="PhD"/>
    <s v="Single"/>
    <n v="34604"/>
    <n v="4"/>
    <n v="4"/>
    <x v="1"/>
    <x v="0"/>
    <s v="No"/>
    <s v="Travel_Rarely"/>
    <n v="3"/>
    <n v="1"/>
    <s v="No"/>
    <x v="0"/>
    <x v="3"/>
  </r>
  <r>
    <x v="487"/>
    <x v="1"/>
    <n v="28"/>
    <x v="0"/>
    <x v="4"/>
    <x v="10"/>
    <s v="Unknown"/>
    <s v="Married"/>
    <n v="42426"/>
    <n v="8"/>
    <n v="3"/>
    <x v="1"/>
    <x v="0"/>
    <s v="Yes"/>
    <s v="Travel_Rarely"/>
    <n v="3"/>
    <n v="5"/>
    <s v="No"/>
    <x v="0"/>
    <x v="0"/>
  </r>
  <r>
    <x v="488"/>
    <x v="1"/>
    <n v="32"/>
    <x v="1"/>
    <x v="0"/>
    <x v="0"/>
    <s v="Master's"/>
    <s v="Married"/>
    <n v="95887"/>
    <n v="9"/>
    <n v="4"/>
    <x v="3"/>
    <x v="2"/>
    <s v="No"/>
    <s v="Travel_Rarely"/>
    <n v="3"/>
    <n v="5"/>
    <s v="No"/>
    <x v="1"/>
    <x v="0"/>
  </r>
  <r>
    <x v="489"/>
    <x v="0"/>
    <n v="36"/>
    <x v="0"/>
    <x v="3"/>
    <x v="18"/>
    <s v="High School"/>
    <s v="Divorced"/>
    <n v="55368"/>
    <n v="2"/>
    <n v="1"/>
    <x v="1"/>
    <x v="3"/>
    <s v="Yes"/>
    <s v="Travel_Rarely"/>
    <n v="3"/>
    <n v="4"/>
    <s v="No"/>
    <x v="0"/>
    <x v="2"/>
  </r>
  <r>
    <x v="490"/>
    <x v="0"/>
    <n v="41"/>
    <x v="1"/>
    <x v="4"/>
    <x v="15"/>
    <s v="Master's"/>
    <s v="Single"/>
    <n v="81869"/>
    <n v="23"/>
    <n v="12"/>
    <x v="1"/>
    <x v="3"/>
    <s v="No"/>
    <s v="Travel_Rarely"/>
    <n v="3"/>
    <n v="6"/>
    <s v="No"/>
    <x v="0"/>
    <x v="1"/>
  </r>
  <r>
    <x v="491"/>
    <x v="1"/>
    <n v="33"/>
    <x v="1"/>
    <x v="1"/>
    <x v="3"/>
    <s v="Bachelor's"/>
    <s v="Married"/>
    <n v="97071"/>
    <n v="11"/>
    <n v="7"/>
    <x v="0"/>
    <x v="2"/>
    <s v="Yes"/>
    <s v="Travel_Rarely"/>
    <n v="3"/>
    <n v="2"/>
    <s v="No"/>
    <x v="0"/>
    <x v="1"/>
  </r>
  <r>
    <x v="492"/>
    <x v="0"/>
    <n v="39"/>
    <x v="1"/>
    <x v="4"/>
    <x v="15"/>
    <s v="PhD"/>
    <s v="Married"/>
    <n v="108322"/>
    <n v="20"/>
    <n v="10"/>
    <x v="0"/>
    <x v="3"/>
    <s v="No"/>
    <s v="Travel_Rarely"/>
    <n v="3"/>
    <n v="2"/>
    <s v="No"/>
    <x v="0"/>
    <x v="1"/>
  </r>
  <r>
    <x v="493"/>
    <x v="0"/>
    <n v="37"/>
    <x v="0"/>
    <x v="0"/>
    <x v="0"/>
    <s v="Bachelor's"/>
    <s v="Single"/>
    <n v="65752"/>
    <n v="3"/>
    <n v="1"/>
    <x v="1"/>
    <x v="0"/>
    <s v="No"/>
    <s v="Travel_Rarely"/>
    <n v="2"/>
    <n v="0"/>
    <s v="Yes"/>
    <x v="0"/>
    <x v="3"/>
  </r>
  <r>
    <x v="494"/>
    <x v="0"/>
    <n v="40"/>
    <x v="0"/>
    <x v="2"/>
    <x v="4"/>
    <s v="Bachelor's"/>
    <s v="Married"/>
    <n v="30246"/>
    <n v="8"/>
    <n v="3"/>
    <x v="1"/>
    <x v="1"/>
    <s v="No"/>
    <s v="Travel_Rarely"/>
    <n v="3"/>
    <n v="2"/>
    <s v="No"/>
    <x v="0"/>
    <x v="0"/>
  </r>
  <r>
    <x v="495"/>
    <x v="0"/>
    <n v="35"/>
    <x v="1"/>
    <x v="4"/>
    <x v="15"/>
    <s v="High School"/>
    <s v="Married"/>
    <n v="51791"/>
    <n v="2"/>
    <n v="0"/>
    <x v="1"/>
    <x v="1"/>
    <s v="No"/>
    <s v="Travel_Frequently"/>
    <n v="3"/>
    <n v="4"/>
    <s v="No"/>
    <x v="0"/>
    <x v="2"/>
  </r>
  <r>
    <x v="496"/>
    <x v="1"/>
    <n v="31"/>
    <x v="1"/>
    <x v="2"/>
    <x v="17"/>
    <s v="Bachelor's"/>
    <s v="Single"/>
    <n v="38313"/>
    <n v="13"/>
    <n v="8"/>
    <x v="0"/>
    <x v="2"/>
    <s v="No"/>
    <s v="Travel_Rarely"/>
    <n v="3"/>
    <n v="1"/>
    <s v="No"/>
    <x v="0"/>
    <x v="1"/>
  </r>
  <r>
    <x v="497"/>
    <x v="0"/>
    <n v="37"/>
    <x v="0"/>
    <x v="0"/>
    <x v="2"/>
    <s v="Master's"/>
    <s v="Married"/>
    <n v="76419"/>
    <n v="2"/>
    <n v="0"/>
    <x v="0"/>
    <x v="1"/>
    <s v="No"/>
    <s v="Travel_Rarely"/>
    <n v="3"/>
    <n v="2"/>
    <s v="No"/>
    <x v="0"/>
    <x v="2"/>
  </r>
  <r>
    <x v="498"/>
    <x v="0"/>
    <n v="40"/>
    <x v="0"/>
    <x v="0"/>
    <x v="0"/>
    <s v="Bachelor's"/>
    <s v="Married"/>
    <n v="99738"/>
    <n v="2"/>
    <n v="0"/>
    <x v="0"/>
    <x v="0"/>
    <s v="Yes"/>
    <s v="Travel_Frequently"/>
    <n v="3"/>
    <n v="5"/>
    <s v="No"/>
    <x v="0"/>
    <x v="2"/>
  </r>
  <r>
    <x v="499"/>
    <x v="1"/>
    <n v="32"/>
    <x v="1"/>
    <x v="5"/>
    <x v="14"/>
    <s v="Bachelor's"/>
    <s v="Married"/>
    <n v="72403"/>
    <n v="8"/>
    <n v="2"/>
    <x v="1"/>
    <x v="2"/>
    <s v="Yes"/>
    <s v="Travel_Frequently"/>
    <n v="3"/>
    <n v="3"/>
    <s v="Yes"/>
    <x v="0"/>
    <x v="0"/>
  </r>
  <r>
    <x v="500"/>
    <x v="3"/>
    <n v="21"/>
    <x v="0"/>
    <x v="4"/>
    <x v="6"/>
    <s v="Master's"/>
    <s v="Single"/>
    <n v="52970"/>
    <n v="1"/>
    <n v="1"/>
    <x v="2"/>
    <x v="1"/>
    <s v="No"/>
    <s v="Travel_Rarely"/>
    <n v="3"/>
    <n v="2"/>
    <s v="No"/>
    <x v="0"/>
    <x v="2"/>
  </r>
  <r>
    <x v="501"/>
    <x v="0"/>
    <n v="38"/>
    <x v="0"/>
    <x v="1"/>
    <x v="7"/>
    <s v="PhD"/>
    <s v="Married"/>
    <n v="77811"/>
    <n v="2"/>
    <n v="0"/>
    <x v="2"/>
    <x v="0"/>
    <s v="No"/>
    <s v="Travel_Rarely"/>
    <n v="3"/>
    <n v="6"/>
    <s v="No"/>
    <x v="1"/>
    <x v="2"/>
  </r>
  <r>
    <x v="502"/>
    <x v="0"/>
    <n v="39"/>
    <x v="1"/>
    <x v="1"/>
    <x v="1"/>
    <s v="Bachelor's"/>
    <s v="Married"/>
    <n v="28792"/>
    <n v="8"/>
    <n v="5"/>
    <x v="1"/>
    <x v="3"/>
    <s v="No"/>
    <s v="Travel_Rarely"/>
    <n v="3"/>
    <n v="0"/>
    <s v="No"/>
    <x v="0"/>
    <x v="0"/>
  </r>
  <r>
    <x v="503"/>
    <x v="4"/>
    <n v="55"/>
    <x v="0"/>
    <x v="3"/>
    <x v="16"/>
    <s v="Master's"/>
    <s v="Single"/>
    <n v="52724"/>
    <n v="10"/>
    <n v="3"/>
    <x v="0"/>
    <x v="3"/>
    <s v="No"/>
    <s v="Travel_Rarely"/>
    <n v="2"/>
    <n v="2"/>
    <s v="Yes"/>
    <x v="0"/>
    <x v="0"/>
  </r>
  <r>
    <x v="504"/>
    <x v="0"/>
    <n v="38"/>
    <x v="0"/>
    <x v="4"/>
    <x v="10"/>
    <s v="High School"/>
    <s v="Divorced"/>
    <n v="78449"/>
    <n v="2"/>
    <n v="0"/>
    <x v="3"/>
    <x v="3"/>
    <s v="No"/>
    <s v="Travel_Rarely"/>
    <n v="3"/>
    <n v="6"/>
    <s v="No"/>
    <x v="0"/>
    <x v="2"/>
  </r>
  <r>
    <x v="505"/>
    <x v="0"/>
    <n v="35"/>
    <x v="0"/>
    <x v="5"/>
    <x v="12"/>
    <s v="Bachelor's"/>
    <s v="Married"/>
    <n v="79588"/>
    <n v="5"/>
    <n v="1"/>
    <x v="1"/>
    <x v="1"/>
    <s v="No"/>
    <s v="Travel_Rarely"/>
    <n v="3"/>
    <n v="0"/>
    <s v="Yes"/>
    <x v="0"/>
    <x v="3"/>
  </r>
  <r>
    <x v="506"/>
    <x v="0"/>
    <n v="39"/>
    <x v="1"/>
    <x v="3"/>
    <x v="5"/>
    <s v="Master's"/>
    <s v="Divorced"/>
    <n v="60815"/>
    <n v="5"/>
    <n v="0"/>
    <x v="1"/>
    <x v="0"/>
    <s v="Yes"/>
    <s v="Travel_Frequently"/>
    <n v="3"/>
    <n v="2"/>
    <s v="Yes"/>
    <x v="0"/>
    <x v="3"/>
  </r>
  <r>
    <x v="507"/>
    <x v="1"/>
    <n v="27"/>
    <x v="0"/>
    <x v="4"/>
    <x v="15"/>
    <s v="PhD"/>
    <s v="Single"/>
    <n v="92618"/>
    <n v="2"/>
    <n v="2"/>
    <x v="1"/>
    <x v="1"/>
    <s v="No"/>
    <s v="Travel_Frequently"/>
    <n v="3"/>
    <n v="3"/>
    <s v="No"/>
    <x v="0"/>
    <x v="2"/>
  </r>
  <r>
    <x v="508"/>
    <x v="0"/>
    <n v="41"/>
    <x v="0"/>
    <x v="1"/>
    <x v="1"/>
    <s v="Bachelor's"/>
    <s v="Single"/>
    <n v="65876"/>
    <n v="10"/>
    <n v="6"/>
    <x v="2"/>
    <x v="1"/>
    <s v="No"/>
    <s v="Non-Travel"/>
    <n v="3"/>
    <n v="1"/>
    <s v="No"/>
    <x v="0"/>
    <x v="0"/>
  </r>
  <r>
    <x v="509"/>
    <x v="0"/>
    <n v="40"/>
    <x v="0"/>
    <x v="4"/>
    <x v="6"/>
    <s v="Master's"/>
    <s v="Single"/>
    <n v="77691"/>
    <n v="17"/>
    <n v="4"/>
    <x v="1"/>
    <x v="0"/>
    <s v="No"/>
    <s v="Travel_Frequently"/>
    <n v="3"/>
    <n v="1"/>
    <s v="No"/>
    <x v="0"/>
    <x v="1"/>
  </r>
  <r>
    <x v="510"/>
    <x v="0"/>
    <n v="38"/>
    <x v="1"/>
    <x v="5"/>
    <x v="14"/>
    <s v="Bachelor's"/>
    <s v="Divorced"/>
    <n v="101665"/>
    <n v="7"/>
    <n v="6"/>
    <x v="0"/>
    <x v="0"/>
    <s v="No"/>
    <s v="Non-Travel"/>
    <n v="3"/>
    <n v="0"/>
    <s v="No"/>
    <x v="0"/>
    <x v="0"/>
  </r>
  <r>
    <x v="511"/>
    <x v="1"/>
    <n v="30"/>
    <x v="1"/>
    <x v="1"/>
    <x v="3"/>
    <s v="Master's"/>
    <s v="Married"/>
    <n v="54567"/>
    <n v="7"/>
    <n v="7"/>
    <x v="1"/>
    <x v="1"/>
    <s v="No"/>
    <s v="Travel_Rarely"/>
    <n v="2"/>
    <n v="5"/>
    <s v="No"/>
    <x v="0"/>
    <x v="0"/>
  </r>
  <r>
    <x v="512"/>
    <x v="1"/>
    <n v="31"/>
    <x v="1"/>
    <x v="0"/>
    <x v="2"/>
    <s v="PhD"/>
    <s v="Married"/>
    <n v="74265"/>
    <n v="10"/>
    <n v="0"/>
    <x v="1"/>
    <x v="0"/>
    <s v="No"/>
    <s v="Travel_Rarely"/>
    <n v="3"/>
    <n v="4"/>
    <s v="No"/>
    <x v="0"/>
    <x v="0"/>
  </r>
  <r>
    <x v="513"/>
    <x v="2"/>
    <n v="52"/>
    <x v="0"/>
    <x v="0"/>
    <x v="0"/>
    <s v="Bachelor's"/>
    <s v="Single"/>
    <n v="48716"/>
    <n v="20"/>
    <n v="4"/>
    <x v="1"/>
    <x v="2"/>
    <s v="Yes"/>
    <s v="Travel_Frequently"/>
    <n v="2"/>
    <n v="4"/>
    <s v="No"/>
    <x v="1"/>
    <x v="1"/>
  </r>
  <r>
    <x v="514"/>
    <x v="2"/>
    <n v="49"/>
    <x v="0"/>
    <x v="0"/>
    <x v="2"/>
    <s v="Master's"/>
    <s v="Single"/>
    <n v="60749"/>
    <n v="21"/>
    <n v="5"/>
    <x v="1"/>
    <x v="0"/>
    <s v="No"/>
    <s v="Travel_Rarely"/>
    <n v="4"/>
    <n v="3"/>
    <s v="No"/>
    <x v="0"/>
    <x v="1"/>
  </r>
  <r>
    <x v="515"/>
    <x v="1"/>
    <n v="34"/>
    <x v="0"/>
    <x v="0"/>
    <x v="0"/>
    <s v="Master's"/>
    <s v="Single"/>
    <n v="72126"/>
    <n v="4"/>
    <n v="2"/>
    <x v="0"/>
    <x v="3"/>
    <s v="Yes"/>
    <s v="Non-Travel"/>
    <n v="4"/>
    <n v="1"/>
    <s v="No"/>
    <x v="0"/>
    <x v="3"/>
  </r>
  <r>
    <x v="516"/>
    <x v="1"/>
    <n v="25"/>
    <x v="0"/>
    <x v="2"/>
    <x v="13"/>
    <s v="High School"/>
    <s v="Married"/>
    <n v="44385"/>
    <n v="4"/>
    <n v="0"/>
    <x v="1"/>
    <x v="0"/>
    <s v="Yes"/>
    <s v="Travel_Frequently"/>
    <n v="3"/>
    <n v="0"/>
    <s v="No"/>
    <x v="0"/>
    <x v="3"/>
  </r>
  <r>
    <x v="517"/>
    <x v="2"/>
    <n v="54"/>
    <x v="0"/>
    <x v="0"/>
    <x v="2"/>
    <s v="Master's"/>
    <s v="Married"/>
    <n v="108403"/>
    <n v="13"/>
    <n v="6"/>
    <x v="2"/>
    <x v="2"/>
    <s v="No"/>
    <s v="Travel_Rarely"/>
    <n v="3"/>
    <n v="4"/>
    <s v="No"/>
    <x v="0"/>
    <x v="1"/>
  </r>
  <r>
    <x v="518"/>
    <x v="3"/>
    <n v="21"/>
    <x v="1"/>
    <x v="1"/>
    <x v="7"/>
    <s v="Bachelor's"/>
    <s v="Married"/>
    <n v="57319"/>
    <n v="3"/>
    <n v="0"/>
    <x v="2"/>
    <x v="1"/>
    <s v="Yes"/>
    <s v="Travel_Rarely"/>
    <n v="3"/>
    <n v="0"/>
    <s v="No"/>
    <x v="0"/>
    <x v="3"/>
  </r>
  <r>
    <x v="519"/>
    <x v="1"/>
    <n v="30"/>
    <x v="0"/>
    <x v="4"/>
    <x v="15"/>
    <s v="Bachelor's"/>
    <s v="Single"/>
    <n v="54823"/>
    <n v="7"/>
    <n v="3"/>
    <x v="2"/>
    <x v="2"/>
    <s v="Yes"/>
    <s v="Travel_Rarely"/>
    <n v="3"/>
    <n v="3"/>
    <s v="No"/>
    <x v="0"/>
    <x v="0"/>
  </r>
  <r>
    <x v="520"/>
    <x v="1"/>
    <n v="33"/>
    <x v="0"/>
    <x v="0"/>
    <x v="2"/>
    <s v="Master's"/>
    <s v="Divorced"/>
    <n v="41580"/>
    <n v="14"/>
    <n v="11"/>
    <x v="3"/>
    <x v="0"/>
    <s v="No"/>
    <s v="Travel_Frequently"/>
    <n v="2"/>
    <n v="4"/>
    <s v="No"/>
    <x v="0"/>
    <x v="1"/>
  </r>
  <r>
    <x v="521"/>
    <x v="1"/>
    <n v="34"/>
    <x v="1"/>
    <x v="1"/>
    <x v="3"/>
    <s v="Bachelor's"/>
    <s v="Single"/>
    <n v="62621"/>
    <n v="6"/>
    <n v="6"/>
    <x v="2"/>
    <x v="2"/>
    <s v="No"/>
    <s v="Travel_Rarely"/>
    <n v="4"/>
    <n v="6"/>
    <s v="No"/>
    <x v="0"/>
    <x v="0"/>
  </r>
  <r>
    <x v="522"/>
    <x v="3"/>
    <n v="23"/>
    <x v="1"/>
    <x v="4"/>
    <x v="15"/>
    <s v="Bachelor's"/>
    <s v="Divorced"/>
    <n v="126698"/>
    <n v="1"/>
    <n v="0"/>
    <x v="0"/>
    <x v="3"/>
    <s v="Yes"/>
    <s v="Travel_Rarely"/>
    <n v="4"/>
    <n v="4"/>
    <s v="No"/>
    <x v="0"/>
    <x v="2"/>
  </r>
  <r>
    <x v="523"/>
    <x v="1"/>
    <n v="28"/>
    <x v="1"/>
    <x v="4"/>
    <x v="6"/>
    <s v="Bachelor's"/>
    <s v="Married"/>
    <n v="37197"/>
    <n v="5"/>
    <n v="2"/>
    <x v="0"/>
    <x v="2"/>
    <s v="No"/>
    <s v="Travel_Frequently"/>
    <n v="3"/>
    <n v="6"/>
    <s v="No"/>
    <x v="0"/>
    <x v="3"/>
  </r>
  <r>
    <x v="524"/>
    <x v="2"/>
    <n v="45"/>
    <x v="1"/>
    <x v="3"/>
    <x v="18"/>
    <s v="High School"/>
    <s v="Married"/>
    <n v="81561"/>
    <n v="4"/>
    <n v="3"/>
    <x v="3"/>
    <x v="0"/>
    <s v="No"/>
    <s v="Travel_Rarely"/>
    <n v="3"/>
    <n v="2"/>
    <s v="No"/>
    <x v="0"/>
    <x v="3"/>
  </r>
  <r>
    <x v="525"/>
    <x v="0"/>
    <n v="36"/>
    <x v="1"/>
    <x v="2"/>
    <x v="13"/>
    <s v="Master's"/>
    <s v="Married"/>
    <n v="89939"/>
    <n v="13"/>
    <n v="8"/>
    <x v="2"/>
    <x v="0"/>
    <s v="Yes"/>
    <s v="Travel_Rarely"/>
    <n v="3"/>
    <n v="4"/>
    <s v="Yes"/>
    <x v="0"/>
    <x v="1"/>
  </r>
  <r>
    <x v="526"/>
    <x v="0"/>
    <n v="37"/>
    <x v="1"/>
    <x v="3"/>
    <x v="18"/>
    <s v="Master's"/>
    <s v="Single"/>
    <n v="88083"/>
    <n v="6"/>
    <n v="2"/>
    <x v="1"/>
    <x v="3"/>
    <s v="No"/>
    <s v="Travel_Rarely"/>
    <n v="2"/>
    <n v="3"/>
    <s v="No"/>
    <x v="0"/>
    <x v="0"/>
  </r>
  <r>
    <x v="527"/>
    <x v="0"/>
    <n v="44"/>
    <x v="1"/>
    <x v="5"/>
    <x v="14"/>
    <s v="PhD"/>
    <s v="Married"/>
    <n v="42494"/>
    <n v="10"/>
    <n v="9"/>
    <x v="3"/>
    <x v="0"/>
    <s v="Yes"/>
    <s v="Travel_Rarely"/>
    <n v="3"/>
    <n v="4"/>
    <s v="No"/>
    <x v="0"/>
    <x v="0"/>
  </r>
  <r>
    <x v="528"/>
    <x v="1"/>
    <n v="33"/>
    <x v="0"/>
    <x v="2"/>
    <x v="17"/>
    <s v="Bachelor's"/>
    <s v="Married"/>
    <n v="35693"/>
    <n v="4"/>
    <n v="1"/>
    <x v="0"/>
    <x v="3"/>
    <s v="Yes"/>
    <s v="Travel_Rarely"/>
    <n v="3"/>
    <n v="3"/>
    <s v="Yes"/>
    <x v="0"/>
    <x v="3"/>
  </r>
  <r>
    <x v="529"/>
    <x v="1"/>
    <n v="34"/>
    <x v="1"/>
    <x v="3"/>
    <x v="18"/>
    <s v="Bachelor's"/>
    <s v="Married"/>
    <n v="49017"/>
    <n v="6"/>
    <n v="3"/>
    <x v="3"/>
    <x v="0"/>
    <s v="No"/>
    <s v="Travel_Frequently"/>
    <n v="2"/>
    <n v="2"/>
    <s v="No"/>
    <x v="0"/>
    <x v="0"/>
  </r>
  <r>
    <x v="530"/>
    <x v="1"/>
    <n v="33"/>
    <x v="1"/>
    <x v="3"/>
    <x v="9"/>
    <s v="Bachelor's"/>
    <s v="Married"/>
    <n v="31935"/>
    <n v="3"/>
    <n v="0"/>
    <x v="1"/>
    <x v="0"/>
    <s v="No"/>
    <s v="Travel_Rarely"/>
    <n v="3"/>
    <n v="1"/>
    <s v="No"/>
    <x v="1"/>
    <x v="3"/>
  </r>
  <r>
    <x v="531"/>
    <x v="3"/>
    <n v="23"/>
    <x v="0"/>
    <x v="0"/>
    <x v="0"/>
    <s v="Bachelor's"/>
    <s v="Single"/>
    <n v="74271"/>
    <n v="2"/>
    <n v="1"/>
    <x v="1"/>
    <x v="3"/>
    <s v="No"/>
    <s v="Non-Travel"/>
    <n v="3"/>
    <n v="6"/>
    <s v="No"/>
    <x v="0"/>
    <x v="2"/>
  </r>
  <r>
    <x v="532"/>
    <x v="0"/>
    <n v="37"/>
    <x v="0"/>
    <x v="3"/>
    <x v="9"/>
    <s v="Bachelor's"/>
    <s v="Married"/>
    <n v="81668"/>
    <n v="10"/>
    <n v="4"/>
    <x v="1"/>
    <x v="2"/>
    <s v="No"/>
    <s v="Travel_Rarely"/>
    <n v="3"/>
    <n v="4"/>
    <s v="No"/>
    <x v="0"/>
    <x v="0"/>
  </r>
  <r>
    <x v="533"/>
    <x v="1"/>
    <n v="30"/>
    <x v="1"/>
    <x v="5"/>
    <x v="8"/>
    <s v="Bachelor's"/>
    <s v="Divorced"/>
    <n v="57215"/>
    <n v="3"/>
    <n v="1"/>
    <x v="0"/>
    <x v="3"/>
    <s v="No"/>
    <s v="Travel_Frequently"/>
    <n v="3"/>
    <n v="5"/>
    <s v="Yes"/>
    <x v="0"/>
    <x v="3"/>
  </r>
  <r>
    <x v="534"/>
    <x v="1"/>
    <n v="33"/>
    <x v="1"/>
    <x v="3"/>
    <x v="9"/>
    <s v="Master's"/>
    <s v="Married"/>
    <n v="64506"/>
    <n v="7"/>
    <n v="5"/>
    <x v="1"/>
    <x v="0"/>
    <s v="Yes"/>
    <s v="Travel_Rarely"/>
    <n v="2"/>
    <n v="1"/>
    <s v="Yes"/>
    <x v="0"/>
    <x v="0"/>
  </r>
  <r>
    <x v="535"/>
    <x v="1"/>
    <n v="27"/>
    <x v="0"/>
    <x v="1"/>
    <x v="1"/>
    <s v="Bachelor's"/>
    <s v="Married"/>
    <n v="67605"/>
    <n v="8"/>
    <n v="4"/>
    <x v="3"/>
    <x v="0"/>
    <s v="No"/>
    <s v="Travel_Rarely"/>
    <n v="4"/>
    <n v="4"/>
    <s v="No"/>
    <x v="0"/>
    <x v="0"/>
  </r>
  <r>
    <x v="536"/>
    <x v="1"/>
    <n v="30"/>
    <x v="1"/>
    <x v="2"/>
    <x v="13"/>
    <s v="Bachelor's"/>
    <s v="Single"/>
    <n v="61321"/>
    <n v="10"/>
    <n v="4"/>
    <x v="1"/>
    <x v="1"/>
    <s v="Yes"/>
    <s v="Travel_Rarely"/>
    <n v="3"/>
    <n v="6"/>
    <s v="No"/>
    <x v="0"/>
    <x v="0"/>
  </r>
  <r>
    <x v="537"/>
    <x v="2"/>
    <n v="45"/>
    <x v="1"/>
    <x v="0"/>
    <x v="0"/>
    <s v="PhD"/>
    <s v="Married"/>
    <n v="59135"/>
    <n v="20"/>
    <n v="3"/>
    <x v="3"/>
    <x v="0"/>
    <s v="No"/>
    <s v="Travel_Rarely"/>
    <n v="3"/>
    <n v="6"/>
    <s v="No"/>
    <x v="0"/>
    <x v="1"/>
  </r>
  <r>
    <x v="538"/>
    <x v="1"/>
    <n v="31"/>
    <x v="1"/>
    <x v="5"/>
    <x v="12"/>
    <s v="High School"/>
    <s v="Married"/>
    <n v="64041"/>
    <n v="13"/>
    <n v="4"/>
    <x v="0"/>
    <x v="1"/>
    <s v="Yes"/>
    <s v="Travel_Rarely"/>
    <n v="3"/>
    <n v="4"/>
    <s v="No"/>
    <x v="0"/>
    <x v="1"/>
  </r>
  <r>
    <x v="539"/>
    <x v="1"/>
    <n v="33"/>
    <x v="1"/>
    <x v="5"/>
    <x v="12"/>
    <s v="Bachelor's"/>
    <s v="Single"/>
    <n v="22000"/>
    <n v="5"/>
    <n v="1"/>
    <x v="3"/>
    <x v="3"/>
    <s v="No"/>
    <s v="Non-Travel"/>
    <n v="3"/>
    <n v="5"/>
    <s v="Yes"/>
    <x v="0"/>
    <x v="3"/>
  </r>
  <r>
    <x v="540"/>
    <x v="1"/>
    <n v="30"/>
    <x v="0"/>
    <x v="0"/>
    <x v="0"/>
    <s v="High School"/>
    <s v="Single"/>
    <n v="53067"/>
    <n v="8"/>
    <n v="7"/>
    <x v="1"/>
    <x v="1"/>
    <s v="Yes"/>
    <s v="Travel_Rarely"/>
    <n v="3"/>
    <n v="5"/>
    <s v="No"/>
    <x v="0"/>
    <x v="0"/>
  </r>
  <r>
    <x v="541"/>
    <x v="3"/>
    <n v="24"/>
    <x v="0"/>
    <x v="2"/>
    <x v="17"/>
    <s v="Master's"/>
    <s v="Married"/>
    <n v="51223"/>
    <n v="5"/>
    <n v="1"/>
    <x v="1"/>
    <x v="0"/>
    <s v="No"/>
    <s v="Non-Travel"/>
    <n v="3"/>
    <n v="0"/>
    <s v="Yes"/>
    <x v="0"/>
    <x v="3"/>
  </r>
  <r>
    <x v="542"/>
    <x v="1"/>
    <n v="28"/>
    <x v="1"/>
    <x v="4"/>
    <x v="6"/>
    <s v="Bachelor's"/>
    <s v="Divorced"/>
    <n v="54657"/>
    <n v="1"/>
    <n v="0"/>
    <x v="3"/>
    <x v="0"/>
    <s v="No"/>
    <s v="Travel_Rarely"/>
    <n v="3"/>
    <n v="2"/>
    <s v="No"/>
    <x v="0"/>
    <x v="2"/>
  </r>
  <r>
    <x v="543"/>
    <x v="0"/>
    <n v="35"/>
    <x v="0"/>
    <x v="1"/>
    <x v="7"/>
    <s v="Bachelor's"/>
    <s v="Married"/>
    <n v="103636"/>
    <n v="2"/>
    <n v="2"/>
    <x v="2"/>
    <x v="3"/>
    <s v="No"/>
    <s v="Travel_Rarely"/>
    <n v="3"/>
    <n v="4"/>
    <s v="No"/>
    <x v="0"/>
    <x v="2"/>
  </r>
  <r>
    <x v="544"/>
    <x v="1"/>
    <n v="34"/>
    <x v="0"/>
    <x v="0"/>
    <x v="2"/>
    <s v="Bachelor's"/>
    <s v="Married"/>
    <n v="36253"/>
    <n v="2"/>
    <n v="1"/>
    <x v="3"/>
    <x v="0"/>
    <s v="Yes"/>
    <s v="Travel_Frequently"/>
    <n v="4"/>
    <n v="5"/>
    <s v="Yes"/>
    <x v="0"/>
    <x v="2"/>
  </r>
  <r>
    <x v="545"/>
    <x v="1"/>
    <n v="27"/>
    <x v="0"/>
    <x v="3"/>
    <x v="5"/>
    <s v="Master's"/>
    <s v="Single"/>
    <n v="43498"/>
    <n v="8"/>
    <n v="0"/>
    <x v="3"/>
    <x v="0"/>
    <s v="No"/>
    <s v="Travel_Rarely"/>
    <n v="3"/>
    <n v="5"/>
    <s v="No"/>
    <x v="1"/>
    <x v="0"/>
  </r>
  <r>
    <x v="546"/>
    <x v="0"/>
    <n v="39"/>
    <x v="1"/>
    <x v="1"/>
    <x v="3"/>
    <s v="Bachelor's"/>
    <s v="Divorced"/>
    <n v="39267"/>
    <n v="0"/>
    <n v="0"/>
    <x v="3"/>
    <x v="0"/>
    <s v="No"/>
    <s v="Travel_Rarely"/>
    <n v="3"/>
    <n v="1"/>
    <s v="No"/>
    <x v="0"/>
    <x v="4"/>
  </r>
  <r>
    <x v="547"/>
    <x v="3"/>
    <n v="21"/>
    <x v="0"/>
    <x v="0"/>
    <x v="0"/>
    <s v="Master's"/>
    <s v="Married"/>
    <n v="44032"/>
    <n v="1"/>
    <n v="1"/>
    <x v="0"/>
    <x v="0"/>
    <s v="No"/>
    <s v="Travel_Rarely"/>
    <n v="2"/>
    <n v="2"/>
    <s v="Yes"/>
    <x v="0"/>
    <x v="2"/>
  </r>
  <r>
    <x v="548"/>
    <x v="1"/>
    <n v="34"/>
    <x v="0"/>
    <x v="1"/>
    <x v="3"/>
    <s v="PhD"/>
    <s v="Divorced"/>
    <n v="121135"/>
    <n v="13"/>
    <n v="7"/>
    <x v="2"/>
    <x v="0"/>
    <s v="No"/>
    <s v="Travel_Rarely"/>
    <n v="2"/>
    <n v="5"/>
    <s v="No"/>
    <x v="0"/>
    <x v="1"/>
  </r>
  <r>
    <x v="549"/>
    <x v="1"/>
    <n v="32"/>
    <x v="0"/>
    <x v="2"/>
    <x v="4"/>
    <s v="PhD"/>
    <s v="Single"/>
    <n v="54980"/>
    <n v="2"/>
    <n v="2"/>
    <x v="0"/>
    <x v="0"/>
    <s v="No"/>
    <s v="Travel_Frequently"/>
    <n v="4"/>
    <n v="5"/>
    <s v="No"/>
    <x v="0"/>
    <x v="2"/>
  </r>
  <r>
    <x v="550"/>
    <x v="0"/>
    <n v="42"/>
    <x v="1"/>
    <x v="4"/>
    <x v="15"/>
    <s v="Bachelor's"/>
    <s v="Married"/>
    <n v="34710"/>
    <n v="1"/>
    <n v="0"/>
    <x v="3"/>
    <x v="3"/>
    <s v="No"/>
    <s v="Travel_Frequently"/>
    <n v="3"/>
    <n v="0"/>
    <s v="Yes"/>
    <x v="0"/>
    <x v="2"/>
  </r>
  <r>
    <x v="551"/>
    <x v="3"/>
    <n v="21"/>
    <x v="0"/>
    <x v="0"/>
    <x v="2"/>
    <s v="Bachelor's"/>
    <s v="Single"/>
    <n v="42202"/>
    <n v="1"/>
    <n v="1"/>
    <x v="1"/>
    <x v="0"/>
    <s v="No"/>
    <s v="Travel_Rarely"/>
    <n v="3"/>
    <n v="1"/>
    <s v="No"/>
    <x v="0"/>
    <x v="2"/>
  </r>
  <r>
    <x v="552"/>
    <x v="2"/>
    <n v="51"/>
    <x v="1"/>
    <x v="4"/>
    <x v="6"/>
    <s v="Master's"/>
    <s v="Married"/>
    <n v="71205"/>
    <n v="10"/>
    <n v="8"/>
    <x v="1"/>
    <x v="3"/>
    <s v="No"/>
    <s v="Travel_Rarely"/>
    <n v="3"/>
    <n v="3"/>
    <s v="No"/>
    <x v="0"/>
    <x v="0"/>
  </r>
  <r>
    <x v="553"/>
    <x v="0"/>
    <n v="42"/>
    <x v="0"/>
    <x v="2"/>
    <x v="17"/>
    <s v="Master's"/>
    <s v="Married"/>
    <n v="77686"/>
    <n v="5"/>
    <n v="5"/>
    <x v="1"/>
    <x v="3"/>
    <s v="No"/>
    <s v="Travel_Frequently"/>
    <n v="3"/>
    <n v="4"/>
    <s v="No"/>
    <x v="0"/>
    <x v="3"/>
  </r>
  <r>
    <x v="554"/>
    <x v="0"/>
    <n v="43"/>
    <x v="0"/>
    <x v="0"/>
    <x v="2"/>
    <s v="PhD"/>
    <s v="Single"/>
    <n v="42095"/>
    <n v="23"/>
    <n v="9"/>
    <x v="1"/>
    <x v="1"/>
    <s v="No"/>
    <s v="Travel_Frequently"/>
    <n v="3"/>
    <n v="6"/>
    <s v="No"/>
    <x v="0"/>
    <x v="1"/>
  </r>
  <r>
    <x v="555"/>
    <x v="1"/>
    <n v="30"/>
    <x v="1"/>
    <x v="1"/>
    <x v="7"/>
    <s v="PhD"/>
    <s v="Divorced"/>
    <n v="80669"/>
    <n v="11"/>
    <n v="1"/>
    <x v="1"/>
    <x v="0"/>
    <s v="No"/>
    <s v="Travel_Rarely"/>
    <n v="4"/>
    <n v="0"/>
    <s v="Yes"/>
    <x v="0"/>
    <x v="1"/>
  </r>
  <r>
    <x v="556"/>
    <x v="3"/>
    <n v="23"/>
    <x v="1"/>
    <x v="1"/>
    <x v="7"/>
    <s v="PhD"/>
    <s v="Single"/>
    <n v="64908"/>
    <n v="3"/>
    <n v="2"/>
    <x v="0"/>
    <x v="3"/>
    <s v="No"/>
    <s v="Travel_Rarely"/>
    <n v="2"/>
    <n v="4"/>
    <s v="No"/>
    <x v="1"/>
    <x v="3"/>
  </r>
  <r>
    <x v="557"/>
    <x v="0"/>
    <n v="43"/>
    <x v="0"/>
    <x v="0"/>
    <x v="11"/>
    <s v="Master's"/>
    <s v="Married"/>
    <n v="48655"/>
    <n v="21"/>
    <n v="6"/>
    <x v="0"/>
    <x v="1"/>
    <s v="No"/>
    <s v="Travel_Rarely"/>
    <n v="3"/>
    <n v="1"/>
    <s v="Yes"/>
    <x v="0"/>
    <x v="1"/>
  </r>
  <r>
    <x v="558"/>
    <x v="0"/>
    <n v="35"/>
    <x v="0"/>
    <x v="5"/>
    <x v="12"/>
    <s v="Master's"/>
    <s v="Single"/>
    <n v="114931"/>
    <n v="5"/>
    <n v="5"/>
    <x v="3"/>
    <x v="3"/>
    <s v="No"/>
    <s v="Travel_Rarely"/>
    <n v="3"/>
    <n v="6"/>
    <s v="No"/>
    <x v="0"/>
    <x v="3"/>
  </r>
  <r>
    <x v="559"/>
    <x v="3"/>
    <n v="21"/>
    <x v="0"/>
    <x v="4"/>
    <x v="15"/>
    <s v="Bachelor's"/>
    <s v="Single"/>
    <n v="48970"/>
    <n v="1"/>
    <n v="0"/>
    <x v="1"/>
    <x v="0"/>
    <s v="No"/>
    <s v="Travel_Frequently"/>
    <n v="3"/>
    <n v="1"/>
    <s v="No"/>
    <x v="0"/>
    <x v="2"/>
  </r>
  <r>
    <x v="560"/>
    <x v="0"/>
    <n v="39"/>
    <x v="0"/>
    <x v="0"/>
    <x v="11"/>
    <s v="Bachelor's"/>
    <s v="Married"/>
    <n v="55900"/>
    <n v="7"/>
    <n v="2"/>
    <x v="3"/>
    <x v="0"/>
    <s v="No"/>
    <s v="Travel_Rarely"/>
    <n v="3"/>
    <n v="1"/>
    <s v="No"/>
    <x v="0"/>
    <x v="0"/>
  </r>
  <r>
    <x v="561"/>
    <x v="3"/>
    <n v="21"/>
    <x v="1"/>
    <x v="4"/>
    <x v="15"/>
    <s v="Master's"/>
    <s v="Married"/>
    <n v="110144"/>
    <n v="1"/>
    <n v="1"/>
    <x v="3"/>
    <x v="1"/>
    <s v="No"/>
    <s v="Travel_Rarely"/>
    <n v="3"/>
    <n v="1"/>
    <s v="No"/>
    <x v="0"/>
    <x v="2"/>
  </r>
  <r>
    <x v="562"/>
    <x v="1"/>
    <n v="33"/>
    <x v="1"/>
    <x v="4"/>
    <x v="10"/>
    <s v="Bachelor's"/>
    <s v="Married"/>
    <n v="51544"/>
    <n v="3"/>
    <n v="3"/>
    <x v="1"/>
    <x v="0"/>
    <s v="No"/>
    <s v="Travel_Frequently"/>
    <n v="3"/>
    <n v="6"/>
    <s v="No"/>
    <x v="0"/>
    <x v="3"/>
  </r>
  <r>
    <x v="563"/>
    <x v="1"/>
    <n v="32"/>
    <x v="0"/>
    <x v="2"/>
    <x v="13"/>
    <s v="Master's"/>
    <s v="Married"/>
    <n v="50833"/>
    <n v="8"/>
    <n v="3"/>
    <x v="1"/>
    <x v="0"/>
    <s v="No"/>
    <s v="Travel_Frequently"/>
    <n v="3"/>
    <n v="6"/>
    <s v="Yes"/>
    <x v="0"/>
    <x v="0"/>
  </r>
  <r>
    <x v="564"/>
    <x v="0"/>
    <n v="44"/>
    <x v="0"/>
    <x v="5"/>
    <x v="14"/>
    <s v="PhD"/>
    <s v="Married"/>
    <n v="69268"/>
    <n v="5"/>
    <n v="5"/>
    <x v="0"/>
    <x v="1"/>
    <s v="No"/>
    <s v="Travel_Rarely"/>
    <n v="3"/>
    <n v="1"/>
    <s v="No"/>
    <x v="0"/>
    <x v="3"/>
  </r>
  <r>
    <x v="565"/>
    <x v="0"/>
    <n v="39"/>
    <x v="1"/>
    <x v="4"/>
    <x v="15"/>
    <s v="Master's"/>
    <s v="Single"/>
    <n v="99313"/>
    <n v="18"/>
    <n v="7"/>
    <x v="2"/>
    <x v="3"/>
    <s v="No"/>
    <s v="Travel_Rarely"/>
    <n v="3"/>
    <n v="6"/>
    <s v="No"/>
    <x v="0"/>
    <x v="1"/>
  </r>
  <r>
    <x v="566"/>
    <x v="0"/>
    <n v="37"/>
    <x v="1"/>
    <x v="1"/>
    <x v="7"/>
    <s v="Master's"/>
    <s v="Single"/>
    <n v="69487"/>
    <n v="13"/>
    <n v="0"/>
    <x v="3"/>
    <x v="1"/>
    <s v="Yes"/>
    <s v="Travel_Rarely"/>
    <n v="4"/>
    <n v="6"/>
    <s v="Yes"/>
    <x v="0"/>
    <x v="1"/>
  </r>
  <r>
    <x v="567"/>
    <x v="0"/>
    <n v="37"/>
    <x v="1"/>
    <x v="1"/>
    <x v="1"/>
    <s v="Master's"/>
    <s v="Married"/>
    <n v="43510"/>
    <n v="3"/>
    <n v="3"/>
    <x v="0"/>
    <x v="1"/>
    <s v="No"/>
    <s v="Non-Travel"/>
    <n v="3"/>
    <n v="0"/>
    <s v="No"/>
    <x v="0"/>
    <x v="3"/>
  </r>
  <r>
    <x v="568"/>
    <x v="1"/>
    <n v="31"/>
    <x v="0"/>
    <x v="0"/>
    <x v="2"/>
    <s v="Bachelor's"/>
    <s v="Married"/>
    <n v="69257"/>
    <n v="2"/>
    <n v="1"/>
    <x v="1"/>
    <x v="0"/>
    <s v="No"/>
    <s v="Travel_Frequently"/>
    <n v="4"/>
    <n v="1"/>
    <s v="No"/>
    <x v="0"/>
    <x v="2"/>
  </r>
  <r>
    <x v="569"/>
    <x v="3"/>
    <n v="23"/>
    <x v="0"/>
    <x v="3"/>
    <x v="5"/>
    <s v="Bachelor's"/>
    <s v="Married"/>
    <n v="112072"/>
    <n v="2"/>
    <n v="0"/>
    <x v="1"/>
    <x v="1"/>
    <s v="No"/>
    <s v="Travel_Rarely"/>
    <n v="3"/>
    <n v="5"/>
    <s v="No"/>
    <x v="0"/>
    <x v="2"/>
  </r>
  <r>
    <x v="570"/>
    <x v="0"/>
    <n v="39"/>
    <x v="0"/>
    <x v="2"/>
    <x v="13"/>
    <s v="Master's"/>
    <s v="Single"/>
    <n v="56146"/>
    <n v="2"/>
    <n v="0"/>
    <x v="1"/>
    <x v="1"/>
    <s v="Yes"/>
    <s v="Travel_Frequently"/>
    <n v="3"/>
    <n v="2"/>
    <s v="Yes"/>
    <x v="0"/>
    <x v="2"/>
  </r>
  <r>
    <x v="571"/>
    <x v="2"/>
    <n v="49"/>
    <x v="0"/>
    <x v="1"/>
    <x v="1"/>
    <s v="Master's"/>
    <s v="Single"/>
    <n v="61505"/>
    <n v="25"/>
    <n v="9"/>
    <x v="3"/>
    <x v="0"/>
    <s v="Yes"/>
    <s v="Non-Travel"/>
    <n v="3"/>
    <n v="2"/>
    <s v="No"/>
    <x v="0"/>
    <x v="1"/>
  </r>
  <r>
    <x v="572"/>
    <x v="0"/>
    <n v="40"/>
    <x v="1"/>
    <x v="1"/>
    <x v="3"/>
    <s v="Bachelor's"/>
    <s v="Married"/>
    <n v="76925"/>
    <n v="7"/>
    <n v="4"/>
    <x v="0"/>
    <x v="1"/>
    <s v="No"/>
    <s v="Non-Travel"/>
    <n v="3"/>
    <n v="3"/>
    <s v="Yes"/>
    <x v="0"/>
    <x v="0"/>
  </r>
  <r>
    <x v="573"/>
    <x v="0"/>
    <n v="41"/>
    <x v="0"/>
    <x v="5"/>
    <x v="14"/>
    <s v="Master's"/>
    <s v="Single"/>
    <n v="47036"/>
    <n v="18"/>
    <n v="6"/>
    <x v="1"/>
    <x v="2"/>
    <s v="No"/>
    <s v="Travel_Rarely"/>
    <n v="3"/>
    <n v="2"/>
    <s v="Yes"/>
    <x v="0"/>
    <x v="1"/>
  </r>
  <r>
    <x v="574"/>
    <x v="0"/>
    <n v="42"/>
    <x v="0"/>
    <x v="5"/>
    <x v="12"/>
    <s v="Bachelor's"/>
    <s v="Married"/>
    <n v="62321"/>
    <n v="16"/>
    <n v="7"/>
    <x v="1"/>
    <x v="1"/>
    <s v="No"/>
    <s v="Non-Travel"/>
    <n v="4"/>
    <n v="5"/>
    <s v="No"/>
    <x v="0"/>
    <x v="1"/>
  </r>
  <r>
    <x v="575"/>
    <x v="3"/>
    <n v="21"/>
    <x v="0"/>
    <x v="0"/>
    <x v="11"/>
    <s v="Bachelor's"/>
    <s v="Single"/>
    <n v="76156"/>
    <n v="1"/>
    <n v="1"/>
    <x v="3"/>
    <x v="3"/>
    <s v="No"/>
    <s v="Travel_Rarely"/>
    <n v="3"/>
    <n v="6"/>
    <s v="Yes"/>
    <x v="0"/>
    <x v="2"/>
  </r>
  <r>
    <x v="576"/>
    <x v="1"/>
    <n v="29"/>
    <x v="1"/>
    <x v="3"/>
    <x v="18"/>
    <s v="Bachelor's"/>
    <s v="Single"/>
    <n v="62750"/>
    <n v="6"/>
    <n v="6"/>
    <x v="1"/>
    <x v="0"/>
    <s v="Yes"/>
    <s v="Travel_Rarely"/>
    <n v="3"/>
    <n v="2"/>
    <s v="No"/>
    <x v="0"/>
    <x v="0"/>
  </r>
  <r>
    <x v="577"/>
    <x v="1"/>
    <n v="25"/>
    <x v="1"/>
    <x v="3"/>
    <x v="16"/>
    <s v="Master's"/>
    <s v="Divorced"/>
    <n v="41462"/>
    <n v="2"/>
    <n v="1"/>
    <x v="1"/>
    <x v="0"/>
    <s v="No"/>
    <s v="Travel_Rarely"/>
    <n v="3"/>
    <n v="2"/>
    <s v="No"/>
    <x v="0"/>
    <x v="2"/>
  </r>
  <r>
    <x v="578"/>
    <x v="0"/>
    <n v="37"/>
    <x v="1"/>
    <x v="0"/>
    <x v="0"/>
    <s v="Master's"/>
    <s v="Single"/>
    <n v="75940"/>
    <n v="10"/>
    <n v="7"/>
    <x v="0"/>
    <x v="3"/>
    <s v="No"/>
    <s v="Travel_Rarely"/>
    <n v="4"/>
    <n v="4"/>
    <s v="No"/>
    <x v="0"/>
    <x v="0"/>
  </r>
  <r>
    <x v="579"/>
    <x v="3"/>
    <n v="24"/>
    <x v="0"/>
    <x v="1"/>
    <x v="1"/>
    <s v="Master's"/>
    <s v="Single"/>
    <n v="40807"/>
    <n v="4"/>
    <n v="4"/>
    <x v="3"/>
    <x v="2"/>
    <s v="No"/>
    <s v="Travel_Frequently"/>
    <n v="3"/>
    <n v="4"/>
    <s v="No"/>
    <x v="0"/>
    <x v="3"/>
  </r>
  <r>
    <x v="580"/>
    <x v="0"/>
    <n v="35"/>
    <x v="0"/>
    <x v="4"/>
    <x v="15"/>
    <s v="Bachelor's"/>
    <s v="Single"/>
    <n v="62855"/>
    <n v="10"/>
    <n v="2"/>
    <x v="1"/>
    <x v="0"/>
    <s v="Yes"/>
    <s v="Travel_Rarely"/>
    <n v="3"/>
    <n v="0"/>
    <s v="No"/>
    <x v="0"/>
    <x v="0"/>
  </r>
  <r>
    <x v="581"/>
    <x v="2"/>
    <n v="46"/>
    <x v="1"/>
    <x v="3"/>
    <x v="5"/>
    <s v="High School"/>
    <s v="Divorced"/>
    <n v="55943"/>
    <n v="20"/>
    <n v="0"/>
    <x v="1"/>
    <x v="1"/>
    <s v="Yes"/>
    <s v="Travel_Frequently"/>
    <n v="2"/>
    <n v="6"/>
    <s v="No"/>
    <x v="0"/>
    <x v="1"/>
  </r>
  <r>
    <x v="582"/>
    <x v="0"/>
    <n v="39"/>
    <x v="0"/>
    <x v="4"/>
    <x v="15"/>
    <s v="Bachelor's"/>
    <s v="Married"/>
    <n v="69261"/>
    <n v="14"/>
    <n v="0"/>
    <x v="1"/>
    <x v="3"/>
    <s v="No"/>
    <s v="Travel_Rarely"/>
    <n v="3"/>
    <n v="6"/>
    <s v="No"/>
    <x v="0"/>
    <x v="1"/>
  </r>
  <r>
    <x v="583"/>
    <x v="0"/>
    <n v="38"/>
    <x v="1"/>
    <x v="3"/>
    <x v="18"/>
    <s v="Master's"/>
    <s v="Married"/>
    <n v="125578"/>
    <n v="3"/>
    <n v="1"/>
    <x v="0"/>
    <x v="0"/>
    <s v="No"/>
    <s v="Travel_Frequently"/>
    <n v="2"/>
    <n v="5"/>
    <s v="No"/>
    <x v="0"/>
    <x v="3"/>
  </r>
  <r>
    <x v="584"/>
    <x v="0"/>
    <n v="41"/>
    <x v="1"/>
    <x v="4"/>
    <x v="10"/>
    <s v="High School"/>
    <s v="Single"/>
    <n v="81771"/>
    <n v="1"/>
    <n v="0"/>
    <x v="0"/>
    <x v="0"/>
    <s v="Yes"/>
    <s v="Travel_Rarely"/>
    <n v="3"/>
    <n v="4"/>
    <s v="Yes"/>
    <x v="0"/>
    <x v="2"/>
  </r>
  <r>
    <x v="585"/>
    <x v="1"/>
    <n v="31"/>
    <x v="1"/>
    <x v="0"/>
    <x v="0"/>
    <s v="PhD"/>
    <s v="Married"/>
    <n v="51831"/>
    <n v="12"/>
    <n v="7"/>
    <x v="3"/>
    <x v="0"/>
    <s v="No"/>
    <s v="Travel_Frequently"/>
    <n v="4"/>
    <n v="2"/>
    <s v="No"/>
    <x v="0"/>
    <x v="1"/>
  </r>
  <r>
    <x v="586"/>
    <x v="1"/>
    <n v="30"/>
    <x v="1"/>
    <x v="5"/>
    <x v="12"/>
    <s v="Master's"/>
    <s v="Single"/>
    <n v="75551"/>
    <n v="12"/>
    <n v="12"/>
    <x v="1"/>
    <x v="0"/>
    <s v="Yes"/>
    <s v="Travel_Rarely"/>
    <n v="3"/>
    <n v="3"/>
    <s v="No"/>
    <x v="0"/>
    <x v="1"/>
  </r>
  <r>
    <x v="587"/>
    <x v="0"/>
    <n v="36"/>
    <x v="1"/>
    <x v="5"/>
    <x v="14"/>
    <s v="Bachelor's"/>
    <s v="Divorced"/>
    <n v="84016"/>
    <n v="17"/>
    <n v="2"/>
    <x v="1"/>
    <x v="1"/>
    <s v="No"/>
    <s v="Travel_Frequently"/>
    <n v="2"/>
    <n v="1"/>
    <s v="No"/>
    <x v="1"/>
    <x v="1"/>
  </r>
  <r>
    <x v="588"/>
    <x v="1"/>
    <n v="25"/>
    <x v="1"/>
    <x v="3"/>
    <x v="9"/>
    <s v="Master's"/>
    <s v="Single"/>
    <n v="24934"/>
    <n v="4"/>
    <n v="4"/>
    <x v="1"/>
    <x v="0"/>
    <s v="No"/>
    <s v="Travel_Frequently"/>
    <n v="3"/>
    <n v="3"/>
    <s v="No"/>
    <x v="0"/>
    <x v="3"/>
  </r>
  <r>
    <x v="589"/>
    <x v="2"/>
    <n v="48"/>
    <x v="0"/>
    <x v="4"/>
    <x v="10"/>
    <s v="PhD"/>
    <s v="Married"/>
    <n v="104560"/>
    <n v="11"/>
    <n v="2"/>
    <x v="3"/>
    <x v="0"/>
    <s v="No"/>
    <s v="Travel_Frequently"/>
    <n v="3"/>
    <n v="5"/>
    <s v="No"/>
    <x v="0"/>
    <x v="1"/>
  </r>
  <r>
    <x v="590"/>
    <x v="0"/>
    <n v="38"/>
    <x v="0"/>
    <x v="3"/>
    <x v="18"/>
    <s v="High School"/>
    <s v="Married"/>
    <n v="67802"/>
    <n v="19"/>
    <n v="8"/>
    <x v="1"/>
    <x v="1"/>
    <s v="No"/>
    <s v="Travel_Rarely"/>
    <n v="3"/>
    <n v="0"/>
    <s v="Yes"/>
    <x v="0"/>
    <x v="1"/>
  </r>
  <r>
    <x v="591"/>
    <x v="1"/>
    <n v="33"/>
    <x v="1"/>
    <x v="2"/>
    <x v="13"/>
    <s v="Bachelor's"/>
    <s v="Single"/>
    <n v="69059"/>
    <n v="0"/>
    <n v="0"/>
    <x v="0"/>
    <x v="0"/>
    <s v="No"/>
    <s v="Travel_Rarely"/>
    <n v="3"/>
    <n v="3"/>
    <s v="No"/>
    <x v="0"/>
    <x v="4"/>
  </r>
  <r>
    <x v="592"/>
    <x v="1"/>
    <n v="25"/>
    <x v="0"/>
    <x v="3"/>
    <x v="18"/>
    <s v="High School"/>
    <s v="Married"/>
    <n v="54476"/>
    <n v="3"/>
    <n v="2"/>
    <x v="3"/>
    <x v="0"/>
    <s v="No"/>
    <s v="Travel_Rarely"/>
    <n v="3"/>
    <n v="1"/>
    <s v="No"/>
    <x v="1"/>
    <x v="3"/>
  </r>
  <r>
    <x v="593"/>
    <x v="1"/>
    <n v="28"/>
    <x v="1"/>
    <x v="5"/>
    <x v="12"/>
    <s v="Master's"/>
    <s v="Married"/>
    <n v="79417"/>
    <n v="7"/>
    <n v="6"/>
    <x v="1"/>
    <x v="1"/>
    <s v="No"/>
    <s v="Travel_Rarely"/>
    <n v="2"/>
    <n v="5"/>
    <s v="No"/>
    <x v="0"/>
    <x v="0"/>
  </r>
  <r>
    <x v="594"/>
    <x v="0"/>
    <n v="35"/>
    <x v="1"/>
    <x v="2"/>
    <x v="13"/>
    <s v="Bachelor's"/>
    <s v="Single"/>
    <n v="102915"/>
    <n v="16"/>
    <n v="8"/>
    <x v="1"/>
    <x v="1"/>
    <s v="No"/>
    <s v="Travel_Rarely"/>
    <n v="2"/>
    <n v="0"/>
    <s v="No"/>
    <x v="1"/>
    <x v="1"/>
  </r>
  <r>
    <x v="595"/>
    <x v="2"/>
    <n v="45"/>
    <x v="0"/>
    <x v="3"/>
    <x v="9"/>
    <s v="Bachelor's"/>
    <s v="Married"/>
    <n v="70802"/>
    <n v="17"/>
    <n v="5"/>
    <x v="3"/>
    <x v="3"/>
    <s v="Yes"/>
    <s v="Non-Travel"/>
    <n v="3"/>
    <n v="3"/>
    <s v="No"/>
    <x v="1"/>
    <x v="1"/>
  </r>
  <r>
    <x v="596"/>
    <x v="0"/>
    <n v="37"/>
    <x v="0"/>
    <x v="3"/>
    <x v="18"/>
    <s v="PhD"/>
    <s v="Single"/>
    <n v="52538"/>
    <n v="18"/>
    <n v="12"/>
    <x v="2"/>
    <x v="0"/>
    <s v="No"/>
    <s v="Travel_Rarely"/>
    <n v="3"/>
    <n v="1"/>
    <s v="Yes"/>
    <x v="0"/>
    <x v="1"/>
  </r>
  <r>
    <x v="597"/>
    <x v="0"/>
    <n v="38"/>
    <x v="1"/>
    <x v="1"/>
    <x v="1"/>
    <s v="Bachelor's"/>
    <s v="Single"/>
    <n v="71552"/>
    <n v="15"/>
    <n v="2"/>
    <x v="1"/>
    <x v="1"/>
    <s v="No"/>
    <s v="Travel_Rarely"/>
    <n v="4"/>
    <n v="4"/>
    <s v="No"/>
    <x v="0"/>
    <x v="1"/>
  </r>
  <r>
    <x v="598"/>
    <x v="0"/>
    <n v="35"/>
    <x v="1"/>
    <x v="0"/>
    <x v="2"/>
    <s v="Bachelor's"/>
    <s v="Single"/>
    <n v="62411"/>
    <n v="10"/>
    <n v="3"/>
    <x v="2"/>
    <x v="3"/>
    <s v="No"/>
    <s v="Travel_Rarely"/>
    <n v="3"/>
    <n v="3"/>
    <s v="Yes"/>
    <x v="0"/>
    <x v="0"/>
  </r>
  <r>
    <x v="599"/>
    <x v="0"/>
    <n v="41"/>
    <x v="0"/>
    <x v="3"/>
    <x v="18"/>
    <s v="Bachelor's"/>
    <s v="Single"/>
    <n v="69613"/>
    <n v="11"/>
    <n v="6"/>
    <x v="2"/>
    <x v="0"/>
    <s v="No"/>
    <s v="Travel_Rarely"/>
    <n v="3"/>
    <n v="0"/>
    <s v="No"/>
    <x v="1"/>
    <x v="1"/>
  </r>
  <r>
    <x v="600"/>
    <x v="1"/>
    <n v="30"/>
    <x v="1"/>
    <x v="5"/>
    <x v="8"/>
    <s v="Bachelor's"/>
    <s v="Married"/>
    <n v="23136"/>
    <n v="5"/>
    <n v="4"/>
    <x v="1"/>
    <x v="0"/>
    <s v="No"/>
    <s v="Travel_Frequently"/>
    <n v="4"/>
    <n v="4"/>
    <s v="Yes"/>
    <x v="0"/>
    <x v="3"/>
  </r>
  <r>
    <x v="601"/>
    <x v="1"/>
    <n v="33"/>
    <x v="0"/>
    <x v="3"/>
    <x v="9"/>
    <s v="Bachelor's"/>
    <s v="Married"/>
    <n v="79218"/>
    <n v="7"/>
    <n v="0"/>
    <x v="3"/>
    <x v="3"/>
    <s v="No"/>
    <s v="Non-Travel"/>
    <n v="3"/>
    <n v="1"/>
    <s v="No"/>
    <x v="0"/>
    <x v="0"/>
  </r>
  <r>
    <x v="602"/>
    <x v="1"/>
    <n v="32"/>
    <x v="1"/>
    <x v="0"/>
    <x v="0"/>
    <s v="Bachelor's"/>
    <s v="Married"/>
    <n v="97717"/>
    <n v="11"/>
    <n v="6"/>
    <x v="1"/>
    <x v="3"/>
    <s v="Yes"/>
    <s v="Travel_Rarely"/>
    <n v="3"/>
    <n v="1"/>
    <s v="No"/>
    <x v="0"/>
    <x v="1"/>
  </r>
  <r>
    <x v="603"/>
    <x v="0"/>
    <n v="42"/>
    <x v="1"/>
    <x v="1"/>
    <x v="7"/>
    <s v="Master's"/>
    <s v="Single"/>
    <n v="54145"/>
    <n v="6"/>
    <n v="5"/>
    <x v="0"/>
    <x v="3"/>
    <s v="No"/>
    <s v="Non-Travel"/>
    <n v="2"/>
    <n v="2"/>
    <s v="No"/>
    <x v="0"/>
    <x v="0"/>
  </r>
  <r>
    <x v="604"/>
    <x v="0"/>
    <n v="38"/>
    <x v="1"/>
    <x v="2"/>
    <x v="4"/>
    <s v="Bachelor's"/>
    <s v="Married"/>
    <n v="42745"/>
    <n v="6"/>
    <n v="6"/>
    <x v="1"/>
    <x v="1"/>
    <s v="Yes"/>
    <s v="Travel_Rarely"/>
    <n v="3"/>
    <n v="0"/>
    <s v="No"/>
    <x v="0"/>
    <x v="0"/>
  </r>
  <r>
    <x v="605"/>
    <x v="0"/>
    <n v="39"/>
    <x v="0"/>
    <x v="4"/>
    <x v="6"/>
    <s v="Bachelor's"/>
    <s v="Married"/>
    <n v="80510"/>
    <n v="18"/>
    <n v="7"/>
    <x v="1"/>
    <x v="0"/>
    <s v="No"/>
    <s v="Travel_Rarely"/>
    <n v="3"/>
    <n v="5"/>
    <s v="No"/>
    <x v="0"/>
    <x v="1"/>
  </r>
  <r>
    <x v="606"/>
    <x v="0"/>
    <n v="38"/>
    <x v="0"/>
    <x v="5"/>
    <x v="8"/>
    <s v="Master's"/>
    <s v="Married"/>
    <n v="52767"/>
    <n v="0"/>
    <n v="0"/>
    <x v="0"/>
    <x v="3"/>
    <s v="Yes"/>
    <s v="Travel_Rarely"/>
    <n v="4"/>
    <n v="5"/>
    <s v="No"/>
    <x v="0"/>
    <x v="4"/>
  </r>
  <r>
    <x v="607"/>
    <x v="0"/>
    <n v="35"/>
    <x v="1"/>
    <x v="4"/>
    <x v="10"/>
    <s v="Bachelor's"/>
    <s v="Single"/>
    <n v="62076"/>
    <n v="1"/>
    <n v="0"/>
    <x v="1"/>
    <x v="3"/>
    <s v="Yes"/>
    <s v="Travel_Rarely"/>
    <n v="4"/>
    <n v="3"/>
    <s v="No"/>
    <x v="1"/>
    <x v="2"/>
  </r>
  <r>
    <x v="608"/>
    <x v="2"/>
    <n v="46"/>
    <x v="1"/>
    <x v="5"/>
    <x v="14"/>
    <s v="Master's"/>
    <s v="Married"/>
    <n v="97922"/>
    <n v="10"/>
    <n v="6"/>
    <x v="3"/>
    <x v="0"/>
    <s v="No"/>
    <s v="Travel_Rarely"/>
    <n v="3"/>
    <n v="4"/>
    <s v="No"/>
    <x v="0"/>
    <x v="0"/>
  </r>
  <r>
    <x v="609"/>
    <x v="3"/>
    <n v="21"/>
    <x v="0"/>
    <x v="0"/>
    <x v="0"/>
    <s v="Bachelor's"/>
    <s v="Married"/>
    <n v="57714"/>
    <n v="1"/>
    <n v="0"/>
    <x v="3"/>
    <x v="0"/>
    <s v="No"/>
    <s v="Travel_Rarely"/>
    <n v="4"/>
    <n v="0"/>
    <s v="No"/>
    <x v="0"/>
    <x v="2"/>
  </r>
  <r>
    <x v="610"/>
    <x v="0"/>
    <n v="40"/>
    <x v="1"/>
    <x v="0"/>
    <x v="0"/>
    <s v="Bachelor's"/>
    <s v="Married"/>
    <n v="56900"/>
    <n v="13"/>
    <n v="6"/>
    <x v="1"/>
    <x v="0"/>
    <s v="No"/>
    <s v="Travel_Rarely"/>
    <n v="4"/>
    <n v="3"/>
    <s v="Yes"/>
    <x v="0"/>
    <x v="1"/>
  </r>
  <r>
    <x v="611"/>
    <x v="0"/>
    <n v="35"/>
    <x v="0"/>
    <x v="0"/>
    <x v="11"/>
    <s v="Master's"/>
    <s v="Married"/>
    <n v="89793"/>
    <n v="2"/>
    <n v="2"/>
    <x v="1"/>
    <x v="2"/>
    <s v="No"/>
    <s v="Travel_Rarely"/>
    <n v="2"/>
    <n v="1"/>
    <s v="No"/>
    <x v="1"/>
    <x v="2"/>
  </r>
  <r>
    <x v="612"/>
    <x v="0"/>
    <n v="36"/>
    <x v="1"/>
    <x v="0"/>
    <x v="11"/>
    <s v="Bachelor's"/>
    <s v="Married"/>
    <n v="52634"/>
    <n v="4"/>
    <n v="2"/>
    <x v="3"/>
    <x v="1"/>
    <s v="No"/>
    <s v="Travel_Rarely"/>
    <n v="4"/>
    <n v="0"/>
    <s v="No"/>
    <x v="0"/>
    <x v="3"/>
  </r>
  <r>
    <x v="613"/>
    <x v="3"/>
    <n v="24"/>
    <x v="0"/>
    <x v="0"/>
    <x v="2"/>
    <s v="Master's"/>
    <s v="Married"/>
    <n v="38296"/>
    <n v="4"/>
    <n v="1"/>
    <x v="1"/>
    <x v="0"/>
    <s v="No"/>
    <s v="Travel_Rarely"/>
    <n v="3"/>
    <n v="4"/>
    <s v="No"/>
    <x v="0"/>
    <x v="3"/>
  </r>
  <r>
    <x v="614"/>
    <x v="1"/>
    <n v="29"/>
    <x v="0"/>
    <x v="0"/>
    <x v="11"/>
    <s v="PhD"/>
    <s v="Married"/>
    <n v="92195"/>
    <n v="0"/>
    <n v="0"/>
    <x v="1"/>
    <x v="0"/>
    <s v="Yes"/>
    <s v="Travel_Rarely"/>
    <n v="3"/>
    <n v="6"/>
    <s v="No"/>
    <x v="1"/>
    <x v="4"/>
  </r>
  <r>
    <x v="615"/>
    <x v="0"/>
    <n v="37"/>
    <x v="0"/>
    <x v="4"/>
    <x v="10"/>
    <s v="Bachelor's"/>
    <s v="Single"/>
    <n v="79659"/>
    <n v="4"/>
    <n v="2"/>
    <x v="3"/>
    <x v="1"/>
    <s v="No"/>
    <s v="Travel_Rarely"/>
    <n v="3"/>
    <n v="3"/>
    <s v="No"/>
    <x v="1"/>
    <x v="3"/>
  </r>
  <r>
    <x v="616"/>
    <x v="0"/>
    <n v="35"/>
    <x v="0"/>
    <x v="3"/>
    <x v="9"/>
    <s v="Master's"/>
    <s v="Married"/>
    <n v="36364"/>
    <n v="8"/>
    <n v="2"/>
    <x v="1"/>
    <x v="0"/>
    <s v="No"/>
    <s v="Travel_Rarely"/>
    <n v="2"/>
    <n v="4"/>
    <s v="No"/>
    <x v="0"/>
    <x v="0"/>
  </r>
  <r>
    <x v="617"/>
    <x v="0"/>
    <n v="35"/>
    <x v="1"/>
    <x v="3"/>
    <x v="16"/>
    <s v="Master's"/>
    <s v="Married"/>
    <n v="57389"/>
    <n v="3"/>
    <n v="1"/>
    <x v="1"/>
    <x v="3"/>
    <s v="No"/>
    <s v="Travel_Frequently"/>
    <n v="2"/>
    <n v="2"/>
    <s v="No"/>
    <x v="1"/>
    <x v="3"/>
  </r>
  <r>
    <x v="618"/>
    <x v="1"/>
    <n v="31"/>
    <x v="1"/>
    <x v="5"/>
    <x v="8"/>
    <s v="Bachelor's"/>
    <s v="Single"/>
    <n v="60532"/>
    <n v="11"/>
    <n v="6"/>
    <x v="0"/>
    <x v="0"/>
    <s v="Yes"/>
    <s v="Travel_Rarely"/>
    <n v="4"/>
    <n v="0"/>
    <s v="No"/>
    <x v="0"/>
    <x v="1"/>
  </r>
  <r>
    <x v="619"/>
    <x v="0"/>
    <n v="38"/>
    <x v="0"/>
    <x v="3"/>
    <x v="16"/>
    <s v="High School"/>
    <s v="Married"/>
    <n v="102102"/>
    <n v="8"/>
    <n v="1"/>
    <x v="0"/>
    <x v="0"/>
    <s v="Yes"/>
    <s v="Travel_Rarely"/>
    <n v="3"/>
    <n v="5"/>
    <s v="Yes"/>
    <x v="1"/>
    <x v="0"/>
  </r>
  <r>
    <x v="620"/>
    <x v="1"/>
    <n v="32"/>
    <x v="1"/>
    <x v="0"/>
    <x v="2"/>
    <s v="Bachelor's"/>
    <s v="Divorced"/>
    <n v="82952"/>
    <n v="10"/>
    <n v="4"/>
    <x v="0"/>
    <x v="1"/>
    <s v="Yes"/>
    <s v="Travel_Frequently"/>
    <n v="3"/>
    <n v="0"/>
    <s v="No"/>
    <x v="0"/>
    <x v="0"/>
  </r>
  <r>
    <x v="621"/>
    <x v="2"/>
    <n v="49"/>
    <x v="1"/>
    <x v="4"/>
    <x v="15"/>
    <s v="Bachelor's"/>
    <s v="Divorced"/>
    <n v="63054"/>
    <n v="12"/>
    <n v="2"/>
    <x v="0"/>
    <x v="2"/>
    <s v="No"/>
    <s v="Travel_Rarely"/>
    <n v="4"/>
    <n v="3"/>
    <s v="No"/>
    <x v="0"/>
    <x v="1"/>
  </r>
  <r>
    <x v="622"/>
    <x v="3"/>
    <n v="21"/>
    <x v="1"/>
    <x v="5"/>
    <x v="12"/>
    <s v="Bachelor's"/>
    <s v="Single"/>
    <n v="28170"/>
    <n v="1"/>
    <n v="0"/>
    <x v="3"/>
    <x v="0"/>
    <s v="No"/>
    <s v="Travel_Rarely"/>
    <n v="2"/>
    <n v="3"/>
    <s v="No"/>
    <x v="0"/>
    <x v="2"/>
  </r>
  <r>
    <x v="623"/>
    <x v="0"/>
    <n v="41"/>
    <x v="1"/>
    <x v="5"/>
    <x v="8"/>
    <s v="Bachelor's"/>
    <s v="Married"/>
    <n v="89261"/>
    <n v="22"/>
    <n v="3"/>
    <x v="1"/>
    <x v="3"/>
    <s v="No"/>
    <s v="Travel_Frequently"/>
    <n v="4"/>
    <n v="5"/>
    <s v="No"/>
    <x v="0"/>
    <x v="1"/>
  </r>
  <r>
    <x v="624"/>
    <x v="0"/>
    <n v="42"/>
    <x v="1"/>
    <x v="3"/>
    <x v="5"/>
    <s v="High School"/>
    <s v="Single"/>
    <n v="39001"/>
    <n v="17"/>
    <n v="8"/>
    <x v="3"/>
    <x v="1"/>
    <s v="No"/>
    <s v="Travel_Rarely"/>
    <n v="3"/>
    <n v="3"/>
    <s v="No"/>
    <x v="0"/>
    <x v="1"/>
  </r>
  <r>
    <x v="625"/>
    <x v="3"/>
    <n v="21"/>
    <x v="1"/>
    <x v="2"/>
    <x v="13"/>
    <s v="Bachelor's"/>
    <s v="Single"/>
    <n v="62333"/>
    <n v="1"/>
    <n v="1"/>
    <x v="2"/>
    <x v="1"/>
    <s v="Yes"/>
    <s v="Travel_Rarely"/>
    <n v="3"/>
    <n v="1"/>
    <s v="No"/>
    <x v="0"/>
    <x v="2"/>
  </r>
  <r>
    <x v="626"/>
    <x v="2"/>
    <n v="49"/>
    <x v="0"/>
    <x v="5"/>
    <x v="8"/>
    <s v="Bachelor's"/>
    <s v="Married"/>
    <n v="52926"/>
    <n v="3"/>
    <n v="1"/>
    <x v="0"/>
    <x v="1"/>
    <s v="No"/>
    <s v="Travel_Rarely"/>
    <n v="3"/>
    <n v="4"/>
    <s v="No"/>
    <x v="0"/>
    <x v="3"/>
  </r>
  <r>
    <x v="627"/>
    <x v="2"/>
    <n v="51"/>
    <x v="1"/>
    <x v="3"/>
    <x v="9"/>
    <s v="Master's"/>
    <s v="Single"/>
    <n v="33616"/>
    <n v="25"/>
    <n v="9"/>
    <x v="1"/>
    <x v="3"/>
    <s v="No"/>
    <s v="Travel_Rarely"/>
    <n v="3"/>
    <n v="3"/>
    <s v="No"/>
    <x v="0"/>
    <x v="1"/>
  </r>
  <r>
    <x v="628"/>
    <x v="0"/>
    <n v="43"/>
    <x v="0"/>
    <x v="0"/>
    <x v="2"/>
    <s v="Bachelor's"/>
    <s v="Married"/>
    <n v="77543"/>
    <n v="18"/>
    <n v="3"/>
    <x v="3"/>
    <x v="0"/>
    <s v="No"/>
    <s v="Travel_Rarely"/>
    <n v="3"/>
    <n v="0"/>
    <s v="Yes"/>
    <x v="0"/>
    <x v="1"/>
  </r>
  <r>
    <x v="629"/>
    <x v="1"/>
    <n v="29"/>
    <x v="1"/>
    <x v="3"/>
    <x v="5"/>
    <s v="Bachelor's"/>
    <s v="Married"/>
    <n v="33801"/>
    <n v="1"/>
    <n v="0"/>
    <x v="1"/>
    <x v="2"/>
    <s v="No"/>
    <s v="Travel_Rarely"/>
    <n v="3"/>
    <n v="6"/>
    <s v="No"/>
    <x v="0"/>
    <x v="2"/>
  </r>
  <r>
    <x v="630"/>
    <x v="2"/>
    <n v="47"/>
    <x v="0"/>
    <x v="4"/>
    <x v="15"/>
    <s v="Bachelor's"/>
    <s v="Married"/>
    <n v="103543"/>
    <n v="1"/>
    <n v="1"/>
    <x v="2"/>
    <x v="1"/>
    <s v="No"/>
    <s v="Travel_Rarely"/>
    <n v="4"/>
    <n v="0"/>
    <s v="No"/>
    <x v="0"/>
    <x v="2"/>
  </r>
  <r>
    <x v="631"/>
    <x v="0"/>
    <n v="43"/>
    <x v="1"/>
    <x v="1"/>
    <x v="7"/>
    <s v="Bachelor's"/>
    <s v="Single"/>
    <n v="36725"/>
    <n v="4"/>
    <n v="1"/>
    <x v="2"/>
    <x v="1"/>
    <s v="Yes"/>
    <s v="Travel_Frequently"/>
    <n v="3"/>
    <n v="1"/>
    <s v="No"/>
    <x v="0"/>
    <x v="3"/>
  </r>
  <r>
    <x v="632"/>
    <x v="3"/>
    <n v="24"/>
    <x v="1"/>
    <x v="3"/>
    <x v="16"/>
    <s v="Bachelor's"/>
    <s v="Single"/>
    <n v="39291"/>
    <n v="1"/>
    <n v="1"/>
    <x v="0"/>
    <x v="0"/>
    <s v="Yes"/>
    <s v="Travel_Rarely"/>
    <n v="3"/>
    <n v="0"/>
    <s v="No"/>
    <x v="0"/>
    <x v="2"/>
  </r>
  <r>
    <x v="633"/>
    <x v="1"/>
    <n v="29"/>
    <x v="1"/>
    <x v="5"/>
    <x v="8"/>
    <s v="Master's"/>
    <s v="Divorced"/>
    <n v="43071"/>
    <n v="2"/>
    <n v="2"/>
    <x v="0"/>
    <x v="0"/>
    <s v="No"/>
    <s v="Non-Travel"/>
    <n v="4"/>
    <n v="3"/>
    <s v="No"/>
    <x v="0"/>
    <x v="2"/>
  </r>
  <r>
    <x v="634"/>
    <x v="0"/>
    <n v="35"/>
    <x v="0"/>
    <x v="3"/>
    <x v="16"/>
    <s v="Master's"/>
    <s v="Single"/>
    <n v="67217"/>
    <n v="7"/>
    <n v="0"/>
    <x v="0"/>
    <x v="3"/>
    <s v="Yes"/>
    <s v="Travel_Frequently"/>
    <n v="3"/>
    <n v="0"/>
    <s v="No"/>
    <x v="0"/>
    <x v="0"/>
  </r>
  <r>
    <x v="635"/>
    <x v="1"/>
    <n v="33"/>
    <x v="1"/>
    <x v="0"/>
    <x v="2"/>
    <s v="Master's"/>
    <s v="Divorced"/>
    <n v="66575"/>
    <n v="15"/>
    <n v="10"/>
    <x v="2"/>
    <x v="3"/>
    <s v="No"/>
    <s v="Travel_Frequently"/>
    <n v="2"/>
    <n v="5"/>
    <s v="No"/>
    <x v="0"/>
    <x v="1"/>
  </r>
  <r>
    <x v="636"/>
    <x v="0"/>
    <n v="40"/>
    <x v="0"/>
    <x v="3"/>
    <x v="9"/>
    <s v="Master's"/>
    <s v="Married"/>
    <n v="65789"/>
    <n v="12"/>
    <n v="0"/>
    <x v="1"/>
    <x v="0"/>
    <s v="No"/>
    <s v="Travel_Rarely"/>
    <n v="3"/>
    <n v="1"/>
    <s v="No"/>
    <x v="0"/>
    <x v="1"/>
  </r>
  <r>
    <x v="637"/>
    <x v="1"/>
    <n v="30"/>
    <x v="1"/>
    <x v="0"/>
    <x v="11"/>
    <s v="Master's"/>
    <s v="Divorced"/>
    <n v="60899"/>
    <n v="2"/>
    <n v="0"/>
    <x v="1"/>
    <x v="3"/>
    <s v="No"/>
    <s v="Travel_Rarely"/>
    <n v="4"/>
    <n v="6"/>
    <s v="Yes"/>
    <x v="0"/>
    <x v="2"/>
  </r>
  <r>
    <x v="638"/>
    <x v="1"/>
    <n v="29"/>
    <x v="1"/>
    <x v="4"/>
    <x v="15"/>
    <s v="PhD"/>
    <s v="Married"/>
    <n v="79061"/>
    <n v="8"/>
    <n v="6"/>
    <x v="1"/>
    <x v="0"/>
    <s v="No"/>
    <s v="Travel_Frequently"/>
    <n v="2"/>
    <n v="2"/>
    <s v="No"/>
    <x v="0"/>
    <x v="0"/>
  </r>
  <r>
    <x v="639"/>
    <x v="0"/>
    <n v="38"/>
    <x v="0"/>
    <x v="1"/>
    <x v="3"/>
    <s v="High School"/>
    <s v="Divorced"/>
    <n v="52319"/>
    <n v="10"/>
    <n v="6"/>
    <x v="1"/>
    <x v="2"/>
    <s v="No"/>
    <s v="Travel_Frequently"/>
    <n v="3"/>
    <n v="6"/>
    <s v="Yes"/>
    <x v="0"/>
    <x v="0"/>
  </r>
  <r>
    <x v="640"/>
    <x v="1"/>
    <n v="30"/>
    <x v="0"/>
    <x v="0"/>
    <x v="0"/>
    <s v="Bachelor's"/>
    <s v="Married"/>
    <n v="27503"/>
    <n v="3"/>
    <n v="3"/>
    <x v="3"/>
    <x v="0"/>
    <s v="No"/>
    <s v="Travel_Rarely"/>
    <n v="4"/>
    <n v="3"/>
    <s v="No"/>
    <x v="0"/>
    <x v="3"/>
  </r>
  <r>
    <x v="641"/>
    <x v="0"/>
    <n v="38"/>
    <x v="0"/>
    <x v="3"/>
    <x v="5"/>
    <s v="Bachelor's"/>
    <s v="Married"/>
    <n v="68496"/>
    <n v="11"/>
    <n v="2"/>
    <x v="3"/>
    <x v="3"/>
    <s v="No"/>
    <s v="Travel_Rarely"/>
    <n v="3"/>
    <n v="6"/>
    <s v="Yes"/>
    <x v="0"/>
    <x v="1"/>
  </r>
  <r>
    <x v="642"/>
    <x v="1"/>
    <n v="28"/>
    <x v="0"/>
    <x v="1"/>
    <x v="1"/>
    <s v="High School"/>
    <s v="Single"/>
    <n v="22000"/>
    <n v="9"/>
    <n v="6"/>
    <x v="1"/>
    <x v="0"/>
    <s v="No"/>
    <s v="Travel_Frequently"/>
    <n v="3"/>
    <n v="5"/>
    <s v="No"/>
    <x v="0"/>
    <x v="0"/>
  </r>
  <r>
    <x v="643"/>
    <x v="0"/>
    <n v="35"/>
    <x v="1"/>
    <x v="0"/>
    <x v="0"/>
    <s v="Bachelor's"/>
    <s v="Divorced"/>
    <n v="54923"/>
    <n v="3"/>
    <n v="0"/>
    <x v="0"/>
    <x v="0"/>
    <s v="No"/>
    <s v="Travel_Rarely"/>
    <n v="3"/>
    <n v="4"/>
    <s v="No"/>
    <x v="0"/>
    <x v="3"/>
  </r>
  <r>
    <x v="644"/>
    <x v="0"/>
    <n v="43"/>
    <x v="0"/>
    <x v="5"/>
    <x v="14"/>
    <s v="Master's"/>
    <s v="Married"/>
    <n v="55833"/>
    <n v="20"/>
    <n v="0"/>
    <x v="1"/>
    <x v="0"/>
    <s v="No"/>
    <s v="Travel_Rarely"/>
    <n v="3"/>
    <n v="2"/>
    <s v="No"/>
    <x v="0"/>
    <x v="1"/>
  </r>
  <r>
    <x v="645"/>
    <x v="2"/>
    <n v="45"/>
    <x v="1"/>
    <x v="1"/>
    <x v="3"/>
    <s v="Bachelor's"/>
    <s v="Married"/>
    <n v="89396"/>
    <n v="18"/>
    <n v="7"/>
    <x v="0"/>
    <x v="1"/>
    <s v="No"/>
    <s v="Travel_Rarely"/>
    <n v="3"/>
    <n v="4"/>
    <s v="No"/>
    <x v="0"/>
    <x v="1"/>
  </r>
  <r>
    <x v="646"/>
    <x v="1"/>
    <n v="30"/>
    <x v="0"/>
    <x v="4"/>
    <x v="10"/>
    <s v="Master's"/>
    <s v="Married"/>
    <n v="70140"/>
    <n v="3"/>
    <n v="0"/>
    <x v="1"/>
    <x v="3"/>
    <s v="No"/>
    <s v="Travel_Rarely"/>
    <n v="3"/>
    <n v="1"/>
    <s v="No"/>
    <x v="0"/>
    <x v="3"/>
  </r>
  <r>
    <x v="647"/>
    <x v="1"/>
    <n v="32"/>
    <x v="1"/>
    <x v="0"/>
    <x v="0"/>
    <s v="PhD"/>
    <s v="Married"/>
    <n v="53029"/>
    <n v="9"/>
    <n v="6"/>
    <x v="1"/>
    <x v="0"/>
    <s v="No"/>
    <s v="Travel_Rarely"/>
    <n v="3"/>
    <n v="3"/>
    <s v="No"/>
    <x v="0"/>
    <x v="0"/>
  </r>
  <r>
    <x v="648"/>
    <x v="0"/>
    <n v="37"/>
    <x v="0"/>
    <x v="5"/>
    <x v="8"/>
    <s v="Bachelor's"/>
    <s v="Married"/>
    <n v="58195"/>
    <n v="8"/>
    <n v="6"/>
    <x v="0"/>
    <x v="2"/>
    <s v="No"/>
    <s v="Travel_Rarely"/>
    <n v="3"/>
    <n v="1"/>
    <s v="No"/>
    <x v="0"/>
    <x v="0"/>
  </r>
  <r>
    <x v="649"/>
    <x v="2"/>
    <n v="51"/>
    <x v="1"/>
    <x v="0"/>
    <x v="11"/>
    <s v="Master's"/>
    <s v="Single"/>
    <n v="93349"/>
    <n v="12"/>
    <n v="9"/>
    <x v="0"/>
    <x v="0"/>
    <s v="No"/>
    <s v="Travel_Rarely"/>
    <n v="3"/>
    <n v="4"/>
    <s v="No"/>
    <x v="0"/>
    <x v="1"/>
  </r>
  <r>
    <x v="650"/>
    <x v="1"/>
    <n v="31"/>
    <x v="0"/>
    <x v="0"/>
    <x v="2"/>
    <s v="Bachelor's"/>
    <s v="Single"/>
    <n v="67655"/>
    <n v="2"/>
    <n v="1"/>
    <x v="3"/>
    <x v="1"/>
    <s v="Yes"/>
    <s v="Travel_Rarely"/>
    <n v="3"/>
    <n v="3"/>
    <s v="No"/>
    <x v="1"/>
    <x v="2"/>
  </r>
  <r>
    <x v="651"/>
    <x v="1"/>
    <n v="34"/>
    <x v="0"/>
    <x v="5"/>
    <x v="12"/>
    <s v="High School"/>
    <s v="Single"/>
    <n v="59884"/>
    <n v="16"/>
    <n v="4"/>
    <x v="3"/>
    <x v="3"/>
    <s v="No"/>
    <s v="Travel_Rarely"/>
    <n v="3"/>
    <n v="0"/>
    <s v="No"/>
    <x v="0"/>
    <x v="1"/>
  </r>
  <r>
    <x v="652"/>
    <x v="3"/>
    <n v="22"/>
    <x v="0"/>
    <x v="1"/>
    <x v="7"/>
    <s v="Bachelor's"/>
    <s v="Married"/>
    <n v="77598"/>
    <n v="1"/>
    <n v="1"/>
    <x v="0"/>
    <x v="1"/>
    <s v="No"/>
    <s v="Travel_Frequently"/>
    <n v="3"/>
    <n v="6"/>
    <s v="No"/>
    <x v="0"/>
    <x v="2"/>
  </r>
  <r>
    <x v="653"/>
    <x v="0"/>
    <n v="38"/>
    <x v="1"/>
    <x v="2"/>
    <x v="17"/>
    <s v="Master's"/>
    <s v="Married"/>
    <n v="89280"/>
    <n v="20"/>
    <n v="7"/>
    <x v="0"/>
    <x v="0"/>
    <s v="No"/>
    <s v="Travel_Rarely"/>
    <n v="2"/>
    <n v="2"/>
    <s v="Yes"/>
    <x v="0"/>
    <x v="1"/>
  </r>
  <r>
    <x v="654"/>
    <x v="1"/>
    <n v="26"/>
    <x v="1"/>
    <x v="5"/>
    <x v="8"/>
    <s v="High School"/>
    <s v="Divorced"/>
    <n v="64936"/>
    <n v="8"/>
    <n v="5"/>
    <x v="1"/>
    <x v="1"/>
    <s v="Yes"/>
    <s v="Non-Travel"/>
    <n v="3"/>
    <n v="1"/>
    <s v="No"/>
    <x v="0"/>
    <x v="0"/>
  </r>
  <r>
    <x v="655"/>
    <x v="0"/>
    <n v="38"/>
    <x v="0"/>
    <x v="4"/>
    <x v="15"/>
    <s v="Bachelor's"/>
    <s v="Married"/>
    <n v="51159"/>
    <n v="7"/>
    <n v="7"/>
    <x v="1"/>
    <x v="2"/>
    <s v="No"/>
    <s v="Non-Travel"/>
    <n v="3"/>
    <n v="0"/>
    <s v="No"/>
    <x v="0"/>
    <x v="0"/>
  </r>
  <r>
    <x v="656"/>
    <x v="1"/>
    <n v="30"/>
    <x v="0"/>
    <x v="5"/>
    <x v="14"/>
    <s v="Bachelor's"/>
    <s v="Married"/>
    <n v="78987"/>
    <n v="3"/>
    <n v="1"/>
    <x v="1"/>
    <x v="3"/>
    <s v="No"/>
    <s v="Travel_Rarely"/>
    <n v="2"/>
    <n v="1"/>
    <s v="No"/>
    <x v="0"/>
    <x v="3"/>
  </r>
  <r>
    <x v="657"/>
    <x v="1"/>
    <n v="28"/>
    <x v="1"/>
    <x v="3"/>
    <x v="18"/>
    <s v="Bachelor's"/>
    <s v="Married"/>
    <n v="54635"/>
    <n v="7"/>
    <n v="3"/>
    <x v="0"/>
    <x v="1"/>
    <s v="No"/>
    <s v="Non-Travel"/>
    <n v="3"/>
    <n v="3"/>
    <s v="Yes"/>
    <x v="0"/>
    <x v="0"/>
  </r>
  <r>
    <x v="658"/>
    <x v="1"/>
    <n v="33"/>
    <x v="0"/>
    <x v="0"/>
    <x v="0"/>
    <s v="Bachelor's"/>
    <s v="Married"/>
    <n v="65156"/>
    <n v="8"/>
    <n v="0"/>
    <x v="1"/>
    <x v="0"/>
    <s v="No"/>
    <s v="Travel_Frequently"/>
    <n v="2"/>
    <n v="0"/>
    <s v="Yes"/>
    <x v="0"/>
    <x v="0"/>
  </r>
  <r>
    <x v="659"/>
    <x v="1"/>
    <n v="32"/>
    <x v="1"/>
    <x v="1"/>
    <x v="3"/>
    <s v="Bachelor's"/>
    <s v="Married"/>
    <n v="130099"/>
    <n v="8"/>
    <n v="1"/>
    <x v="2"/>
    <x v="0"/>
    <s v="No"/>
    <s v="Travel_Rarely"/>
    <n v="3"/>
    <n v="4"/>
    <s v="No"/>
    <x v="0"/>
    <x v="0"/>
  </r>
  <r>
    <x v="660"/>
    <x v="0"/>
    <n v="42"/>
    <x v="0"/>
    <x v="1"/>
    <x v="3"/>
    <s v="Bachelor's"/>
    <s v="Married"/>
    <n v="50110"/>
    <n v="11"/>
    <n v="1"/>
    <x v="1"/>
    <x v="0"/>
    <s v="No"/>
    <s v="Travel_Rarely"/>
    <n v="3"/>
    <n v="4"/>
    <s v="No"/>
    <x v="0"/>
    <x v="1"/>
  </r>
  <r>
    <x v="661"/>
    <x v="0"/>
    <n v="38"/>
    <x v="1"/>
    <x v="3"/>
    <x v="5"/>
    <s v="High School"/>
    <s v="Single"/>
    <n v="58218"/>
    <n v="3"/>
    <n v="1"/>
    <x v="0"/>
    <x v="0"/>
    <s v="Yes"/>
    <s v="Travel_Rarely"/>
    <n v="3"/>
    <n v="3"/>
    <s v="No"/>
    <x v="1"/>
    <x v="3"/>
  </r>
  <r>
    <x v="662"/>
    <x v="0"/>
    <n v="42"/>
    <x v="1"/>
    <x v="5"/>
    <x v="12"/>
    <s v="Master's"/>
    <s v="Divorced"/>
    <n v="79388"/>
    <n v="0"/>
    <n v="0"/>
    <x v="0"/>
    <x v="0"/>
    <s v="Yes"/>
    <s v="Travel_Rarely"/>
    <n v="3"/>
    <n v="1"/>
    <s v="No"/>
    <x v="0"/>
    <x v="4"/>
  </r>
  <r>
    <x v="663"/>
    <x v="1"/>
    <n v="26"/>
    <x v="1"/>
    <x v="1"/>
    <x v="1"/>
    <s v="Master's"/>
    <s v="Married"/>
    <n v="60397"/>
    <n v="2"/>
    <n v="1"/>
    <x v="1"/>
    <x v="3"/>
    <s v="No"/>
    <s v="Travel_Rarely"/>
    <n v="3"/>
    <n v="1"/>
    <s v="No"/>
    <x v="0"/>
    <x v="2"/>
  </r>
  <r>
    <x v="664"/>
    <x v="1"/>
    <n v="25"/>
    <x v="0"/>
    <x v="3"/>
    <x v="16"/>
    <s v="Bachelor's"/>
    <s v="Single"/>
    <n v="45762"/>
    <n v="4"/>
    <n v="0"/>
    <x v="0"/>
    <x v="1"/>
    <s v="No"/>
    <s v="Travel_Frequently"/>
    <n v="3"/>
    <n v="3"/>
    <s v="No"/>
    <x v="1"/>
    <x v="3"/>
  </r>
  <r>
    <x v="665"/>
    <x v="1"/>
    <n v="34"/>
    <x v="1"/>
    <x v="0"/>
    <x v="2"/>
    <s v="Bachelor's"/>
    <s v="Married"/>
    <n v="39860"/>
    <n v="6"/>
    <n v="5"/>
    <x v="0"/>
    <x v="3"/>
    <s v="Yes"/>
    <s v="Travel_Frequently"/>
    <n v="4"/>
    <n v="3"/>
    <s v="No"/>
    <x v="0"/>
    <x v="0"/>
  </r>
  <r>
    <x v="666"/>
    <x v="2"/>
    <n v="45"/>
    <x v="0"/>
    <x v="1"/>
    <x v="3"/>
    <s v="High School"/>
    <s v="Single"/>
    <n v="55701"/>
    <n v="15"/>
    <n v="5"/>
    <x v="1"/>
    <x v="2"/>
    <s v="Yes"/>
    <s v="Travel_Rarely"/>
    <n v="3"/>
    <n v="2"/>
    <s v="Yes"/>
    <x v="0"/>
    <x v="1"/>
  </r>
  <r>
    <x v="667"/>
    <x v="1"/>
    <n v="28"/>
    <x v="1"/>
    <x v="2"/>
    <x v="4"/>
    <s v="PhD"/>
    <s v="Single"/>
    <n v="79380"/>
    <n v="4"/>
    <n v="3"/>
    <x v="1"/>
    <x v="0"/>
    <s v="No"/>
    <s v="Travel_Rarely"/>
    <n v="3"/>
    <n v="2"/>
    <s v="Yes"/>
    <x v="0"/>
    <x v="3"/>
  </r>
  <r>
    <x v="668"/>
    <x v="0"/>
    <n v="36"/>
    <x v="1"/>
    <x v="3"/>
    <x v="18"/>
    <s v="High School"/>
    <s v="Married"/>
    <n v="76661"/>
    <n v="2"/>
    <n v="1"/>
    <x v="1"/>
    <x v="3"/>
    <s v="No"/>
    <s v="Travel_Frequently"/>
    <n v="3"/>
    <n v="6"/>
    <s v="Yes"/>
    <x v="0"/>
    <x v="2"/>
  </r>
  <r>
    <x v="669"/>
    <x v="2"/>
    <n v="49"/>
    <x v="0"/>
    <x v="1"/>
    <x v="3"/>
    <s v="Bachelor's"/>
    <s v="Divorced"/>
    <n v="41664"/>
    <n v="22"/>
    <n v="12"/>
    <x v="1"/>
    <x v="0"/>
    <s v="Yes"/>
    <s v="Travel_Rarely"/>
    <n v="3"/>
    <n v="2"/>
    <s v="No"/>
    <x v="0"/>
    <x v="1"/>
  </r>
  <r>
    <x v="670"/>
    <x v="2"/>
    <n v="47"/>
    <x v="1"/>
    <x v="1"/>
    <x v="3"/>
    <s v="Master's"/>
    <s v="Married"/>
    <n v="54978"/>
    <n v="2"/>
    <n v="1"/>
    <x v="1"/>
    <x v="0"/>
    <s v="No"/>
    <s v="Travel_Rarely"/>
    <n v="3"/>
    <n v="0"/>
    <s v="No"/>
    <x v="0"/>
    <x v="2"/>
  </r>
  <r>
    <x v="671"/>
    <x v="1"/>
    <n v="34"/>
    <x v="0"/>
    <x v="0"/>
    <x v="2"/>
    <s v="Master's"/>
    <s v="Single"/>
    <n v="69365"/>
    <n v="4"/>
    <n v="4"/>
    <x v="3"/>
    <x v="2"/>
    <s v="No"/>
    <s v="Travel_Rarely"/>
    <n v="3"/>
    <n v="0"/>
    <s v="Yes"/>
    <x v="0"/>
    <x v="3"/>
  </r>
  <r>
    <x v="672"/>
    <x v="1"/>
    <n v="28"/>
    <x v="1"/>
    <x v="0"/>
    <x v="2"/>
    <s v="High School"/>
    <s v="Single"/>
    <n v="65014"/>
    <n v="3"/>
    <n v="0"/>
    <x v="1"/>
    <x v="0"/>
    <s v="No"/>
    <s v="Travel_Rarely"/>
    <n v="3"/>
    <n v="3"/>
    <s v="No"/>
    <x v="0"/>
    <x v="3"/>
  </r>
  <r>
    <x v="673"/>
    <x v="1"/>
    <n v="31"/>
    <x v="1"/>
    <x v="0"/>
    <x v="2"/>
    <s v="Master's"/>
    <s v="Single"/>
    <n v="49991"/>
    <n v="4"/>
    <n v="4"/>
    <x v="1"/>
    <x v="0"/>
    <s v="No"/>
    <s v="Travel_Rarely"/>
    <n v="3"/>
    <n v="3"/>
    <s v="No"/>
    <x v="0"/>
    <x v="3"/>
  </r>
  <r>
    <x v="674"/>
    <x v="1"/>
    <n v="33"/>
    <x v="1"/>
    <x v="1"/>
    <x v="3"/>
    <s v="Master's"/>
    <s v="Single"/>
    <n v="85295"/>
    <n v="0"/>
    <n v="0"/>
    <x v="1"/>
    <x v="2"/>
    <s v="No"/>
    <s v="Non-Travel"/>
    <n v="3"/>
    <n v="2"/>
    <s v="No"/>
    <x v="0"/>
    <x v="4"/>
  </r>
  <r>
    <x v="675"/>
    <x v="3"/>
    <n v="22"/>
    <x v="0"/>
    <x v="4"/>
    <x v="15"/>
    <s v="Bachelor's"/>
    <s v="Married"/>
    <n v="67228"/>
    <n v="3"/>
    <n v="0"/>
    <x v="3"/>
    <x v="0"/>
    <s v="No"/>
    <s v="Non-Travel"/>
    <n v="4"/>
    <n v="3"/>
    <s v="No"/>
    <x v="1"/>
    <x v="3"/>
  </r>
  <r>
    <x v="676"/>
    <x v="1"/>
    <n v="31"/>
    <x v="0"/>
    <x v="0"/>
    <x v="11"/>
    <s v="Master's"/>
    <s v="Married"/>
    <n v="27436"/>
    <n v="9"/>
    <n v="5"/>
    <x v="1"/>
    <x v="2"/>
    <s v="Yes"/>
    <s v="Travel_Rarely"/>
    <n v="3"/>
    <n v="4"/>
    <s v="No"/>
    <x v="0"/>
    <x v="0"/>
  </r>
  <r>
    <x v="677"/>
    <x v="3"/>
    <n v="24"/>
    <x v="0"/>
    <x v="0"/>
    <x v="0"/>
    <s v="Master's"/>
    <s v="Married"/>
    <n v="79601"/>
    <n v="0"/>
    <n v="0"/>
    <x v="0"/>
    <x v="3"/>
    <s v="No"/>
    <s v="Travel_Rarely"/>
    <n v="3"/>
    <n v="6"/>
    <s v="No"/>
    <x v="0"/>
    <x v="4"/>
  </r>
  <r>
    <x v="678"/>
    <x v="1"/>
    <n v="34"/>
    <x v="0"/>
    <x v="3"/>
    <x v="16"/>
    <s v="High School"/>
    <s v="Married"/>
    <n v="85570"/>
    <n v="0"/>
    <n v="0"/>
    <x v="1"/>
    <x v="1"/>
    <s v="No"/>
    <s v="Non-Travel"/>
    <n v="3"/>
    <n v="1"/>
    <s v="No"/>
    <x v="0"/>
    <x v="4"/>
  </r>
  <r>
    <x v="679"/>
    <x v="1"/>
    <n v="26"/>
    <x v="0"/>
    <x v="1"/>
    <x v="1"/>
    <s v="Bachelor's"/>
    <s v="Married"/>
    <n v="65250"/>
    <n v="8"/>
    <n v="8"/>
    <x v="0"/>
    <x v="1"/>
    <s v="Yes"/>
    <s v="Non-Travel"/>
    <n v="3"/>
    <n v="2"/>
    <s v="No"/>
    <x v="0"/>
    <x v="0"/>
  </r>
  <r>
    <x v="680"/>
    <x v="0"/>
    <n v="39"/>
    <x v="0"/>
    <x v="4"/>
    <x v="6"/>
    <s v="Master's"/>
    <s v="Married"/>
    <n v="100623"/>
    <n v="6"/>
    <n v="2"/>
    <x v="3"/>
    <x v="0"/>
    <s v="No"/>
    <s v="Travel_Rarely"/>
    <n v="4"/>
    <n v="1"/>
    <s v="No"/>
    <x v="1"/>
    <x v="0"/>
  </r>
  <r>
    <x v="681"/>
    <x v="1"/>
    <n v="32"/>
    <x v="1"/>
    <x v="2"/>
    <x v="17"/>
    <s v="Bachelor's"/>
    <s v="Married"/>
    <n v="53504"/>
    <n v="0"/>
    <n v="0"/>
    <x v="0"/>
    <x v="0"/>
    <s v="Yes"/>
    <s v="Travel_Rarely"/>
    <n v="4"/>
    <n v="0"/>
    <s v="No"/>
    <x v="0"/>
    <x v="4"/>
  </r>
  <r>
    <x v="682"/>
    <x v="0"/>
    <n v="38"/>
    <x v="1"/>
    <x v="0"/>
    <x v="11"/>
    <s v="High School"/>
    <s v="Married"/>
    <n v="34895"/>
    <n v="11"/>
    <n v="6"/>
    <x v="2"/>
    <x v="0"/>
    <s v="Yes"/>
    <s v="Travel_Rarely"/>
    <n v="3"/>
    <n v="2"/>
    <s v="No"/>
    <x v="0"/>
    <x v="1"/>
  </r>
  <r>
    <x v="683"/>
    <x v="0"/>
    <n v="39"/>
    <x v="0"/>
    <x v="1"/>
    <x v="1"/>
    <s v="Bachelor's"/>
    <s v="Single"/>
    <n v="78647"/>
    <n v="12"/>
    <n v="7"/>
    <x v="2"/>
    <x v="3"/>
    <s v="No"/>
    <s v="Non-Travel"/>
    <n v="3"/>
    <n v="3"/>
    <s v="Yes"/>
    <x v="0"/>
    <x v="1"/>
  </r>
  <r>
    <x v="684"/>
    <x v="0"/>
    <n v="37"/>
    <x v="0"/>
    <x v="4"/>
    <x v="6"/>
    <s v="Bachelor's"/>
    <s v="Married"/>
    <n v="60448"/>
    <n v="5"/>
    <n v="0"/>
    <x v="1"/>
    <x v="3"/>
    <s v="No"/>
    <s v="Travel_Frequently"/>
    <n v="3"/>
    <n v="1"/>
    <s v="No"/>
    <x v="1"/>
    <x v="3"/>
  </r>
  <r>
    <x v="685"/>
    <x v="0"/>
    <n v="35"/>
    <x v="1"/>
    <x v="5"/>
    <x v="14"/>
    <s v="Bachelor's"/>
    <s v="Single"/>
    <n v="46920"/>
    <n v="10"/>
    <n v="10"/>
    <x v="1"/>
    <x v="0"/>
    <s v="No"/>
    <s v="Travel_Rarely"/>
    <n v="3"/>
    <n v="0"/>
    <s v="No"/>
    <x v="0"/>
    <x v="0"/>
  </r>
  <r>
    <x v="686"/>
    <x v="1"/>
    <n v="33"/>
    <x v="0"/>
    <x v="4"/>
    <x v="15"/>
    <s v="High School"/>
    <s v="Married"/>
    <n v="32231"/>
    <n v="0"/>
    <n v="0"/>
    <x v="1"/>
    <x v="1"/>
    <s v="No"/>
    <s v="Travel_Rarely"/>
    <n v="2"/>
    <n v="6"/>
    <s v="No"/>
    <x v="0"/>
    <x v="4"/>
  </r>
  <r>
    <x v="687"/>
    <x v="1"/>
    <n v="34"/>
    <x v="0"/>
    <x v="0"/>
    <x v="11"/>
    <s v="Bachelor's"/>
    <s v="Single"/>
    <n v="59259"/>
    <n v="1"/>
    <n v="0"/>
    <x v="0"/>
    <x v="0"/>
    <s v="No"/>
    <s v="Travel_Frequently"/>
    <n v="3"/>
    <n v="1"/>
    <s v="No"/>
    <x v="0"/>
    <x v="2"/>
  </r>
  <r>
    <x v="688"/>
    <x v="1"/>
    <n v="33"/>
    <x v="0"/>
    <x v="3"/>
    <x v="18"/>
    <s v="Bachelor's"/>
    <s v="Single"/>
    <n v="85339"/>
    <n v="6"/>
    <n v="2"/>
    <x v="3"/>
    <x v="1"/>
    <s v="No"/>
    <s v="Travel_Rarely"/>
    <n v="3"/>
    <n v="1"/>
    <s v="No"/>
    <x v="1"/>
    <x v="0"/>
  </r>
  <r>
    <x v="689"/>
    <x v="0"/>
    <n v="39"/>
    <x v="1"/>
    <x v="3"/>
    <x v="16"/>
    <s v="Master's"/>
    <s v="Single"/>
    <n v="24741"/>
    <n v="21"/>
    <n v="7"/>
    <x v="1"/>
    <x v="2"/>
    <s v="No"/>
    <s v="Travel_Frequently"/>
    <n v="2"/>
    <n v="2"/>
    <s v="No"/>
    <x v="0"/>
    <x v="1"/>
  </r>
  <r>
    <x v="690"/>
    <x v="0"/>
    <n v="40"/>
    <x v="0"/>
    <x v="3"/>
    <x v="18"/>
    <s v="High School"/>
    <s v="Divorced"/>
    <n v="25689"/>
    <n v="1"/>
    <n v="1"/>
    <x v="3"/>
    <x v="3"/>
    <s v="No"/>
    <s v="Travel_Frequently"/>
    <n v="3"/>
    <n v="3"/>
    <s v="No"/>
    <x v="0"/>
    <x v="2"/>
  </r>
  <r>
    <x v="691"/>
    <x v="3"/>
    <n v="23"/>
    <x v="1"/>
    <x v="4"/>
    <x v="15"/>
    <s v="PhD"/>
    <s v="Married"/>
    <n v="84688"/>
    <n v="5"/>
    <n v="4"/>
    <x v="2"/>
    <x v="0"/>
    <s v="No"/>
    <s v="Travel_Rarely"/>
    <n v="3"/>
    <n v="3"/>
    <s v="No"/>
    <x v="0"/>
    <x v="3"/>
  </r>
  <r>
    <x v="692"/>
    <x v="1"/>
    <n v="32"/>
    <x v="0"/>
    <x v="1"/>
    <x v="1"/>
    <s v="Master's"/>
    <s v="Single"/>
    <n v="55318"/>
    <n v="4"/>
    <n v="3"/>
    <x v="0"/>
    <x v="1"/>
    <s v="No"/>
    <s v="Travel_Rarely"/>
    <n v="3"/>
    <n v="3"/>
    <s v="No"/>
    <x v="0"/>
    <x v="3"/>
  </r>
  <r>
    <x v="693"/>
    <x v="1"/>
    <n v="33"/>
    <x v="1"/>
    <x v="5"/>
    <x v="12"/>
    <s v="High School"/>
    <s v="Married"/>
    <n v="34176"/>
    <n v="14"/>
    <n v="3"/>
    <x v="2"/>
    <x v="0"/>
    <s v="Yes"/>
    <s v="Travel_Rarely"/>
    <n v="3"/>
    <n v="6"/>
    <s v="No"/>
    <x v="0"/>
    <x v="1"/>
  </r>
  <r>
    <x v="694"/>
    <x v="1"/>
    <n v="33"/>
    <x v="1"/>
    <x v="0"/>
    <x v="0"/>
    <s v="High School"/>
    <s v="Single"/>
    <n v="64632"/>
    <n v="15"/>
    <n v="2"/>
    <x v="0"/>
    <x v="0"/>
    <s v="Yes"/>
    <s v="Travel_Rarely"/>
    <n v="3"/>
    <n v="5"/>
    <s v="No"/>
    <x v="0"/>
    <x v="1"/>
  </r>
  <r>
    <x v="695"/>
    <x v="0"/>
    <n v="35"/>
    <x v="1"/>
    <x v="5"/>
    <x v="8"/>
    <s v="Bachelor's"/>
    <s v="Divorced"/>
    <n v="79017"/>
    <n v="15"/>
    <n v="9"/>
    <x v="3"/>
    <x v="1"/>
    <s v="Yes"/>
    <s v="Travel_Rarely"/>
    <n v="4"/>
    <n v="0"/>
    <s v="No"/>
    <x v="0"/>
    <x v="1"/>
  </r>
  <r>
    <x v="696"/>
    <x v="1"/>
    <n v="26"/>
    <x v="0"/>
    <x v="4"/>
    <x v="6"/>
    <s v="High School"/>
    <s v="Single"/>
    <n v="45257"/>
    <n v="3"/>
    <n v="1"/>
    <x v="3"/>
    <x v="3"/>
    <s v="No"/>
    <s v="Travel_Rarely"/>
    <n v="4"/>
    <n v="0"/>
    <s v="No"/>
    <x v="0"/>
    <x v="3"/>
  </r>
  <r>
    <x v="697"/>
    <x v="0"/>
    <n v="37"/>
    <x v="1"/>
    <x v="1"/>
    <x v="3"/>
    <s v="Bachelor's"/>
    <s v="Married"/>
    <n v="66693"/>
    <n v="2"/>
    <n v="0"/>
    <x v="0"/>
    <x v="1"/>
    <s v="No"/>
    <s v="Travel_Frequently"/>
    <n v="2"/>
    <n v="2"/>
    <s v="No"/>
    <x v="0"/>
    <x v="2"/>
  </r>
  <r>
    <x v="698"/>
    <x v="4"/>
    <n v="57"/>
    <x v="1"/>
    <x v="0"/>
    <x v="0"/>
    <s v="Master's"/>
    <s v="Married"/>
    <n v="63715"/>
    <n v="24"/>
    <n v="0"/>
    <x v="0"/>
    <x v="1"/>
    <s v="No"/>
    <s v="Travel_Rarely"/>
    <n v="4"/>
    <n v="5"/>
    <s v="Yes"/>
    <x v="0"/>
    <x v="1"/>
  </r>
  <r>
    <x v="699"/>
    <x v="2"/>
    <n v="49"/>
    <x v="0"/>
    <x v="4"/>
    <x v="6"/>
    <s v="High School"/>
    <s v="Divorced"/>
    <n v="108795"/>
    <n v="1"/>
    <n v="0"/>
    <x v="1"/>
    <x v="0"/>
    <s v="No"/>
    <s v="Travel_Rarely"/>
    <n v="3"/>
    <n v="2"/>
    <s v="No"/>
    <x v="0"/>
    <x v="2"/>
  </r>
  <r>
    <x v="700"/>
    <x v="0"/>
    <n v="38"/>
    <x v="0"/>
    <x v="4"/>
    <x v="15"/>
    <s v="Bachelor's"/>
    <s v="Married"/>
    <n v="68980"/>
    <n v="18"/>
    <n v="11"/>
    <x v="1"/>
    <x v="1"/>
    <s v="Yes"/>
    <s v="Travel_Rarely"/>
    <n v="3"/>
    <n v="5"/>
    <s v="Yes"/>
    <x v="0"/>
    <x v="1"/>
  </r>
  <r>
    <x v="701"/>
    <x v="0"/>
    <n v="44"/>
    <x v="0"/>
    <x v="4"/>
    <x v="6"/>
    <s v="Bachelor's"/>
    <s v="Single"/>
    <n v="61359"/>
    <n v="15"/>
    <n v="3"/>
    <x v="2"/>
    <x v="0"/>
    <s v="No"/>
    <s v="Travel_Rarely"/>
    <n v="3"/>
    <n v="0"/>
    <s v="No"/>
    <x v="1"/>
    <x v="1"/>
  </r>
  <r>
    <x v="702"/>
    <x v="0"/>
    <n v="40"/>
    <x v="0"/>
    <x v="4"/>
    <x v="6"/>
    <s v="Bachelor's"/>
    <s v="Single"/>
    <n v="63079"/>
    <n v="9"/>
    <n v="6"/>
    <x v="0"/>
    <x v="0"/>
    <s v="Yes"/>
    <s v="Travel_Rarely"/>
    <n v="3"/>
    <n v="4"/>
    <s v="No"/>
    <x v="0"/>
    <x v="0"/>
  </r>
  <r>
    <x v="703"/>
    <x v="1"/>
    <n v="29"/>
    <x v="1"/>
    <x v="3"/>
    <x v="5"/>
    <s v="Master's"/>
    <s v="Married"/>
    <n v="64543"/>
    <n v="0"/>
    <n v="0"/>
    <x v="1"/>
    <x v="0"/>
    <s v="No"/>
    <s v="Travel_Rarely"/>
    <n v="2"/>
    <n v="1"/>
    <s v="No"/>
    <x v="0"/>
    <x v="4"/>
  </r>
  <r>
    <x v="704"/>
    <x v="3"/>
    <n v="21"/>
    <x v="0"/>
    <x v="0"/>
    <x v="2"/>
    <s v="Master's"/>
    <s v="Single"/>
    <n v="80320"/>
    <n v="2"/>
    <n v="2"/>
    <x v="2"/>
    <x v="0"/>
    <s v="No"/>
    <s v="Travel_Rarely"/>
    <n v="3"/>
    <n v="5"/>
    <s v="No"/>
    <x v="0"/>
    <x v="2"/>
  </r>
  <r>
    <x v="705"/>
    <x v="1"/>
    <n v="32"/>
    <x v="1"/>
    <x v="3"/>
    <x v="16"/>
    <s v="Master's"/>
    <s v="Divorced"/>
    <n v="66443"/>
    <n v="14"/>
    <n v="3"/>
    <x v="3"/>
    <x v="1"/>
    <s v="No"/>
    <s v="Travel_Frequently"/>
    <n v="2"/>
    <n v="5"/>
    <s v="Yes"/>
    <x v="0"/>
    <x v="1"/>
  </r>
  <r>
    <x v="706"/>
    <x v="1"/>
    <n v="25"/>
    <x v="0"/>
    <x v="4"/>
    <x v="10"/>
    <s v="Bachelor's"/>
    <s v="Married"/>
    <n v="59626"/>
    <n v="2"/>
    <n v="0"/>
    <x v="1"/>
    <x v="0"/>
    <s v="Yes"/>
    <s v="Travel_Frequently"/>
    <n v="4"/>
    <n v="2"/>
    <s v="Yes"/>
    <x v="0"/>
    <x v="2"/>
  </r>
  <r>
    <x v="707"/>
    <x v="0"/>
    <n v="39"/>
    <x v="0"/>
    <x v="3"/>
    <x v="18"/>
    <s v="PhD"/>
    <s v="Married"/>
    <n v="48547"/>
    <n v="12"/>
    <n v="2"/>
    <x v="0"/>
    <x v="0"/>
    <s v="No"/>
    <s v="Travel_Rarely"/>
    <n v="3"/>
    <n v="1"/>
    <s v="No"/>
    <x v="1"/>
    <x v="1"/>
  </r>
  <r>
    <x v="708"/>
    <x v="3"/>
    <n v="21"/>
    <x v="0"/>
    <x v="0"/>
    <x v="2"/>
    <s v="High School"/>
    <s v="Married"/>
    <n v="76442"/>
    <n v="1"/>
    <n v="1"/>
    <x v="0"/>
    <x v="3"/>
    <s v="No"/>
    <s v="Travel_Rarely"/>
    <n v="3"/>
    <n v="1"/>
    <s v="No"/>
    <x v="0"/>
    <x v="2"/>
  </r>
  <r>
    <x v="709"/>
    <x v="0"/>
    <n v="39"/>
    <x v="0"/>
    <x v="0"/>
    <x v="0"/>
    <s v="Master's"/>
    <s v="Single"/>
    <n v="22000"/>
    <n v="6"/>
    <n v="4"/>
    <x v="3"/>
    <x v="0"/>
    <s v="No"/>
    <s v="Travel_Rarely"/>
    <n v="4"/>
    <n v="3"/>
    <s v="No"/>
    <x v="0"/>
    <x v="0"/>
  </r>
  <r>
    <x v="710"/>
    <x v="1"/>
    <n v="26"/>
    <x v="0"/>
    <x v="1"/>
    <x v="1"/>
    <s v="Bachelor's"/>
    <s v="Single"/>
    <n v="63102"/>
    <n v="4"/>
    <n v="2"/>
    <x v="0"/>
    <x v="1"/>
    <s v="No"/>
    <s v="Travel_Frequently"/>
    <n v="3"/>
    <n v="6"/>
    <s v="No"/>
    <x v="0"/>
    <x v="3"/>
  </r>
  <r>
    <x v="711"/>
    <x v="3"/>
    <n v="21"/>
    <x v="1"/>
    <x v="1"/>
    <x v="3"/>
    <s v="Master's"/>
    <s v="Single"/>
    <n v="36894"/>
    <n v="1"/>
    <n v="0"/>
    <x v="0"/>
    <x v="0"/>
    <s v="Yes"/>
    <s v="Travel_Rarely"/>
    <n v="2"/>
    <n v="3"/>
    <s v="No"/>
    <x v="0"/>
    <x v="2"/>
  </r>
  <r>
    <x v="712"/>
    <x v="3"/>
    <n v="21"/>
    <x v="1"/>
    <x v="0"/>
    <x v="0"/>
    <s v="Bachelor's"/>
    <s v="Married"/>
    <n v="23083"/>
    <n v="3"/>
    <n v="3"/>
    <x v="1"/>
    <x v="3"/>
    <s v="No"/>
    <s v="Travel_Rarely"/>
    <n v="3"/>
    <n v="0"/>
    <s v="No"/>
    <x v="0"/>
    <x v="3"/>
  </r>
  <r>
    <x v="713"/>
    <x v="1"/>
    <n v="31"/>
    <x v="0"/>
    <x v="2"/>
    <x v="13"/>
    <s v="Master's"/>
    <s v="Married"/>
    <n v="74151"/>
    <n v="10"/>
    <n v="5"/>
    <x v="1"/>
    <x v="0"/>
    <s v="Yes"/>
    <s v="Travel_Rarely"/>
    <n v="3"/>
    <n v="5"/>
    <s v="Yes"/>
    <x v="0"/>
    <x v="0"/>
  </r>
  <r>
    <x v="714"/>
    <x v="0"/>
    <n v="39"/>
    <x v="1"/>
    <x v="2"/>
    <x v="17"/>
    <s v="Bachelor's"/>
    <s v="Single"/>
    <n v="82481"/>
    <n v="21"/>
    <n v="10"/>
    <x v="3"/>
    <x v="0"/>
    <s v="Yes"/>
    <s v="Travel_Rarely"/>
    <n v="3"/>
    <n v="0"/>
    <s v="No"/>
    <x v="1"/>
    <x v="1"/>
  </r>
  <r>
    <x v="715"/>
    <x v="0"/>
    <n v="35"/>
    <x v="0"/>
    <x v="0"/>
    <x v="2"/>
    <s v="Bachelor's"/>
    <s v="Single"/>
    <n v="60678"/>
    <n v="1"/>
    <n v="0"/>
    <x v="1"/>
    <x v="1"/>
    <s v="No"/>
    <s v="Travel_Rarely"/>
    <n v="4"/>
    <n v="4"/>
    <s v="No"/>
    <x v="0"/>
    <x v="2"/>
  </r>
  <r>
    <x v="716"/>
    <x v="0"/>
    <n v="42"/>
    <x v="1"/>
    <x v="3"/>
    <x v="9"/>
    <s v="Bachelor's"/>
    <s v="Single"/>
    <n v="49204"/>
    <n v="22"/>
    <n v="7"/>
    <x v="1"/>
    <x v="0"/>
    <s v="No"/>
    <s v="Travel_Rarely"/>
    <n v="3"/>
    <n v="6"/>
    <s v="No"/>
    <x v="0"/>
    <x v="1"/>
  </r>
  <r>
    <x v="717"/>
    <x v="1"/>
    <n v="34"/>
    <x v="1"/>
    <x v="1"/>
    <x v="3"/>
    <s v="Bachelor's"/>
    <s v="Married"/>
    <n v="47989"/>
    <n v="5"/>
    <n v="1"/>
    <x v="1"/>
    <x v="2"/>
    <s v="No"/>
    <s v="Travel_Rarely"/>
    <n v="3"/>
    <n v="4"/>
    <s v="No"/>
    <x v="0"/>
    <x v="3"/>
  </r>
  <r>
    <x v="718"/>
    <x v="0"/>
    <n v="42"/>
    <x v="0"/>
    <x v="1"/>
    <x v="1"/>
    <s v="Bachelor's"/>
    <s v="Single"/>
    <n v="63269"/>
    <n v="19"/>
    <n v="11"/>
    <x v="1"/>
    <x v="1"/>
    <s v="No"/>
    <s v="Travel_Rarely"/>
    <n v="4"/>
    <n v="4"/>
    <s v="No"/>
    <x v="0"/>
    <x v="1"/>
  </r>
  <r>
    <x v="719"/>
    <x v="1"/>
    <n v="27"/>
    <x v="1"/>
    <x v="3"/>
    <x v="5"/>
    <s v="Bachelor's"/>
    <s v="Single"/>
    <n v="87809"/>
    <n v="3"/>
    <n v="2"/>
    <x v="2"/>
    <x v="3"/>
    <s v="No"/>
    <s v="Non-Travel"/>
    <n v="3"/>
    <n v="3"/>
    <s v="No"/>
    <x v="0"/>
    <x v="3"/>
  </r>
  <r>
    <x v="720"/>
    <x v="0"/>
    <n v="37"/>
    <x v="0"/>
    <x v="0"/>
    <x v="2"/>
    <s v="Bachelor's"/>
    <s v="Single"/>
    <n v="65445"/>
    <n v="10"/>
    <n v="10"/>
    <x v="0"/>
    <x v="0"/>
    <s v="No"/>
    <s v="Travel_Rarely"/>
    <n v="3"/>
    <n v="2"/>
    <s v="No"/>
    <x v="0"/>
    <x v="0"/>
  </r>
  <r>
    <x v="721"/>
    <x v="3"/>
    <n v="21"/>
    <x v="1"/>
    <x v="1"/>
    <x v="3"/>
    <s v="Master's"/>
    <s v="Married"/>
    <n v="95428"/>
    <n v="0"/>
    <n v="0"/>
    <x v="1"/>
    <x v="2"/>
    <s v="No"/>
    <s v="Travel_Rarely"/>
    <n v="3"/>
    <n v="5"/>
    <s v="No"/>
    <x v="0"/>
    <x v="4"/>
  </r>
  <r>
    <x v="722"/>
    <x v="1"/>
    <n v="34"/>
    <x v="1"/>
    <x v="3"/>
    <x v="16"/>
    <s v="Bachelor's"/>
    <s v="Married"/>
    <n v="90695"/>
    <n v="2"/>
    <n v="0"/>
    <x v="0"/>
    <x v="0"/>
    <s v="No"/>
    <s v="Travel_Rarely"/>
    <n v="4"/>
    <n v="4"/>
    <s v="No"/>
    <x v="0"/>
    <x v="2"/>
  </r>
  <r>
    <x v="723"/>
    <x v="2"/>
    <n v="50"/>
    <x v="1"/>
    <x v="0"/>
    <x v="0"/>
    <s v="Master's"/>
    <s v="Single"/>
    <n v="48509"/>
    <n v="20"/>
    <n v="9"/>
    <x v="1"/>
    <x v="3"/>
    <s v="Yes"/>
    <s v="Travel_Rarely"/>
    <n v="2"/>
    <n v="0"/>
    <s v="Yes"/>
    <x v="0"/>
    <x v="1"/>
  </r>
  <r>
    <x v="724"/>
    <x v="1"/>
    <n v="31"/>
    <x v="1"/>
    <x v="3"/>
    <x v="9"/>
    <s v="Bachelor's"/>
    <s v="Divorced"/>
    <n v="89881"/>
    <n v="6"/>
    <n v="1"/>
    <x v="1"/>
    <x v="0"/>
    <s v="Yes"/>
    <s v="Travel_Frequently"/>
    <n v="3"/>
    <n v="1"/>
    <s v="No"/>
    <x v="0"/>
    <x v="0"/>
  </r>
  <r>
    <x v="725"/>
    <x v="0"/>
    <n v="36"/>
    <x v="1"/>
    <x v="0"/>
    <x v="11"/>
    <s v="Master's"/>
    <s v="Married"/>
    <n v="75872"/>
    <n v="2"/>
    <n v="0"/>
    <x v="1"/>
    <x v="0"/>
    <s v="No"/>
    <s v="Travel_Rarely"/>
    <n v="3"/>
    <n v="4"/>
    <s v="No"/>
    <x v="0"/>
    <x v="2"/>
  </r>
  <r>
    <x v="726"/>
    <x v="1"/>
    <n v="33"/>
    <x v="1"/>
    <x v="1"/>
    <x v="7"/>
    <s v="Master's"/>
    <s v="Divorced"/>
    <n v="92697"/>
    <n v="10"/>
    <n v="2"/>
    <x v="1"/>
    <x v="0"/>
    <s v="No"/>
    <s v="Travel_Rarely"/>
    <n v="4"/>
    <n v="1"/>
    <s v="No"/>
    <x v="1"/>
    <x v="0"/>
  </r>
  <r>
    <x v="727"/>
    <x v="1"/>
    <n v="26"/>
    <x v="1"/>
    <x v="3"/>
    <x v="9"/>
    <s v="Bachelor's"/>
    <s v="Divorced"/>
    <n v="46483"/>
    <n v="0"/>
    <n v="0"/>
    <x v="3"/>
    <x v="0"/>
    <s v="Yes"/>
    <s v="Travel_Rarely"/>
    <n v="3"/>
    <n v="1"/>
    <s v="No"/>
    <x v="0"/>
    <x v="4"/>
  </r>
  <r>
    <x v="728"/>
    <x v="1"/>
    <n v="28"/>
    <x v="1"/>
    <x v="5"/>
    <x v="12"/>
    <s v="Bachelor's"/>
    <s v="Married"/>
    <n v="83284"/>
    <n v="5"/>
    <n v="2"/>
    <x v="1"/>
    <x v="3"/>
    <s v="No"/>
    <s v="Travel_Rarely"/>
    <n v="2"/>
    <n v="2"/>
    <s v="No"/>
    <x v="0"/>
    <x v="3"/>
  </r>
  <r>
    <x v="729"/>
    <x v="2"/>
    <n v="47"/>
    <x v="0"/>
    <x v="0"/>
    <x v="0"/>
    <s v="Bachelor's"/>
    <s v="Single"/>
    <n v="61024"/>
    <n v="3"/>
    <n v="3"/>
    <x v="1"/>
    <x v="2"/>
    <s v="Yes"/>
    <s v="Travel_Rarely"/>
    <n v="3"/>
    <n v="2"/>
    <s v="No"/>
    <x v="0"/>
    <x v="3"/>
  </r>
  <r>
    <x v="730"/>
    <x v="1"/>
    <n v="34"/>
    <x v="0"/>
    <x v="4"/>
    <x v="6"/>
    <s v="Master's"/>
    <s v="Single"/>
    <n v="55834"/>
    <n v="12"/>
    <n v="4"/>
    <x v="1"/>
    <x v="1"/>
    <s v="No"/>
    <s v="Travel_Frequently"/>
    <n v="4"/>
    <n v="6"/>
    <s v="No"/>
    <x v="0"/>
    <x v="1"/>
  </r>
  <r>
    <x v="731"/>
    <x v="1"/>
    <n v="34"/>
    <x v="0"/>
    <x v="5"/>
    <x v="8"/>
    <s v="Bachelor's"/>
    <s v="Single"/>
    <n v="48482"/>
    <n v="3"/>
    <n v="1"/>
    <x v="0"/>
    <x v="3"/>
    <s v="No"/>
    <s v="Travel_Rarely"/>
    <n v="4"/>
    <n v="3"/>
    <s v="No"/>
    <x v="0"/>
    <x v="3"/>
  </r>
  <r>
    <x v="732"/>
    <x v="1"/>
    <n v="31"/>
    <x v="0"/>
    <x v="0"/>
    <x v="0"/>
    <s v="Master's"/>
    <s v="Married"/>
    <n v="28912"/>
    <n v="8"/>
    <n v="8"/>
    <x v="1"/>
    <x v="0"/>
    <s v="No"/>
    <s v="Travel_Frequently"/>
    <n v="4"/>
    <n v="2"/>
    <s v="No"/>
    <x v="0"/>
    <x v="0"/>
  </r>
  <r>
    <x v="733"/>
    <x v="0"/>
    <n v="35"/>
    <x v="0"/>
    <x v="4"/>
    <x v="10"/>
    <s v="Bachelor's"/>
    <s v="Married"/>
    <n v="30451"/>
    <n v="3"/>
    <n v="1"/>
    <x v="0"/>
    <x v="1"/>
    <s v="No"/>
    <s v="Travel_Rarely"/>
    <n v="3"/>
    <n v="1"/>
    <s v="Yes"/>
    <x v="0"/>
    <x v="3"/>
  </r>
  <r>
    <x v="734"/>
    <x v="0"/>
    <n v="44"/>
    <x v="0"/>
    <x v="0"/>
    <x v="2"/>
    <s v="Bachelor's"/>
    <s v="Married"/>
    <n v="28754"/>
    <n v="11"/>
    <n v="7"/>
    <x v="0"/>
    <x v="3"/>
    <s v="No"/>
    <s v="Travel_Rarely"/>
    <n v="3"/>
    <n v="0"/>
    <s v="Yes"/>
    <x v="0"/>
    <x v="1"/>
  </r>
  <r>
    <x v="735"/>
    <x v="0"/>
    <n v="35"/>
    <x v="0"/>
    <x v="3"/>
    <x v="16"/>
    <s v="Master's"/>
    <s v="Married"/>
    <n v="91238"/>
    <n v="8"/>
    <n v="8"/>
    <x v="1"/>
    <x v="0"/>
    <s v="No"/>
    <s v="Travel_Rarely"/>
    <n v="3"/>
    <n v="3"/>
    <s v="No"/>
    <x v="0"/>
    <x v="0"/>
  </r>
  <r>
    <x v="736"/>
    <x v="3"/>
    <n v="21"/>
    <x v="1"/>
    <x v="0"/>
    <x v="2"/>
    <s v="Bachelor's"/>
    <s v="Single"/>
    <n v="47588"/>
    <n v="3"/>
    <n v="1"/>
    <x v="3"/>
    <x v="3"/>
    <s v="No"/>
    <s v="Travel_Rarely"/>
    <n v="3"/>
    <n v="6"/>
    <s v="No"/>
    <x v="0"/>
    <x v="3"/>
  </r>
  <r>
    <x v="737"/>
    <x v="0"/>
    <n v="42"/>
    <x v="1"/>
    <x v="0"/>
    <x v="2"/>
    <s v="Bachelor's"/>
    <s v="Married"/>
    <n v="87785"/>
    <n v="0"/>
    <n v="0"/>
    <x v="1"/>
    <x v="0"/>
    <s v="No"/>
    <s v="Travel_Frequently"/>
    <n v="3"/>
    <n v="3"/>
    <s v="No"/>
    <x v="0"/>
    <x v="4"/>
  </r>
  <r>
    <x v="738"/>
    <x v="0"/>
    <n v="37"/>
    <x v="0"/>
    <x v="0"/>
    <x v="0"/>
    <s v="Master's"/>
    <s v="Married"/>
    <n v="90396"/>
    <n v="7"/>
    <n v="4"/>
    <x v="3"/>
    <x v="2"/>
    <s v="No"/>
    <s v="Travel_Frequently"/>
    <n v="4"/>
    <n v="0"/>
    <s v="No"/>
    <x v="0"/>
    <x v="0"/>
  </r>
  <r>
    <x v="739"/>
    <x v="2"/>
    <n v="48"/>
    <x v="0"/>
    <x v="1"/>
    <x v="3"/>
    <s v="Master's"/>
    <s v="Married"/>
    <n v="89755"/>
    <n v="18"/>
    <n v="6"/>
    <x v="1"/>
    <x v="0"/>
    <s v="Yes"/>
    <s v="Travel_Rarely"/>
    <n v="4"/>
    <n v="1"/>
    <s v="No"/>
    <x v="1"/>
    <x v="1"/>
  </r>
  <r>
    <x v="740"/>
    <x v="3"/>
    <n v="21"/>
    <x v="1"/>
    <x v="2"/>
    <x v="4"/>
    <s v="Master's"/>
    <s v="Divorced"/>
    <n v="59426"/>
    <n v="3"/>
    <n v="1"/>
    <x v="3"/>
    <x v="1"/>
    <s v="No"/>
    <s v="Travel_Rarely"/>
    <n v="3"/>
    <n v="3"/>
    <s v="No"/>
    <x v="0"/>
    <x v="3"/>
  </r>
  <r>
    <x v="741"/>
    <x v="3"/>
    <n v="22"/>
    <x v="1"/>
    <x v="1"/>
    <x v="7"/>
    <s v="Bachelor's"/>
    <s v="Single"/>
    <n v="66536"/>
    <n v="3"/>
    <n v="3"/>
    <x v="3"/>
    <x v="1"/>
    <s v="No"/>
    <s v="Travel_Frequently"/>
    <n v="3"/>
    <n v="5"/>
    <s v="Yes"/>
    <x v="0"/>
    <x v="3"/>
  </r>
  <r>
    <x v="742"/>
    <x v="0"/>
    <n v="35"/>
    <x v="0"/>
    <x v="3"/>
    <x v="18"/>
    <s v="High School"/>
    <s v="Single"/>
    <n v="89659"/>
    <n v="1"/>
    <n v="0"/>
    <x v="1"/>
    <x v="0"/>
    <s v="No"/>
    <s v="Travel_Rarely"/>
    <n v="3"/>
    <n v="6"/>
    <s v="No"/>
    <x v="0"/>
    <x v="2"/>
  </r>
  <r>
    <x v="743"/>
    <x v="3"/>
    <n v="24"/>
    <x v="0"/>
    <x v="1"/>
    <x v="3"/>
    <s v="Bachelor's"/>
    <s v="Single"/>
    <n v="76351"/>
    <n v="6"/>
    <n v="6"/>
    <x v="3"/>
    <x v="0"/>
    <s v="No"/>
    <s v="Travel_Rarely"/>
    <n v="4"/>
    <n v="3"/>
    <s v="No"/>
    <x v="0"/>
    <x v="0"/>
  </r>
  <r>
    <x v="744"/>
    <x v="0"/>
    <n v="41"/>
    <x v="0"/>
    <x v="5"/>
    <x v="8"/>
    <s v="Master's"/>
    <s v="Married"/>
    <n v="44655"/>
    <n v="0"/>
    <n v="0"/>
    <x v="3"/>
    <x v="3"/>
    <s v="No"/>
    <s v="Travel_Rarely"/>
    <n v="3"/>
    <n v="2"/>
    <s v="No"/>
    <x v="1"/>
    <x v="4"/>
  </r>
  <r>
    <x v="745"/>
    <x v="2"/>
    <n v="48"/>
    <x v="0"/>
    <x v="3"/>
    <x v="16"/>
    <s v="Master's"/>
    <s v="Single"/>
    <n v="79761"/>
    <n v="25"/>
    <n v="12"/>
    <x v="3"/>
    <x v="0"/>
    <s v="No"/>
    <s v="Travel_Rarely"/>
    <n v="3"/>
    <n v="2"/>
    <s v="No"/>
    <x v="0"/>
    <x v="1"/>
  </r>
  <r>
    <x v="746"/>
    <x v="1"/>
    <n v="30"/>
    <x v="1"/>
    <x v="3"/>
    <x v="16"/>
    <s v="Master's"/>
    <s v="Married"/>
    <n v="93959"/>
    <n v="8"/>
    <n v="0"/>
    <x v="1"/>
    <x v="1"/>
    <s v="Yes"/>
    <s v="Travel_Rarely"/>
    <n v="3"/>
    <n v="0"/>
    <s v="No"/>
    <x v="0"/>
    <x v="0"/>
  </r>
  <r>
    <x v="747"/>
    <x v="0"/>
    <n v="37"/>
    <x v="0"/>
    <x v="1"/>
    <x v="3"/>
    <s v="Bachelor's"/>
    <s v="Married"/>
    <n v="74746"/>
    <n v="8"/>
    <n v="4"/>
    <x v="1"/>
    <x v="0"/>
    <s v="Yes"/>
    <s v="Travel_Frequently"/>
    <n v="3"/>
    <n v="1"/>
    <s v="No"/>
    <x v="0"/>
    <x v="0"/>
  </r>
  <r>
    <x v="748"/>
    <x v="3"/>
    <n v="21"/>
    <x v="0"/>
    <x v="0"/>
    <x v="2"/>
    <s v="PhD"/>
    <s v="Married"/>
    <n v="57918"/>
    <n v="1"/>
    <n v="0"/>
    <x v="2"/>
    <x v="2"/>
    <s v="No"/>
    <s v="Travel_Frequently"/>
    <n v="3"/>
    <n v="3"/>
    <s v="Yes"/>
    <x v="0"/>
    <x v="2"/>
  </r>
  <r>
    <x v="749"/>
    <x v="2"/>
    <n v="48"/>
    <x v="1"/>
    <x v="1"/>
    <x v="3"/>
    <s v="Bachelor's"/>
    <s v="Single"/>
    <n v="61645"/>
    <n v="5"/>
    <n v="2"/>
    <x v="2"/>
    <x v="3"/>
    <s v="Yes"/>
    <s v="Travel_Frequently"/>
    <n v="4"/>
    <n v="6"/>
    <s v="No"/>
    <x v="0"/>
    <x v="3"/>
  </r>
  <r>
    <x v="750"/>
    <x v="0"/>
    <n v="41"/>
    <x v="0"/>
    <x v="3"/>
    <x v="16"/>
    <s v="Bachelor's"/>
    <s v="Single"/>
    <n v="70460"/>
    <n v="5"/>
    <n v="0"/>
    <x v="0"/>
    <x v="1"/>
    <s v="Yes"/>
    <s v="Non-Travel"/>
    <n v="2"/>
    <n v="3"/>
    <s v="No"/>
    <x v="0"/>
    <x v="3"/>
  </r>
  <r>
    <x v="751"/>
    <x v="1"/>
    <n v="32"/>
    <x v="0"/>
    <x v="1"/>
    <x v="1"/>
    <s v="Bachelor's"/>
    <s v="Married"/>
    <n v="83280"/>
    <n v="9"/>
    <n v="0"/>
    <x v="0"/>
    <x v="0"/>
    <s v="No"/>
    <s v="Travel_Rarely"/>
    <n v="3"/>
    <n v="6"/>
    <s v="No"/>
    <x v="0"/>
    <x v="0"/>
  </r>
  <r>
    <x v="752"/>
    <x v="1"/>
    <n v="31"/>
    <x v="0"/>
    <x v="1"/>
    <x v="3"/>
    <s v="Master's"/>
    <s v="Married"/>
    <n v="89288"/>
    <n v="7"/>
    <n v="1"/>
    <x v="3"/>
    <x v="1"/>
    <s v="No"/>
    <s v="Travel_Frequently"/>
    <n v="4"/>
    <n v="5"/>
    <s v="No"/>
    <x v="0"/>
    <x v="0"/>
  </r>
  <r>
    <x v="753"/>
    <x v="2"/>
    <n v="50"/>
    <x v="0"/>
    <x v="3"/>
    <x v="5"/>
    <s v="Bachelor's"/>
    <s v="Single"/>
    <n v="80830"/>
    <n v="24"/>
    <n v="4"/>
    <x v="1"/>
    <x v="3"/>
    <s v="No"/>
    <s v="Travel_Rarely"/>
    <n v="4"/>
    <n v="2"/>
    <s v="No"/>
    <x v="0"/>
    <x v="1"/>
  </r>
  <r>
    <x v="754"/>
    <x v="0"/>
    <n v="39"/>
    <x v="0"/>
    <x v="3"/>
    <x v="5"/>
    <s v="Master's"/>
    <s v="Married"/>
    <n v="81506"/>
    <n v="20"/>
    <n v="6"/>
    <x v="0"/>
    <x v="3"/>
    <s v="No"/>
    <s v="Travel_Rarely"/>
    <n v="4"/>
    <n v="5"/>
    <s v="No"/>
    <x v="0"/>
    <x v="1"/>
  </r>
  <r>
    <x v="755"/>
    <x v="0"/>
    <n v="36"/>
    <x v="0"/>
    <x v="1"/>
    <x v="7"/>
    <s v="Bachelor's"/>
    <s v="Married"/>
    <n v="87309"/>
    <n v="10"/>
    <n v="10"/>
    <x v="1"/>
    <x v="0"/>
    <s v="Yes"/>
    <s v="Travel_Frequently"/>
    <n v="3"/>
    <n v="2"/>
    <s v="No"/>
    <x v="0"/>
    <x v="0"/>
  </r>
  <r>
    <x v="756"/>
    <x v="1"/>
    <n v="31"/>
    <x v="0"/>
    <x v="5"/>
    <x v="8"/>
    <s v="Bachelor's"/>
    <s v="Single"/>
    <n v="62310"/>
    <n v="4"/>
    <n v="1"/>
    <x v="1"/>
    <x v="1"/>
    <s v="No"/>
    <s v="Travel_Frequently"/>
    <n v="3"/>
    <n v="1"/>
    <s v="No"/>
    <x v="0"/>
    <x v="3"/>
  </r>
  <r>
    <x v="757"/>
    <x v="3"/>
    <n v="24"/>
    <x v="0"/>
    <x v="0"/>
    <x v="2"/>
    <s v="Master's"/>
    <s v="Married"/>
    <n v="60039"/>
    <n v="3"/>
    <n v="1"/>
    <x v="1"/>
    <x v="3"/>
    <s v="Yes"/>
    <s v="Non-Travel"/>
    <n v="4"/>
    <n v="1"/>
    <s v="No"/>
    <x v="1"/>
    <x v="3"/>
  </r>
  <r>
    <x v="758"/>
    <x v="1"/>
    <n v="25"/>
    <x v="0"/>
    <x v="3"/>
    <x v="16"/>
    <s v="PhD"/>
    <s v="Divorced"/>
    <n v="52265"/>
    <n v="7"/>
    <n v="4"/>
    <x v="3"/>
    <x v="3"/>
    <s v="No"/>
    <s v="Travel_Rarely"/>
    <n v="3"/>
    <n v="5"/>
    <s v="Yes"/>
    <x v="0"/>
    <x v="0"/>
  </r>
  <r>
    <x v="759"/>
    <x v="0"/>
    <n v="42"/>
    <x v="0"/>
    <x v="0"/>
    <x v="0"/>
    <s v="Master's"/>
    <s v="Married"/>
    <n v="72671"/>
    <n v="16"/>
    <n v="9"/>
    <x v="0"/>
    <x v="0"/>
    <s v="Yes"/>
    <s v="Travel_Rarely"/>
    <n v="3"/>
    <n v="4"/>
    <s v="No"/>
    <x v="0"/>
    <x v="1"/>
  </r>
  <r>
    <x v="760"/>
    <x v="2"/>
    <n v="46"/>
    <x v="0"/>
    <x v="2"/>
    <x v="17"/>
    <s v="High School"/>
    <s v="Single"/>
    <n v="87491"/>
    <n v="14"/>
    <n v="6"/>
    <x v="1"/>
    <x v="1"/>
    <s v="No"/>
    <s v="Travel_Frequently"/>
    <n v="4"/>
    <n v="6"/>
    <s v="No"/>
    <x v="0"/>
    <x v="1"/>
  </r>
  <r>
    <x v="761"/>
    <x v="1"/>
    <n v="31"/>
    <x v="0"/>
    <x v="4"/>
    <x v="6"/>
    <s v="Bachelor's"/>
    <s v="Single"/>
    <n v="42242"/>
    <n v="5"/>
    <n v="1"/>
    <x v="3"/>
    <x v="1"/>
    <s v="Yes"/>
    <s v="Non-Travel"/>
    <n v="3"/>
    <n v="1"/>
    <s v="No"/>
    <x v="0"/>
    <x v="3"/>
  </r>
  <r>
    <x v="762"/>
    <x v="1"/>
    <n v="30"/>
    <x v="1"/>
    <x v="4"/>
    <x v="10"/>
    <s v="Master's"/>
    <s v="Married"/>
    <n v="112489"/>
    <n v="5"/>
    <n v="3"/>
    <x v="2"/>
    <x v="3"/>
    <s v="No"/>
    <s v="Travel_Frequently"/>
    <n v="3"/>
    <n v="2"/>
    <s v="Yes"/>
    <x v="0"/>
    <x v="3"/>
  </r>
  <r>
    <x v="763"/>
    <x v="1"/>
    <n v="30"/>
    <x v="0"/>
    <x v="0"/>
    <x v="11"/>
    <s v="Bachelor's"/>
    <s v="Single"/>
    <n v="46306"/>
    <n v="8"/>
    <n v="6"/>
    <x v="0"/>
    <x v="0"/>
    <s v="No"/>
    <s v="Travel_Frequently"/>
    <n v="3"/>
    <n v="4"/>
    <s v="No"/>
    <x v="0"/>
    <x v="0"/>
  </r>
  <r>
    <x v="764"/>
    <x v="1"/>
    <n v="29"/>
    <x v="0"/>
    <x v="0"/>
    <x v="11"/>
    <s v="Bachelor's"/>
    <s v="Married"/>
    <n v="54911"/>
    <n v="0"/>
    <n v="0"/>
    <x v="1"/>
    <x v="3"/>
    <s v="No"/>
    <s v="Travel_Rarely"/>
    <n v="3"/>
    <n v="6"/>
    <s v="No"/>
    <x v="0"/>
    <x v="4"/>
  </r>
  <r>
    <x v="765"/>
    <x v="1"/>
    <n v="32"/>
    <x v="1"/>
    <x v="3"/>
    <x v="16"/>
    <s v="Master's"/>
    <s v="Single"/>
    <n v="80324"/>
    <n v="5"/>
    <n v="4"/>
    <x v="1"/>
    <x v="0"/>
    <s v="No"/>
    <s v="Travel_Rarely"/>
    <n v="3"/>
    <n v="0"/>
    <s v="No"/>
    <x v="0"/>
    <x v="3"/>
  </r>
  <r>
    <x v="766"/>
    <x v="0"/>
    <n v="40"/>
    <x v="0"/>
    <x v="4"/>
    <x v="15"/>
    <s v="Master's"/>
    <s v="Divorced"/>
    <n v="79709"/>
    <n v="3"/>
    <n v="1"/>
    <x v="2"/>
    <x v="3"/>
    <s v="No"/>
    <s v="Travel_Rarely"/>
    <n v="3"/>
    <n v="1"/>
    <s v="No"/>
    <x v="0"/>
    <x v="3"/>
  </r>
  <r>
    <x v="767"/>
    <x v="2"/>
    <n v="47"/>
    <x v="0"/>
    <x v="2"/>
    <x v="17"/>
    <s v="High School"/>
    <s v="Single"/>
    <n v="44798"/>
    <n v="4"/>
    <n v="0"/>
    <x v="2"/>
    <x v="1"/>
    <s v="No"/>
    <s v="Travel_Rarely"/>
    <n v="2"/>
    <n v="2"/>
    <s v="Yes"/>
    <x v="0"/>
    <x v="3"/>
  </r>
  <r>
    <x v="768"/>
    <x v="0"/>
    <n v="43"/>
    <x v="0"/>
    <x v="0"/>
    <x v="11"/>
    <s v="Bachelor's"/>
    <s v="Single"/>
    <n v="59293"/>
    <n v="0"/>
    <n v="0"/>
    <x v="0"/>
    <x v="1"/>
    <s v="No"/>
    <s v="Travel_Rarely"/>
    <n v="3"/>
    <n v="0"/>
    <s v="No"/>
    <x v="0"/>
    <x v="4"/>
  </r>
  <r>
    <x v="769"/>
    <x v="3"/>
    <n v="21"/>
    <x v="1"/>
    <x v="4"/>
    <x v="10"/>
    <s v="Bachelor's"/>
    <s v="Single"/>
    <n v="73175"/>
    <n v="1"/>
    <n v="1"/>
    <x v="1"/>
    <x v="3"/>
    <s v="Yes"/>
    <s v="Travel_Rarely"/>
    <n v="3"/>
    <n v="5"/>
    <s v="No"/>
    <x v="0"/>
    <x v="2"/>
  </r>
  <r>
    <x v="770"/>
    <x v="2"/>
    <n v="49"/>
    <x v="1"/>
    <x v="1"/>
    <x v="1"/>
    <s v="Master's"/>
    <s v="Married"/>
    <n v="72493"/>
    <n v="16"/>
    <n v="6"/>
    <x v="0"/>
    <x v="0"/>
    <s v="No"/>
    <s v="Travel_Rarely"/>
    <n v="3"/>
    <n v="0"/>
    <s v="Yes"/>
    <x v="0"/>
    <x v="1"/>
  </r>
  <r>
    <x v="771"/>
    <x v="1"/>
    <n v="30"/>
    <x v="1"/>
    <x v="1"/>
    <x v="1"/>
    <s v="Master's"/>
    <s v="Single"/>
    <n v="108617"/>
    <n v="6"/>
    <n v="1"/>
    <x v="1"/>
    <x v="1"/>
    <s v="No"/>
    <s v="Travel_Rarely"/>
    <n v="2"/>
    <n v="2"/>
    <s v="No"/>
    <x v="0"/>
    <x v="0"/>
  </r>
  <r>
    <x v="772"/>
    <x v="0"/>
    <n v="44"/>
    <x v="0"/>
    <x v="5"/>
    <x v="14"/>
    <s v="Bachelor's"/>
    <s v="Single"/>
    <n v="50895"/>
    <n v="20"/>
    <n v="4"/>
    <x v="2"/>
    <x v="3"/>
    <s v="No"/>
    <s v="Travel_Rarely"/>
    <n v="3"/>
    <n v="0"/>
    <s v="No"/>
    <x v="0"/>
    <x v="1"/>
  </r>
  <r>
    <x v="773"/>
    <x v="1"/>
    <n v="33"/>
    <x v="0"/>
    <x v="3"/>
    <x v="16"/>
    <s v="Master's"/>
    <s v="Married"/>
    <n v="50533"/>
    <n v="13"/>
    <n v="9"/>
    <x v="0"/>
    <x v="2"/>
    <s v="Yes"/>
    <s v="Non-Travel"/>
    <n v="3"/>
    <n v="3"/>
    <s v="No"/>
    <x v="0"/>
    <x v="1"/>
  </r>
  <r>
    <x v="774"/>
    <x v="1"/>
    <n v="33"/>
    <x v="1"/>
    <x v="1"/>
    <x v="3"/>
    <s v="Bachelor's"/>
    <s v="Married"/>
    <n v="43789"/>
    <n v="12"/>
    <n v="4"/>
    <x v="1"/>
    <x v="1"/>
    <s v="No"/>
    <s v="Travel_Rarely"/>
    <n v="3"/>
    <n v="4"/>
    <s v="No"/>
    <x v="0"/>
    <x v="1"/>
  </r>
  <r>
    <x v="775"/>
    <x v="0"/>
    <n v="39"/>
    <x v="1"/>
    <x v="1"/>
    <x v="3"/>
    <s v="Master's"/>
    <s v="Single"/>
    <n v="109792"/>
    <n v="19"/>
    <n v="4"/>
    <x v="3"/>
    <x v="0"/>
    <s v="Yes"/>
    <s v="Travel_Rarely"/>
    <n v="3"/>
    <n v="5"/>
    <s v="Yes"/>
    <x v="0"/>
    <x v="1"/>
  </r>
  <r>
    <x v="776"/>
    <x v="0"/>
    <n v="38"/>
    <x v="1"/>
    <x v="1"/>
    <x v="3"/>
    <s v="Bachelor's"/>
    <s v="Single"/>
    <n v="46132"/>
    <n v="6"/>
    <n v="1"/>
    <x v="2"/>
    <x v="0"/>
    <s v="No"/>
    <s v="Travel_Rarely"/>
    <n v="3"/>
    <n v="6"/>
    <s v="No"/>
    <x v="1"/>
    <x v="0"/>
  </r>
  <r>
    <x v="777"/>
    <x v="0"/>
    <n v="41"/>
    <x v="0"/>
    <x v="4"/>
    <x v="15"/>
    <s v="Master's"/>
    <s v="Married"/>
    <n v="96324"/>
    <n v="8"/>
    <n v="8"/>
    <x v="1"/>
    <x v="1"/>
    <s v="Yes"/>
    <s v="Travel_Rarely"/>
    <n v="3"/>
    <n v="4"/>
    <s v="No"/>
    <x v="0"/>
    <x v="0"/>
  </r>
  <r>
    <x v="778"/>
    <x v="0"/>
    <n v="35"/>
    <x v="0"/>
    <x v="0"/>
    <x v="11"/>
    <s v="Bachelor's"/>
    <s v="Married"/>
    <n v="71867"/>
    <n v="11"/>
    <n v="5"/>
    <x v="0"/>
    <x v="3"/>
    <s v="No"/>
    <s v="Travel_Rarely"/>
    <n v="4"/>
    <n v="6"/>
    <s v="Yes"/>
    <x v="0"/>
    <x v="1"/>
  </r>
  <r>
    <x v="779"/>
    <x v="0"/>
    <n v="43"/>
    <x v="0"/>
    <x v="1"/>
    <x v="1"/>
    <s v="Bachelor's"/>
    <s v="Married"/>
    <n v="104043"/>
    <n v="24"/>
    <n v="2"/>
    <x v="2"/>
    <x v="0"/>
    <s v="No"/>
    <s v="Travel_Rarely"/>
    <n v="3"/>
    <n v="6"/>
    <s v="No"/>
    <x v="0"/>
    <x v="1"/>
  </r>
  <r>
    <x v="780"/>
    <x v="2"/>
    <n v="51"/>
    <x v="0"/>
    <x v="1"/>
    <x v="1"/>
    <s v="Bachelor's"/>
    <s v="Single"/>
    <n v="72601"/>
    <n v="21"/>
    <n v="11"/>
    <x v="1"/>
    <x v="0"/>
    <s v="No"/>
    <s v="Non-Travel"/>
    <n v="3"/>
    <n v="4"/>
    <s v="No"/>
    <x v="0"/>
    <x v="1"/>
  </r>
  <r>
    <x v="781"/>
    <x v="1"/>
    <n v="31"/>
    <x v="1"/>
    <x v="3"/>
    <x v="16"/>
    <s v="Bachelor's"/>
    <s v="Single"/>
    <n v="71165"/>
    <n v="3"/>
    <n v="2"/>
    <x v="1"/>
    <x v="2"/>
    <s v="No"/>
    <s v="Travel_Frequently"/>
    <n v="2"/>
    <n v="4"/>
    <s v="Yes"/>
    <x v="0"/>
    <x v="3"/>
  </r>
  <r>
    <x v="782"/>
    <x v="0"/>
    <n v="44"/>
    <x v="1"/>
    <x v="2"/>
    <x v="13"/>
    <s v="Master's"/>
    <s v="Single"/>
    <n v="98274"/>
    <n v="23"/>
    <n v="10"/>
    <x v="1"/>
    <x v="3"/>
    <s v="No"/>
    <s v="Travel_Rarely"/>
    <n v="4"/>
    <n v="0"/>
    <s v="No"/>
    <x v="0"/>
    <x v="1"/>
  </r>
  <r>
    <x v="783"/>
    <x v="1"/>
    <n v="34"/>
    <x v="0"/>
    <x v="2"/>
    <x v="13"/>
    <s v="Bachelor's"/>
    <s v="Single"/>
    <n v="46133"/>
    <n v="4"/>
    <n v="4"/>
    <x v="2"/>
    <x v="3"/>
    <s v="No"/>
    <s v="Travel_Rarely"/>
    <n v="3"/>
    <n v="2"/>
    <s v="No"/>
    <x v="0"/>
    <x v="3"/>
  </r>
  <r>
    <x v="784"/>
    <x v="1"/>
    <n v="28"/>
    <x v="1"/>
    <x v="3"/>
    <x v="18"/>
    <s v="High School"/>
    <s v="Divorced"/>
    <n v="75288"/>
    <n v="1"/>
    <n v="1"/>
    <x v="3"/>
    <x v="0"/>
    <s v="No"/>
    <s v="Travel_Rarely"/>
    <n v="4"/>
    <n v="1"/>
    <s v="No"/>
    <x v="0"/>
    <x v="2"/>
  </r>
  <r>
    <x v="785"/>
    <x v="1"/>
    <n v="32"/>
    <x v="1"/>
    <x v="0"/>
    <x v="2"/>
    <s v="Master's"/>
    <s v="Married"/>
    <n v="74445"/>
    <n v="11"/>
    <n v="1"/>
    <x v="1"/>
    <x v="0"/>
    <s v="No"/>
    <s v="Travel_Rarely"/>
    <n v="3"/>
    <n v="0"/>
    <s v="Yes"/>
    <x v="0"/>
    <x v="1"/>
  </r>
  <r>
    <x v="786"/>
    <x v="0"/>
    <n v="35"/>
    <x v="1"/>
    <x v="4"/>
    <x v="6"/>
    <s v="High School"/>
    <s v="Single"/>
    <n v="38530"/>
    <n v="13"/>
    <n v="8"/>
    <x v="0"/>
    <x v="0"/>
    <s v="No"/>
    <s v="Travel_Rarely"/>
    <n v="3"/>
    <n v="3"/>
    <s v="Yes"/>
    <x v="0"/>
    <x v="1"/>
  </r>
  <r>
    <x v="787"/>
    <x v="0"/>
    <n v="35"/>
    <x v="0"/>
    <x v="4"/>
    <x v="10"/>
    <s v="Bachelor's"/>
    <s v="Single"/>
    <n v="89025"/>
    <n v="3"/>
    <n v="0"/>
    <x v="0"/>
    <x v="0"/>
    <s v="No"/>
    <s v="Travel_Rarely"/>
    <n v="3"/>
    <n v="2"/>
    <s v="No"/>
    <x v="0"/>
    <x v="3"/>
  </r>
  <r>
    <x v="788"/>
    <x v="1"/>
    <n v="32"/>
    <x v="1"/>
    <x v="1"/>
    <x v="1"/>
    <s v="Bachelor's"/>
    <s v="Single"/>
    <n v="62934"/>
    <n v="4"/>
    <n v="2"/>
    <x v="1"/>
    <x v="0"/>
    <s v="Yes"/>
    <s v="Travel_Frequently"/>
    <n v="3"/>
    <n v="5"/>
    <s v="Yes"/>
    <x v="0"/>
    <x v="3"/>
  </r>
  <r>
    <x v="789"/>
    <x v="1"/>
    <n v="34"/>
    <x v="1"/>
    <x v="4"/>
    <x v="6"/>
    <s v="Bachelor's"/>
    <s v="Single"/>
    <n v="56141"/>
    <n v="1"/>
    <n v="0"/>
    <x v="1"/>
    <x v="1"/>
    <s v="Yes"/>
    <s v="Travel_Rarely"/>
    <n v="3"/>
    <n v="5"/>
    <s v="No"/>
    <x v="0"/>
    <x v="2"/>
  </r>
  <r>
    <x v="790"/>
    <x v="0"/>
    <n v="42"/>
    <x v="0"/>
    <x v="1"/>
    <x v="3"/>
    <s v="Bachelor's"/>
    <s v="Divorced"/>
    <n v="79015"/>
    <n v="2"/>
    <n v="1"/>
    <x v="0"/>
    <x v="3"/>
    <s v="Yes"/>
    <s v="Travel_Rarely"/>
    <n v="3"/>
    <n v="0"/>
    <s v="Yes"/>
    <x v="0"/>
    <x v="2"/>
  </r>
  <r>
    <x v="791"/>
    <x v="3"/>
    <n v="21"/>
    <x v="1"/>
    <x v="4"/>
    <x v="6"/>
    <s v="Bachelor's"/>
    <s v="Married"/>
    <n v="71872"/>
    <n v="0"/>
    <n v="0"/>
    <x v="2"/>
    <x v="2"/>
    <s v="No"/>
    <s v="Travel_Rarely"/>
    <n v="3"/>
    <n v="5"/>
    <s v="Yes"/>
    <x v="0"/>
    <x v="4"/>
  </r>
  <r>
    <x v="792"/>
    <x v="1"/>
    <n v="27"/>
    <x v="1"/>
    <x v="2"/>
    <x v="13"/>
    <s v="High School"/>
    <s v="Single"/>
    <n v="68184"/>
    <n v="7"/>
    <n v="4"/>
    <x v="3"/>
    <x v="0"/>
    <s v="No"/>
    <s v="Travel_Frequently"/>
    <n v="3"/>
    <n v="5"/>
    <s v="No"/>
    <x v="0"/>
    <x v="0"/>
  </r>
  <r>
    <x v="793"/>
    <x v="0"/>
    <n v="44"/>
    <x v="1"/>
    <x v="3"/>
    <x v="18"/>
    <s v="Master's"/>
    <s v="Married"/>
    <n v="89860"/>
    <n v="25"/>
    <n v="5"/>
    <x v="1"/>
    <x v="2"/>
    <s v="Yes"/>
    <s v="Non-Travel"/>
    <n v="4"/>
    <n v="1"/>
    <s v="No"/>
    <x v="1"/>
    <x v="1"/>
  </r>
  <r>
    <x v="794"/>
    <x v="0"/>
    <n v="38"/>
    <x v="0"/>
    <x v="5"/>
    <x v="14"/>
    <s v="Bachelor's"/>
    <s v="Married"/>
    <n v="27492"/>
    <n v="4"/>
    <n v="0"/>
    <x v="2"/>
    <x v="1"/>
    <s v="No"/>
    <s v="Travel_Rarely"/>
    <n v="3"/>
    <n v="4"/>
    <s v="No"/>
    <x v="1"/>
    <x v="3"/>
  </r>
  <r>
    <x v="795"/>
    <x v="0"/>
    <n v="37"/>
    <x v="0"/>
    <x v="3"/>
    <x v="5"/>
    <s v="PhD"/>
    <s v="Married"/>
    <n v="59371"/>
    <n v="13"/>
    <n v="8"/>
    <x v="1"/>
    <x v="1"/>
    <s v="Yes"/>
    <s v="Travel_Rarely"/>
    <n v="2"/>
    <n v="2"/>
    <s v="No"/>
    <x v="0"/>
    <x v="1"/>
  </r>
  <r>
    <x v="796"/>
    <x v="1"/>
    <n v="25"/>
    <x v="1"/>
    <x v="5"/>
    <x v="8"/>
    <s v="PhD"/>
    <s v="Single"/>
    <n v="93769"/>
    <n v="6"/>
    <n v="3"/>
    <x v="3"/>
    <x v="1"/>
    <s v="No"/>
    <s v="Travel_Rarely"/>
    <n v="3"/>
    <n v="1"/>
    <s v="No"/>
    <x v="0"/>
    <x v="0"/>
  </r>
  <r>
    <x v="797"/>
    <x v="1"/>
    <n v="30"/>
    <x v="1"/>
    <x v="4"/>
    <x v="15"/>
    <s v="Master's"/>
    <s v="Single"/>
    <n v="85846"/>
    <n v="10"/>
    <n v="7"/>
    <x v="1"/>
    <x v="0"/>
    <s v="No"/>
    <s v="Travel_Rarely"/>
    <n v="3"/>
    <n v="2"/>
    <s v="No"/>
    <x v="0"/>
    <x v="0"/>
  </r>
  <r>
    <x v="798"/>
    <x v="1"/>
    <n v="25"/>
    <x v="1"/>
    <x v="1"/>
    <x v="7"/>
    <s v="Master's"/>
    <s v="Single"/>
    <n v="103927"/>
    <n v="6"/>
    <n v="2"/>
    <x v="0"/>
    <x v="0"/>
    <s v="No"/>
    <s v="Travel_Rarely"/>
    <n v="3"/>
    <n v="2"/>
    <s v="No"/>
    <x v="0"/>
    <x v="0"/>
  </r>
  <r>
    <x v="799"/>
    <x v="1"/>
    <n v="27"/>
    <x v="1"/>
    <x v="3"/>
    <x v="5"/>
    <s v="High School"/>
    <s v="Single"/>
    <n v="60410"/>
    <n v="9"/>
    <n v="7"/>
    <x v="1"/>
    <x v="2"/>
    <s v="No"/>
    <s v="Non-Travel"/>
    <n v="3"/>
    <n v="0"/>
    <s v="No"/>
    <x v="0"/>
    <x v="0"/>
  </r>
  <r>
    <x v="800"/>
    <x v="1"/>
    <n v="32"/>
    <x v="1"/>
    <x v="1"/>
    <x v="7"/>
    <s v="Master's"/>
    <s v="Married"/>
    <n v="44078"/>
    <n v="8"/>
    <n v="2"/>
    <x v="1"/>
    <x v="0"/>
    <s v="No"/>
    <s v="Travel_Frequently"/>
    <n v="3"/>
    <n v="3"/>
    <s v="No"/>
    <x v="0"/>
    <x v="0"/>
  </r>
  <r>
    <x v="801"/>
    <x v="1"/>
    <n v="33"/>
    <x v="1"/>
    <x v="2"/>
    <x v="17"/>
    <s v="Bachelor's"/>
    <s v="Single"/>
    <n v="63284"/>
    <n v="3"/>
    <n v="0"/>
    <x v="0"/>
    <x v="0"/>
    <s v="Yes"/>
    <s v="Travel_Frequently"/>
    <n v="3"/>
    <n v="3"/>
    <s v="Yes"/>
    <x v="0"/>
    <x v="3"/>
  </r>
  <r>
    <x v="802"/>
    <x v="2"/>
    <n v="46"/>
    <x v="0"/>
    <x v="5"/>
    <x v="12"/>
    <s v="High School"/>
    <s v="Divorced"/>
    <n v="76074"/>
    <n v="8"/>
    <n v="3"/>
    <x v="1"/>
    <x v="0"/>
    <s v="No"/>
    <s v="Travel_Rarely"/>
    <n v="3"/>
    <n v="1"/>
    <s v="No"/>
    <x v="0"/>
    <x v="0"/>
  </r>
  <r>
    <x v="803"/>
    <x v="0"/>
    <n v="36"/>
    <x v="1"/>
    <x v="0"/>
    <x v="11"/>
    <s v="Master's"/>
    <s v="Single"/>
    <n v="75178"/>
    <n v="7"/>
    <n v="6"/>
    <x v="1"/>
    <x v="0"/>
    <s v="Yes"/>
    <s v="Travel_Rarely"/>
    <n v="3"/>
    <n v="2"/>
    <s v="No"/>
    <x v="0"/>
    <x v="0"/>
  </r>
  <r>
    <x v="804"/>
    <x v="1"/>
    <n v="26"/>
    <x v="0"/>
    <x v="1"/>
    <x v="1"/>
    <s v="Bachelor's"/>
    <s v="Married"/>
    <n v="66845"/>
    <n v="1"/>
    <n v="1"/>
    <x v="1"/>
    <x v="0"/>
    <s v="No"/>
    <s v="Travel_Frequently"/>
    <n v="4"/>
    <n v="0"/>
    <s v="No"/>
    <x v="0"/>
    <x v="2"/>
  </r>
  <r>
    <x v="805"/>
    <x v="2"/>
    <n v="47"/>
    <x v="0"/>
    <x v="0"/>
    <x v="2"/>
    <s v="Bachelor's"/>
    <s v="Married"/>
    <n v="70837"/>
    <n v="5"/>
    <n v="1"/>
    <x v="3"/>
    <x v="3"/>
    <s v="Yes"/>
    <s v="Travel_Rarely"/>
    <n v="3"/>
    <n v="1"/>
    <s v="No"/>
    <x v="0"/>
    <x v="3"/>
  </r>
  <r>
    <x v="806"/>
    <x v="0"/>
    <n v="39"/>
    <x v="1"/>
    <x v="1"/>
    <x v="7"/>
    <s v="Bachelor's"/>
    <s v="Married"/>
    <n v="82328"/>
    <n v="2"/>
    <n v="1"/>
    <x v="1"/>
    <x v="0"/>
    <s v="No"/>
    <s v="Non-Travel"/>
    <n v="2"/>
    <n v="4"/>
    <s v="No"/>
    <x v="0"/>
    <x v="2"/>
  </r>
  <r>
    <x v="807"/>
    <x v="1"/>
    <n v="28"/>
    <x v="1"/>
    <x v="5"/>
    <x v="12"/>
    <s v="Bachelor's"/>
    <s v="Divorced"/>
    <n v="43053"/>
    <n v="10"/>
    <n v="0"/>
    <x v="3"/>
    <x v="2"/>
    <s v="No"/>
    <s v="Travel_Rarely"/>
    <n v="3"/>
    <n v="3"/>
    <s v="No"/>
    <x v="0"/>
    <x v="0"/>
  </r>
  <r>
    <x v="808"/>
    <x v="1"/>
    <n v="26"/>
    <x v="1"/>
    <x v="1"/>
    <x v="7"/>
    <s v="High School"/>
    <s v="Single"/>
    <n v="22000"/>
    <n v="1"/>
    <n v="1"/>
    <x v="1"/>
    <x v="0"/>
    <s v="No"/>
    <s v="Travel_Frequently"/>
    <n v="3"/>
    <n v="5"/>
    <s v="No"/>
    <x v="0"/>
    <x v="2"/>
  </r>
  <r>
    <x v="809"/>
    <x v="0"/>
    <n v="42"/>
    <x v="0"/>
    <x v="0"/>
    <x v="11"/>
    <s v="High School"/>
    <s v="Single"/>
    <n v="73144"/>
    <n v="21"/>
    <n v="9"/>
    <x v="1"/>
    <x v="0"/>
    <s v="Yes"/>
    <s v="Travel_Rarely"/>
    <n v="3"/>
    <n v="4"/>
    <s v="No"/>
    <x v="0"/>
    <x v="1"/>
  </r>
  <r>
    <x v="810"/>
    <x v="0"/>
    <n v="41"/>
    <x v="0"/>
    <x v="4"/>
    <x v="15"/>
    <s v="High School"/>
    <s v="Single"/>
    <n v="63611"/>
    <n v="10"/>
    <n v="6"/>
    <x v="2"/>
    <x v="1"/>
    <s v="No"/>
    <s v="Travel_Rarely"/>
    <n v="3"/>
    <n v="6"/>
    <s v="No"/>
    <x v="1"/>
    <x v="0"/>
  </r>
  <r>
    <x v="811"/>
    <x v="0"/>
    <n v="40"/>
    <x v="1"/>
    <x v="3"/>
    <x v="16"/>
    <s v="Master's"/>
    <s v="Married"/>
    <n v="93807"/>
    <n v="21"/>
    <n v="0"/>
    <x v="1"/>
    <x v="0"/>
    <s v="No"/>
    <s v="Travel_Rarely"/>
    <n v="3"/>
    <n v="3"/>
    <s v="No"/>
    <x v="0"/>
    <x v="1"/>
  </r>
  <r>
    <x v="812"/>
    <x v="1"/>
    <n v="28"/>
    <x v="0"/>
    <x v="1"/>
    <x v="7"/>
    <s v="Master's"/>
    <s v="Married"/>
    <n v="88822"/>
    <n v="10"/>
    <n v="8"/>
    <x v="1"/>
    <x v="1"/>
    <s v="No"/>
    <s v="Travel_Rarely"/>
    <n v="3"/>
    <n v="5"/>
    <s v="No"/>
    <x v="0"/>
    <x v="0"/>
  </r>
  <r>
    <x v="813"/>
    <x v="1"/>
    <n v="28"/>
    <x v="0"/>
    <x v="2"/>
    <x v="4"/>
    <s v="Master's"/>
    <s v="Single"/>
    <n v="105149"/>
    <n v="2"/>
    <n v="1"/>
    <x v="0"/>
    <x v="3"/>
    <s v="No"/>
    <s v="Travel_Rarely"/>
    <n v="3"/>
    <n v="6"/>
    <s v="No"/>
    <x v="1"/>
    <x v="2"/>
  </r>
  <r>
    <x v="814"/>
    <x v="1"/>
    <n v="32"/>
    <x v="1"/>
    <x v="0"/>
    <x v="0"/>
    <s v="Bachelor's"/>
    <s v="Married"/>
    <n v="50707"/>
    <n v="1"/>
    <n v="1"/>
    <x v="1"/>
    <x v="1"/>
    <s v="No"/>
    <s v="Non-Travel"/>
    <n v="3"/>
    <n v="6"/>
    <s v="No"/>
    <x v="0"/>
    <x v="2"/>
  </r>
  <r>
    <x v="815"/>
    <x v="0"/>
    <n v="36"/>
    <x v="1"/>
    <x v="2"/>
    <x v="4"/>
    <s v="High School"/>
    <s v="Single"/>
    <n v="69657"/>
    <n v="17"/>
    <n v="10"/>
    <x v="0"/>
    <x v="0"/>
    <s v="No"/>
    <s v="Travel_Rarely"/>
    <n v="3"/>
    <n v="0"/>
    <s v="No"/>
    <x v="0"/>
    <x v="1"/>
  </r>
  <r>
    <x v="816"/>
    <x v="1"/>
    <n v="27"/>
    <x v="0"/>
    <x v="3"/>
    <x v="16"/>
    <s v="Master's"/>
    <s v="Single"/>
    <n v="28717"/>
    <n v="7"/>
    <n v="7"/>
    <x v="3"/>
    <x v="1"/>
    <s v="No"/>
    <s v="Travel_Rarely"/>
    <n v="3"/>
    <n v="3"/>
    <s v="No"/>
    <x v="0"/>
    <x v="0"/>
  </r>
  <r>
    <x v="817"/>
    <x v="1"/>
    <n v="28"/>
    <x v="1"/>
    <x v="5"/>
    <x v="14"/>
    <s v="High School"/>
    <s v="Married"/>
    <n v="40773"/>
    <n v="3"/>
    <n v="3"/>
    <x v="2"/>
    <x v="0"/>
    <s v="No"/>
    <s v="Non-Travel"/>
    <n v="3"/>
    <n v="1"/>
    <s v="No"/>
    <x v="0"/>
    <x v="3"/>
  </r>
  <r>
    <x v="818"/>
    <x v="1"/>
    <n v="26"/>
    <x v="1"/>
    <x v="5"/>
    <x v="8"/>
    <s v="Bachelor's"/>
    <s v="Married"/>
    <n v="79541"/>
    <n v="3"/>
    <n v="2"/>
    <x v="3"/>
    <x v="0"/>
    <s v="Yes"/>
    <s v="Non-Travel"/>
    <n v="3"/>
    <n v="0"/>
    <s v="No"/>
    <x v="1"/>
    <x v="3"/>
  </r>
  <r>
    <x v="819"/>
    <x v="3"/>
    <n v="22"/>
    <x v="1"/>
    <x v="1"/>
    <x v="7"/>
    <s v="Bachelor's"/>
    <s v="Married"/>
    <n v="66790"/>
    <n v="0"/>
    <n v="0"/>
    <x v="1"/>
    <x v="3"/>
    <s v="No"/>
    <s v="Travel_Rarely"/>
    <n v="3"/>
    <n v="2"/>
    <s v="No"/>
    <x v="0"/>
    <x v="4"/>
  </r>
  <r>
    <x v="820"/>
    <x v="0"/>
    <n v="36"/>
    <x v="0"/>
    <x v="3"/>
    <x v="16"/>
    <s v="Master's"/>
    <s v="Married"/>
    <n v="83526"/>
    <n v="11"/>
    <n v="2"/>
    <x v="3"/>
    <x v="3"/>
    <s v="Yes"/>
    <s v="Travel_Frequently"/>
    <n v="3"/>
    <n v="5"/>
    <s v="No"/>
    <x v="0"/>
    <x v="1"/>
  </r>
  <r>
    <x v="821"/>
    <x v="1"/>
    <n v="25"/>
    <x v="1"/>
    <x v="0"/>
    <x v="2"/>
    <s v="Master's"/>
    <s v="Married"/>
    <n v="57198"/>
    <n v="7"/>
    <n v="2"/>
    <x v="0"/>
    <x v="0"/>
    <s v="Yes"/>
    <s v="Travel_Frequently"/>
    <n v="3"/>
    <n v="4"/>
    <s v="No"/>
    <x v="0"/>
    <x v="0"/>
  </r>
  <r>
    <x v="822"/>
    <x v="1"/>
    <n v="26"/>
    <x v="0"/>
    <x v="4"/>
    <x v="15"/>
    <s v="Master's"/>
    <s v="Married"/>
    <n v="56317"/>
    <n v="3"/>
    <n v="0"/>
    <x v="3"/>
    <x v="1"/>
    <s v="No"/>
    <s v="Travel_Rarely"/>
    <n v="3"/>
    <n v="3"/>
    <s v="No"/>
    <x v="0"/>
    <x v="3"/>
  </r>
  <r>
    <x v="823"/>
    <x v="1"/>
    <n v="33"/>
    <x v="1"/>
    <x v="1"/>
    <x v="1"/>
    <s v="Master's"/>
    <s v="Single"/>
    <n v="66027"/>
    <n v="9"/>
    <n v="7"/>
    <x v="0"/>
    <x v="1"/>
    <s v="No"/>
    <s v="Travel_Rarely"/>
    <n v="3"/>
    <n v="5"/>
    <s v="No"/>
    <x v="0"/>
    <x v="0"/>
  </r>
  <r>
    <x v="824"/>
    <x v="0"/>
    <n v="39"/>
    <x v="0"/>
    <x v="2"/>
    <x v="17"/>
    <s v="Bachelor's"/>
    <s v="Married"/>
    <n v="79194"/>
    <n v="7"/>
    <n v="5"/>
    <x v="3"/>
    <x v="1"/>
    <s v="No"/>
    <s v="Non-Travel"/>
    <n v="3"/>
    <n v="1"/>
    <s v="No"/>
    <x v="0"/>
    <x v="0"/>
  </r>
  <r>
    <x v="825"/>
    <x v="0"/>
    <n v="40"/>
    <x v="0"/>
    <x v="1"/>
    <x v="1"/>
    <s v="Master's"/>
    <s v="Single"/>
    <n v="30261"/>
    <n v="12"/>
    <n v="3"/>
    <x v="3"/>
    <x v="3"/>
    <s v="No"/>
    <s v="Travel_Frequently"/>
    <n v="3"/>
    <n v="3"/>
    <s v="No"/>
    <x v="0"/>
    <x v="1"/>
  </r>
  <r>
    <x v="826"/>
    <x v="3"/>
    <n v="21"/>
    <x v="1"/>
    <x v="3"/>
    <x v="18"/>
    <s v="PhD"/>
    <s v="Single"/>
    <n v="38346"/>
    <n v="3"/>
    <n v="3"/>
    <x v="2"/>
    <x v="3"/>
    <s v="No"/>
    <s v="Travel_Rarely"/>
    <n v="3"/>
    <n v="3"/>
    <s v="No"/>
    <x v="0"/>
    <x v="3"/>
  </r>
  <r>
    <x v="827"/>
    <x v="1"/>
    <n v="30"/>
    <x v="1"/>
    <x v="4"/>
    <x v="15"/>
    <s v="Master's"/>
    <s v="Married"/>
    <n v="93779"/>
    <n v="6"/>
    <n v="2"/>
    <x v="0"/>
    <x v="3"/>
    <s v="No"/>
    <s v="Travel_Rarely"/>
    <n v="3"/>
    <n v="2"/>
    <s v="No"/>
    <x v="1"/>
    <x v="0"/>
  </r>
  <r>
    <x v="828"/>
    <x v="3"/>
    <n v="21"/>
    <x v="0"/>
    <x v="4"/>
    <x v="6"/>
    <s v="Bachelor's"/>
    <s v="Single"/>
    <n v="40490"/>
    <n v="1"/>
    <n v="1"/>
    <x v="1"/>
    <x v="3"/>
    <s v="No"/>
    <s v="Travel_Rarely"/>
    <n v="4"/>
    <n v="3"/>
    <s v="No"/>
    <x v="0"/>
    <x v="2"/>
  </r>
  <r>
    <x v="829"/>
    <x v="1"/>
    <n v="28"/>
    <x v="0"/>
    <x v="0"/>
    <x v="2"/>
    <s v="Bachelor's"/>
    <s v="Divorced"/>
    <n v="43248"/>
    <n v="3"/>
    <n v="0"/>
    <x v="1"/>
    <x v="0"/>
    <s v="No"/>
    <s v="Travel_Rarely"/>
    <n v="3"/>
    <n v="2"/>
    <s v="Yes"/>
    <x v="0"/>
    <x v="3"/>
  </r>
  <r>
    <x v="830"/>
    <x v="0"/>
    <n v="39"/>
    <x v="0"/>
    <x v="5"/>
    <x v="8"/>
    <s v="High School"/>
    <s v="Married"/>
    <n v="66205"/>
    <n v="7"/>
    <n v="7"/>
    <x v="2"/>
    <x v="0"/>
    <s v="No"/>
    <s v="Travel_Frequently"/>
    <n v="3"/>
    <n v="2"/>
    <s v="No"/>
    <x v="0"/>
    <x v="0"/>
  </r>
  <r>
    <x v="831"/>
    <x v="1"/>
    <n v="30"/>
    <x v="1"/>
    <x v="0"/>
    <x v="2"/>
    <s v="Bachelor's"/>
    <s v="Married"/>
    <n v="58092"/>
    <n v="6"/>
    <n v="2"/>
    <x v="1"/>
    <x v="3"/>
    <s v="No"/>
    <s v="Travel_Frequently"/>
    <n v="3"/>
    <n v="3"/>
    <s v="No"/>
    <x v="0"/>
    <x v="0"/>
  </r>
  <r>
    <x v="832"/>
    <x v="0"/>
    <n v="35"/>
    <x v="0"/>
    <x v="4"/>
    <x v="6"/>
    <s v="High School"/>
    <s v="Married"/>
    <n v="31453"/>
    <n v="13"/>
    <n v="9"/>
    <x v="1"/>
    <x v="0"/>
    <s v="No"/>
    <s v="Travel_Rarely"/>
    <n v="3"/>
    <n v="1"/>
    <s v="No"/>
    <x v="0"/>
    <x v="1"/>
  </r>
  <r>
    <x v="833"/>
    <x v="0"/>
    <n v="38"/>
    <x v="1"/>
    <x v="5"/>
    <x v="12"/>
    <s v="Bachelor's"/>
    <s v="Married"/>
    <n v="60834"/>
    <n v="20"/>
    <n v="5"/>
    <x v="1"/>
    <x v="0"/>
    <s v="No"/>
    <s v="Travel_Rarely"/>
    <n v="2"/>
    <n v="1"/>
    <s v="Yes"/>
    <x v="0"/>
    <x v="1"/>
  </r>
  <r>
    <x v="834"/>
    <x v="1"/>
    <n v="32"/>
    <x v="1"/>
    <x v="1"/>
    <x v="7"/>
    <s v="Bachelor's"/>
    <s v="Married"/>
    <n v="29579"/>
    <n v="9"/>
    <n v="1"/>
    <x v="2"/>
    <x v="1"/>
    <s v="No"/>
    <s v="Travel_Rarely"/>
    <n v="3"/>
    <n v="2"/>
    <s v="No"/>
    <x v="0"/>
    <x v="0"/>
  </r>
  <r>
    <x v="835"/>
    <x v="3"/>
    <n v="23"/>
    <x v="0"/>
    <x v="1"/>
    <x v="7"/>
    <s v="Bachelor's"/>
    <s v="Married"/>
    <n v="48779"/>
    <n v="0"/>
    <n v="0"/>
    <x v="3"/>
    <x v="3"/>
    <s v="Yes"/>
    <s v="Travel_Rarely"/>
    <n v="3"/>
    <n v="3"/>
    <s v="No"/>
    <x v="0"/>
    <x v="4"/>
  </r>
  <r>
    <x v="836"/>
    <x v="0"/>
    <n v="38"/>
    <x v="0"/>
    <x v="0"/>
    <x v="2"/>
    <s v="Master's"/>
    <s v="Single"/>
    <n v="84643"/>
    <n v="19"/>
    <n v="5"/>
    <x v="1"/>
    <x v="3"/>
    <s v="No"/>
    <s v="Travel_Rarely"/>
    <n v="2"/>
    <n v="3"/>
    <s v="No"/>
    <x v="0"/>
    <x v="1"/>
  </r>
  <r>
    <x v="837"/>
    <x v="3"/>
    <n v="22"/>
    <x v="0"/>
    <x v="0"/>
    <x v="11"/>
    <s v="Bachelor's"/>
    <s v="Married"/>
    <n v="57925"/>
    <n v="3"/>
    <n v="0"/>
    <x v="1"/>
    <x v="1"/>
    <s v="No"/>
    <s v="Non-Travel"/>
    <n v="2"/>
    <n v="6"/>
    <s v="No"/>
    <x v="0"/>
    <x v="3"/>
  </r>
  <r>
    <x v="838"/>
    <x v="1"/>
    <n v="32"/>
    <x v="1"/>
    <x v="0"/>
    <x v="11"/>
    <s v="Master's"/>
    <s v="Married"/>
    <n v="89360"/>
    <n v="3"/>
    <n v="2"/>
    <x v="3"/>
    <x v="0"/>
    <s v="Yes"/>
    <s v="Travel_Rarely"/>
    <n v="3"/>
    <n v="1"/>
    <s v="No"/>
    <x v="0"/>
    <x v="3"/>
  </r>
  <r>
    <x v="839"/>
    <x v="0"/>
    <n v="39"/>
    <x v="1"/>
    <x v="3"/>
    <x v="16"/>
    <s v="Bachelor's"/>
    <s v="Married"/>
    <n v="57582"/>
    <n v="0"/>
    <n v="0"/>
    <x v="2"/>
    <x v="0"/>
    <s v="No"/>
    <s v="Non-Travel"/>
    <n v="3"/>
    <n v="2"/>
    <s v="Yes"/>
    <x v="0"/>
    <x v="4"/>
  </r>
  <r>
    <x v="840"/>
    <x v="0"/>
    <n v="35"/>
    <x v="1"/>
    <x v="0"/>
    <x v="0"/>
    <s v="Master's"/>
    <s v="Married"/>
    <n v="45194"/>
    <n v="15"/>
    <n v="4"/>
    <x v="1"/>
    <x v="0"/>
    <s v="No"/>
    <s v="Travel_Rarely"/>
    <n v="3"/>
    <n v="4"/>
    <s v="Yes"/>
    <x v="0"/>
    <x v="1"/>
  </r>
  <r>
    <x v="841"/>
    <x v="1"/>
    <n v="30"/>
    <x v="0"/>
    <x v="2"/>
    <x v="17"/>
    <s v="High School"/>
    <s v="Married"/>
    <n v="43331"/>
    <n v="9"/>
    <n v="4"/>
    <x v="0"/>
    <x v="0"/>
    <s v="Yes"/>
    <s v="Travel_Rarely"/>
    <n v="3"/>
    <n v="0"/>
    <s v="Yes"/>
    <x v="0"/>
    <x v="0"/>
  </r>
  <r>
    <x v="842"/>
    <x v="0"/>
    <n v="35"/>
    <x v="1"/>
    <x v="4"/>
    <x v="15"/>
    <s v="Bachelor's"/>
    <s v="Married"/>
    <n v="77928"/>
    <n v="10"/>
    <n v="7"/>
    <x v="2"/>
    <x v="3"/>
    <s v="Yes"/>
    <s v="Travel_Rarely"/>
    <n v="3"/>
    <n v="6"/>
    <s v="No"/>
    <x v="0"/>
    <x v="0"/>
  </r>
  <r>
    <x v="843"/>
    <x v="3"/>
    <n v="23"/>
    <x v="0"/>
    <x v="0"/>
    <x v="2"/>
    <s v="Master's"/>
    <s v="Married"/>
    <n v="57299"/>
    <n v="2"/>
    <n v="1"/>
    <x v="1"/>
    <x v="0"/>
    <s v="No"/>
    <s v="Non-Travel"/>
    <n v="3"/>
    <n v="6"/>
    <s v="Yes"/>
    <x v="1"/>
    <x v="2"/>
  </r>
  <r>
    <x v="844"/>
    <x v="1"/>
    <n v="33"/>
    <x v="1"/>
    <x v="1"/>
    <x v="7"/>
    <s v="Master's"/>
    <s v="Single"/>
    <n v="25696"/>
    <n v="4"/>
    <n v="3"/>
    <x v="1"/>
    <x v="1"/>
    <s v="Yes"/>
    <s v="Non-Travel"/>
    <n v="3"/>
    <n v="2"/>
    <s v="No"/>
    <x v="1"/>
    <x v="3"/>
  </r>
  <r>
    <x v="845"/>
    <x v="1"/>
    <n v="33"/>
    <x v="0"/>
    <x v="3"/>
    <x v="16"/>
    <s v="Master's"/>
    <s v="Single"/>
    <n v="82372"/>
    <n v="5"/>
    <n v="4"/>
    <x v="0"/>
    <x v="0"/>
    <s v="No"/>
    <s v="Travel_Rarely"/>
    <n v="2"/>
    <n v="6"/>
    <s v="No"/>
    <x v="0"/>
    <x v="3"/>
  </r>
  <r>
    <x v="846"/>
    <x v="1"/>
    <n v="28"/>
    <x v="1"/>
    <x v="5"/>
    <x v="8"/>
    <s v="High School"/>
    <s v="Single"/>
    <n v="86237"/>
    <n v="8"/>
    <n v="6"/>
    <x v="1"/>
    <x v="1"/>
    <s v="No"/>
    <s v="Travel_Rarely"/>
    <n v="3"/>
    <n v="2"/>
    <s v="No"/>
    <x v="1"/>
    <x v="0"/>
  </r>
  <r>
    <x v="847"/>
    <x v="1"/>
    <n v="34"/>
    <x v="0"/>
    <x v="2"/>
    <x v="17"/>
    <s v="Bachelor's"/>
    <s v="Married"/>
    <n v="70161"/>
    <n v="10"/>
    <n v="4"/>
    <x v="1"/>
    <x v="1"/>
    <s v="Yes"/>
    <s v="Travel_Rarely"/>
    <n v="3"/>
    <n v="2"/>
    <s v="No"/>
    <x v="0"/>
    <x v="0"/>
  </r>
  <r>
    <x v="848"/>
    <x v="0"/>
    <n v="38"/>
    <x v="0"/>
    <x v="3"/>
    <x v="16"/>
    <s v="Bachelor's"/>
    <s v="Married"/>
    <n v="22000"/>
    <n v="17"/>
    <n v="0"/>
    <x v="1"/>
    <x v="0"/>
    <s v="No"/>
    <s v="Travel_Rarely"/>
    <n v="3"/>
    <n v="3"/>
    <s v="No"/>
    <x v="0"/>
    <x v="1"/>
  </r>
  <r>
    <x v="849"/>
    <x v="1"/>
    <n v="33"/>
    <x v="0"/>
    <x v="3"/>
    <x v="16"/>
    <s v="High School"/>
    <s v="Married"/>
    <n v="86764"/>
    <n v="5"/>
    <n v="4"/>
    <x v="2"/>
    <x v="0"/>
    <s v="No"/>
    <s v="Travel_Rarely"/>
    <n v="3"/>
    <n v="0"/>
    <s v="No"/>
    <x v="0"/>
    <x v="3"/>
  </r>
  <r>
    <x v="850"/>
    <x v="1"/>
    <n v="31"/>
    <x v="1"/>
    <x v="0"/>
    <x v="0"/>
    <s v="Bachelor's"/>
    <s v="Divorced"/>
    <n v="77148"/>
    <n v="5"/>
    <n v="2"/>
    <x v="3"/>
    <x v="3"/>
    <s v="No"/>
    <s v="Travel_Rarely"/>
    <n v="3"/>
    <n v="1"/>
    <s v="No"/>
    <x v="0"/>
    <x v="3"/>
  </r>
  <r>
    <x v="851"/>
    <x v="1"/>
    <n v="30"/>
    <x v="0"/>
    <x v="4"/>
    <x v="10"/>
    <s v="Bachelor's"/>
    <s v="Single"/>
    <n v="82249"/>
    <n v="3"/>
    <n v="2"/>
    <x v="1"/>
    <x v="3"/>
    <s v="Yes"/>
    <s v="Travel_Frequently"/>
    <n v="3"/>
    <n v="1"/>
    <s v="No"/>
    <x v="0"/>
    <x v="3"/>
  </r>
  <r>
    <x v="852"/>
    <x v="1"/>
    <n v="31"/>
    <x v="0"/>
    <x v="1"/>
    <x v="1"/>
    <s v="Bachelor's"/>
    <s v="Married"/>
    <n v="29717"/>
    <n v="2"/>
    <n v="0"/>
    <x v="0"/>
    <x v="1"/>
    <s v="Yes"/>
    <s v="Travel_Rarely"/>
    <n v="3"/>
    <n v="0"/>
    <s v="No"/>
    <x v="0"/>
    <x v="2"/>
  </r>
  <r>
    <x v="853"/>
    <x v="1"/>
    <n v="34"/>
    <x v="1"/>
    <x v="0"/>
    <x v="0"/>
    <s v="Master's"/>
    <s v="Married"/>
    <n v="68706"/>
    <n v="10"/>
    <n v="3"/>
    <x v="0"/>
    <x v="2"/>
    <s v="No"/>
    <s v="Travel_Rarely"/>
    <n v="3"/>
    <n v="3"/>
    <s v="Yes"/>
    <x v="0"/>
    <x v="0"/>
  </r>
  <r>
    <x v="854"/>
    <x v="1"/>
    <n v="28"/>
    <x v="1"/>
    <x v="0"/>
    <x v="11"/>
    <s v="PhD"/>
    <s v="Divorced"/>
    <n v="57420"/>
    <n v="4"/>
    <n v="4"/>
    <x v="3"/>
    <x v="0"/>
    <s v="No"/>
    <s v="Travel_Rarely"/>
    <n v="3"/>
    <n v="5"/>
    <s v="No"/>
    <x v="0"/>
    <x v="3"/>
  </r>
  <r>
    <x v="855"/>
    <x v="0"/>
    <n v="35"/>
    <x v="0"/>
    <x v="1"/>
    <x v="1"/>
    <s v="Bachelor's"/>
    <s v="Single"/>
    <n v="55422"/>
    <n v="10"/>
    <n v="1"/>
    <x v="3"/>
    <x v="0"/>
    <s v="No"/>
    <s v="Travel_Rarely"/>
    <n v="2"/>
    <n v="6"/>
    <s v="No"/>
    <x v="0"/>
    <x v="0"/>
  </r>
  <r>
    <x v="856"/>
    <x v="3"/>
    <n v="23"/>
    <x v="0"/>
    <x v="0"/>
    <x v="11"/>
    <s v="Bachelor's"/>
    <s v="Married"/>
    <n v="87998"/>
    <n v="0"/>
    <n v="0"/>
    <x v="1"/>
    <x v="2"/>
    <s v="No"/>
    <s v="Travel_Rarely"/>
    <n v="3"/>
    <n v="5"/>
    <s v="No"/>
    <x v="0"/>
    <x v="4"/>
  </r>
  <r>
    <x v="857"/>
    <x v="1"/>
    <n v="25"/>
    <x v="0"/>
    <x v="1"/>
    <x v="1"/>
    <s v="Master's"/>
    <s v="Single"/>
    <n v="36434"/>
    <n v="5"/>
    <n v="3"/>
    <x v="3"/>
    <x v="3"/>
    <s v="No"/>
    <s v="Travel_Rarely"/>
    <n v="3"/>
    <n v="5"/>
    <s v="No"/>
    <x v="0"/>
    <x v="3"/>
  </r>
  <r>
    <x v="858"/>
    <x v="3"/>
    <n v="21"/>
    <x v="1"/>
    <x v="0"/>
    <x v="0"/>
    <s v="Bachelor's"/>
    <s v="Single"/>
    <n v="44082"/>
    <n v="3"/>
    <n v="0"/>
    <x v="0"/>
    <x v="3"/>
    <s v="No"/>
    <s v="Non-Travel"/>
    <n v="3"/>
    <n v="5"/>
    <s v="No"/>
    <x v="0"/>
    <x v="3"/>
  </r>
  <r>
    <x v="859"/>
    <x v="0"/>
    <n v="37"/>
    <x v="0"/>
    <x v="5"/>
    <x v="12"/>
    <s v="Bachelor's"/>
    <s v="Married"/>
    <n v="75811"/>
    <n v="13"/>
    <n v="2"/>
    <x v="1"/>
    <x v="3"/>
    <s v="No"/>
    <s v="Non-Travel"/>
    <n v="3"/>
    <n v="3"/>
    <s v="No"/>
    <x v="0"/>
    <x v="1"/>
  </r>
  <r>
    <x v="860"/>
    <x v="1"/>
    <n v="34"/>
    <x v="1"/>
    <x v="1"/>
    <x v="3"/>
    <s v="High School"/>
    <s v="Single"/>
    <n v="104577"/>
    <n v="16"/>
    <n v="3"/>
    <x v="0"/>
    <x v="0"/>
    <s v="Yes"/>
    <s v="Travel_Rarely"/>
    <n v="3"/>
    <n v="6"/>
    <s v="No"/>
    <x v="0"/>
    <x v="1"/>
  </r>
  <r>
    <x v="861"/>
    <x v="1"/>
    <n v="31"/>
    <x v="1"/>
    <x v="4"/>
    <x v="6"/>
    <s v="Bachelor's"/>
    <s v="Single"/>
    <n v="63940"/>
    <n v="8"/>
    <n v="5"/>
    <x v="0"/>
    <x v="0"/>
    <s v="No"/>
    <s v="Travel_Rarely"/>
    <n v="3"/>
    <n v="4"/>
    <s v="No"/>
    <x v="0"/>
    <x v="0"/>
  </r>
  <r>
    <x v="862"/>
    <x v="1"/>
    <n v="28"/>
    <x v="1"/>
    <x v="1"/>
    <x v="7"/>
    <s v="Bachelor's"/>
    <s v="Married"/>
    <n v="86834"/>
    <n v="10"/>
    <n v="4"/>
    <x v="0"/>
    <x v="1"/>
    <s v="No"/>
    <s v="Travel_Rarely"/>
    <n v="3"/>
    <n v="3"/>
    <s v="No"/>
    <x v="0"/>
    <x v="0"/>
  </r>
  <r>
    <x v="863"/>
    <x v="1"/>
    <n v="33"/>
    <x v="1"/>
    <x v="3"/>
    <x v="16"/>
    <s v="Master's"/>
    <s v="Married"/>
    <n v="55646"/>
    <n v="7"/>
    <n v="4"/>
    <x v="1"/>
    <x v="3"/>
    <s v="No"/>
    <s v="Travel_Rarely"/>
    <n v="3"/>
    <n v="6"/>
    <s v="Yes"/>
    <x v="0"/>
    <x v="0"/>
  </r>
  <r>
    <x v="864"/>
    <x v="2"/>
    <n v="50"/>
    <x v="1"/>
    <x v="1"/>
    <x v="1"/>
    <s v="Bachelor's"/>
    <s v="Single"/>
    <n v="76743"/>
    <n v="17"/>
    <n v="5"/>
    <x v="1"/>
    <x v="0"/>
    <s v="No"/>
    <s v="Travel_Frequently"/>
    <n v="3"/>
    <n v="6"/>
    <s v="No"/>
    <x v="0"/>
    <x v="1"/>
  </r>
  <r>
    <x v="865"/>
    <x v="2"/>
    <n v="45"/>
    <x v="1"/>
    <x v="3"/>
    <x v="5"/>
    <s v="Bachelor's"/>
    <s v="Married"/>
    <n v="69653"/>
    <n v="19"/>
    <n v="8"/>
    <x v="1"/>
    <x v="0"/>
    <s v="Yes"/>
    <s v="Travel_Rarely"/>
    <n v="3"/>
    <n v="2"/>
    <s v="No"/>
    <x v="0"/>
    <x v="1"/>
  </r>
  <r>
    <x v="866"/>
    <x v="3"/>
    <n v="21"/>
    <x v="1"/>
    <x v="3"/>
    <x v="16"/>
    <s v="Bachelor's"/>
    <s v="Married"/>
    <n v="105657"/>
    <n v="1"/>
    <n v="0"/>
    <x v="3"/>
    <x v="1"/>
    <s v="No"/>
    <s v="Travel_Rarely"/>
    <n v="3"/>
    <n v="0"/>
    <s v="Yes"/>
    <x v="0"/>
    <x v="2"/>
  </r>
  <r>
    <x v="867"/>
    <x v="1"/>
    <n v="31"/>
    <x v="1"/>
    <x v="5"/>
    <x v="14"/>
    <s v="High School"/>
    <s v="Single"/>
    <n v="67937"/>
    <n v="12"/>
    <n v="10"/>
    <x v="0"/>
    <x v="3"/>
    <s v="No"/>
    <s v="Travel_Rarely"/>
    <n v="3"/>
    <n v="2"/>
    <s v="No"/>
    <x v="0"/>
    <x v="1"/>
  </r>
  <r>
    <x v="868"/>
    <x v="1"/>
    <n v="34"/>
    <x v="1"/>
    <x v="0"/>
    <x v="2"/>
    <s v="Bachelor's"/>
    <s v="Single"/>
    <n v="43910"/>
    <n v="7"/>
    <n v="7"/>
    <x v="0"/>
    <x v="0"/>
    <s v="No"/>
    <s v="Travel_Rarely"/>
    <n v="3"/>
    <n v="5"/>
    <s v="No"/>
    <x v="0"/>
    <x v="0"/>
  </r>
  <r>
    <x v="869"/>
    <x v="0"/>
    <n v="37"/>
    <x v="0"/>
    <x v="4"/>
    <x v="15"/>
    <s v="PhD"/>
    <s v="Married"/>
    <n v="77040"/>
    <n v="14"/>
    <n v="5"/>
    <x v="0"/>
    <x v="0"/>
    <s v="No"/>
    <s v="Travel_Rarely"/>
    <n v="3"/>
    <n v="5"/>
    <s v="No"/>
    <x v="0"/>
    <x v="1"/>
  </r>
  <r>
    <x v="870"/>
    <x v="0"/>
    <n v="42"/>
    <x v="1"/>
    <x v="1"/>
    <x v="7"/>
    <s v="High School"/>
    <s v="Single"/>
    <n v="75399"/>
    <n v="17"/>
    <n v="0"/>
    <x v="1"/>
    <x v="0"/>
    <s v="No"/>
    <s v="Travel_Rarely"/>
    <n v="3"/>
    <n v="4"/>
    <s v="No"/>
    <x v="0"/>
    <x v="1"/>
  </r>
  <r>
    <x v="871"/>
    <x v="0"/>
    <n v="36"/>
    <x v="1"/>
    <x v="1"/>
    <x v="7"/>
    <s v="Bachelor's"/>
    <s v="Married"/>
    <n v="22000"/>
    <n v="8"/>
    <n v="5"/>
    <x v="1"/>
    <x v="1"/>
    <s v="No"/>
    <s v="Travel_Rarely"/>
    <n v="3"/>
    <n v="5"/>
    <s v="No"/>
    <x v="0"/>
    <x v="0"/>
  </r>
  <r>
    <x v="872"/>
    <x v="1"/>
    <n v="27"/>
    <x v="1"/>
    <x v="0"/>
    <x v="2"/>
    <s v="Bachelor's"/>
    <s v="Single"/>
    <n v="85849"/>
    <n v="7"/>
    <n v="3"/>
    <x v="1"/>
    <x v="0"/>
    <s v="Yes"/>
    <s v="Travel_Rarely"/>
    <n v="4"/>
    <n v="2"/>
    <s v="No"/>
    <x v="0"/>
    <x v="0"/>
  </r>
  <r>
    <x v="873"/>
    <x v="1"/>
    <n v="29"/>
    <x v="0"/>
    <x v="0"/>
    <x v="2"/>
    <s v="Bachelor's"/>
    <s v="Married"/>
    <n v="80721"/>
    <n v="2"/>
    <n v="2"/>
    <x v="2"/>
    <x v="1"/>
    <s v="No"/>
    <s v="Travel_Rarely"/>
    <n v="3"/>
    <n v="6"/>
    <s v="No"/>
    <x v="1"/>
    <x v="2"/>
  </r>
  <r>
    <x v="874"/>
    <x v="0"/>
    <n v="39"/>
    <x v="0"/>
    <x v="4"/>
    <x v="15"/>
    <s v="Master's"/>
    <s v="Single"/>
    <n v="62847"/>
    <n v="15"/>
    <n v="6"/>
    <x v="0"/>
    <x v="3"/>
    <s v="No"/>
    <s v="Travel_Rarely"/>
    <n v="3"/>
    <n v="1"/>
    <s v="No"/>
    <x v="0"/>
    <x v="1"/>
  </r>
  <r>
    <x v="875"/>
    <x v="1"/>
    <n v="34"/>
    <x v="0"/>
    <x v="1"/>
    <x v="7"/>
    <s v="Bachelor's"/>
    <s v="Single"/>
    <n v="22000"/>
    <n v="5"/>
    <n v="1"/>
    <x v="1"/>
    <x v="0"/>
    <s v="No"/>
    <s v="Travel_Rarely"/>
    <n v="3"/>
    <n v="4"/>
    <s v="No"/>
    <x v="0"/>
    <x v="3"/>
  </r>
  <r>
    <x v="876"/>
    <x v="0"/>
    <n v="41"/>
    <x v="0"/>
    <x v="1"/>
    <x v="3"/>
    <s v="Bachelor's"/>
    <s v="Divorced"/>
    <n v="77728"/>
    <n v="2"/>
    <n v="0"/>
    <x v="1"/>
    <x v="0"/>
    <s v="Yes"/>
    <s v="Non-Travel"/>
    <n v="3"/>
    <n v="4"/>
    <s v="No"/>
    <x v="0"/>
    <x v="2"/>
  </r>
  <r>
    <x v="877"/>
    <x v="0"/>
    <n v="36"/>
    <x v="1"/>
    <x v="3"/>
    <x v="9"/>
    <s v="High School"/>
    <s v="Married"/>
    <n v="37022"/>
    <n v="13"/>
    <n v="11"/>
    <x v="1"/>
    <x v="3"/>
    <s v="No"/>
    <s v="Travel_Frequently"/>
    <n v="3"/>
    <n v="1"/>
    <s v="No"/>
    <x v="0"/>
    <x v="1"/>
  </r>
  <r>
    <x v="878"/>
    <x v="1"/>
    <n v="28"/>
    <x v="0"/>
    <x v="1"/>
    <x v="7"/>
    <s v="High School"/>
    <s v="Single"/>
    <n v="124056"/>
    <n v="0"/>
    <n v="0"/>
    <x v="3"/>
    <x v="0"/>
    <s v="No"/>
    <s v="Travel_Frequently"/>
    <n v="3"/>
    <n v="5"/>
    <s v="No"/>
    <x v="0"/>
    <x v="4"/>
  </r>
  <r>
    <x v="879"/>
    <x v="1"/>
    <n v="33"/>
    <x v="1"/>
    <x v="3"/>
    <x v="18"/>
    <s v="High School"/>
    <s v="Married"/>
    <n v="61798"/>
    <n v="8"/>
    <n v="4"/>
    <x v="1"/>
    <x v="2"/>
    <s v="No"/>
    <s v="Non-Travel"/>
    <n v="3"/>
    <n v="2"/>
    <s v="No"/>
    <x v="0"/>
    <x v="0"/>
  </r>
  <r>
    <x v="880"/>
    <x v="2"/>
    <n v="52"/>
    <x v="0"/>
    <x v="5"/>
    <x v="12"/>
    <s v="Master's"/>
    <s v="Married"/>
    <n v="75896"/>
    <n v="13"/>
    <n v="7"/>
    <x v="0"/>
    <x v="3"/>
    <s v="No"/>
    <s v="Travel_Rarely"/>
    <n v="3"/>
    <n v="2"/>
    <s v="No"/>
    <x v="1"/>
    <x v="1"/>
  </r>
  <r>
    <x v="881"/>
    <x v="0"/>
    <n v="39"/>
    <x v="0"/>
    <x v="1"/>
    <x v="3"/>
    <s v="Bachelor's"/>
    <s v="Married"/>
    <n v="51185"/>
    <n v="5"/>
    <n v="3"/>
    <x v="1"/>
    <x v="1"/>
    <s v="No"/>
    <s v="Travel_Rarely"/>
    <n v="3"/>
    <n v="2"/>
    <s v="No"/>
    <x v="0"/>
    <x v="3"/>
  </r>
  <r>
    <x v="882"/>
    <x v="1"/>
    <n v="33"/>
    <x v="1"/>
    <x v="0"/>
    <x v="0"/>
    <s v="Master's"/>
    <s v="Married"/>
    <n v="80774"/>
    <n v="0"/>
    <n v="0"/>
    <x v="1"/>
    <x v="3"/>
    <s v="Yes"/>
    <s v="Travel_Rarely"/>
    <n v="3"/>
    <n v="2"/>
    <s v="No"/>
    <x v="1"/>
    <x v="4"/>
  </r>
  <r>
    <x v="883"/>
    <x v="0"/>
    <n v="37"/>
    <x v="0"/>
    <x v="0"/>
    <x v="0"/>
    <s v="Bachelor's"/>
    <s v="Divorced"/>
    <n v="67045"/>
    <n v="17"/>
    <n v="4"/>
    <x v="1"/>
    <x v="0"/>
    <s v="No"/>
    <s v="Travel_Rarely"/>
    <n v="3"/>
    <n v="5"/>
    <s v="Yes"/>
    <x v="0"/>
    <x v="1"/>
  </r>
  <r>
    <x v="884"/>
    <x v="1"/>
    <n v="32"/>
    <x v="0"/>
    <x v="5"/>
    <x v="8"/>
    <s v="High School"/>
    <s v="Single"/>
    <n v="40269"/>
    <n v="7"/>
    <n v="7"/>
    <x v="3"/>
    <x v="0"/>
    <s v="No"/>
    <s v="Travel_Frequently"/>
    <n v="2"/>
    <n v="5"/>
    <s v="No"/>
    <x v="0"/>
    <x v="0"/>
  </r>
  <r>
    <x v="885"/>
    <x v="0"/>
    <n v="38"/>
    <x v="1"/>
    <x v="4"/>
    <x v="6"/>
    <s v="Master's"/>
    <s v="Single"/>
    <n v="55633"/>
    <n v="13"/>
    <n v="2"/>
    <x v="1"/>
    <x v="0"/>
    <s v="Yes"/>
    <s v="Travel_Rarely"/>
    <n v="3"/>
    <n v="0"/>
    <s v="No"/>
    <x v="0"/>
    <x v="1"/>
  </r>
  <r>
    <x v="886"/>
    <x v="0"/>
    <n v="37"/>
    <x v="0"/>
    <x v="1"/>
    <x v="3"/>
    <s v="Master's"/>
    <s v="Single"/>
    <n v="59428"/>
    <n v="3"/>
    <n v="0"/>
    <x v="0"/>
    <x v="0"/>
    <s v="No"/>
    <s v="Travel_Frequently"/>
    <n v="3"/>
    <n v="3"/>
    <s v="No"/>
    <x v="0"/>
    <x v="3"/>
  </r>
  <r>
    <x v="887"/>
    <x v="2"/>
    <n v="51"/>
    <x v="0"/>
    <x v="4"/>
    <x v="15"/>
    <s v="Bachelor's"/>
    <s v="Married"/>
    <n v="94488"/>
    <n v="23"/>
    <n v="0"/>
    <x v="0"/>
    <x v="0"/>
    <s v="No"/>
    <s v="Travel_Frequently"/>
    <n v="3"/>
    <n v="2"/>
    <s v="Yes"/>
    <x v="0"/>
    <x v="1"/>
  </r>
  <r>
    <x v="888"/>
    <x v="4"/>
    <n v="58"/>
    <x v="0"/>
    <x v="0"/>
    <x v="0"/>
    <s v="Bachelor's"/>
    <s v="Single"/>
    <n v="33332"/>
    <n v="0"/>
    <n v="0"/>
    <x v="0"/>
    <x v="3"/>
    <s v="No"/>
    <s v="Travel_Frequently"/>
    <n v="3"/>
    <n v="1"/>
    <s v="No"/>
    <x v="0"/>
    <x v="4"/>
  </r>
  <r>
    <x v="889"/>
    <x v="1"/>
    <n v="34"/>
    <x v="1"/>
    <x v="3"/>
    <x v="16"/>
    <s v="High School"/>
    <s v="Married"/>
    <n v="63317"/>
    <n v="3"/>
    <n v="3"/>
    <x v="0"/>
    <x v="1"/>
    <s v="No"/>
    <s v="Travel_Rarely"/>
    <n v="4"/>
    <n v="3"/>
    <s v="No"/>
    <x v="0"/>
    <x v="3"/>
  </r>
  <r>
    <x v="890"/>
    <x v="0"/>
    <n v="41"/>
    <x v="0"/>
    <x v="1"/>
    <x v="7"/>
    <s v="Master's"/>
    <s v="Married"/>
    <n v="78201"/>
    <n v="1"/>
    <n v="1"/>
    <x v="1"/>
    <x v="0"/>
    <s v="Yes"/>
    <s v="Travel_Rarely"/>
    <n v="3"/>
    <n v="3"/>
    <s v="No"/>
    <x v="0"/>
    <x v="2"/>
  </r>
  <r>
    <x v="891"/>
    <x v="0"/>
    <n v="40"/>
    <x v="1"/>
    <x v="5"/>
    <x v="12"/>
    <s v="Master's"/>
    <s v="Single"/>
    <n v="51012"/>
    <n v="6"/>
    <n v="3"/>
    <x v="3"/>
    <x v="0"/>
    <s v="No"/>
    <s v="Travel_Frequently"/>
    <n v="3"/>
    <n v="2"/>
    <s v="No"/>
    <x v="0"/>
    <x v="0"/>
  </r>
  <r>
    <x v="892"/>
    <x v="1"/>
    <n v="27"/>
    <x v="1"/>
    <x v="3"/>
    <x v="18"/>
    <s v="Bachelor's"/>
    <s v="Single"/>
    <n v="59472"/>
    <n v="4"/>
    <n v="3"/>
    <x v="1"/>
    <x v="3"/>
    <s v="Yes"/>
    <s v="Travel_Rarely"/>
    <n v="3"/>
    <n v="5"/>
    <s v="No"/>
    <x v="0"/>
    <x v="3"/>
  </r>
  <r>
    <x v="893"/>
    <x v="1"/>
    <n v="28"/>
    <x v="1"/>
    <x v="3"/>
    <x v="16"/>
    <s v="Bachelor's"/>
    <s v="Married"/>
    <n v="72009"/>
    <n v="6"/>
    <n v="5"/>
    <x v="2"/>
    <x v="0"/>
    <s v="No"/>
    <s v="Travel_Rarely"/>
    <n v="3"/>
    <n v="3"/>
    <s v="Yes"/>
    <x v="0"/>
    <x v="0"/>
  </r>
  <r>
    <x v="894"/>
    <x v="0"/>
    <n v="38"/>
    <x v="1"/>
    <x v="0"/>
    <x v="11"/>
    <s v="Master's"/>
    <s v="Married"/>
    <n v="93517"/>
    <n v="19"/>
    <n v="2"/>
    <x v="1"/>
    <x v="0"/>
    <s v="No"/>
    <s v="Travel_Rarely"/>
    <n v="3"/>
    <n v="4"/>
    <s v="No"/>
    <x v="0"/>
    <x v="1"/>
  </r>
  <r>
    <x v="895"/>
    <x v="1"/>
    <n v="28"/>
    <x v="1"/>
    <x v="3"/>
    <x v="18"/>
    <s v="PhD"/>
    <s v="Single"/>
    <n v="23512"/>
    <n v="10"/>
    <n v="8"/>
    <x v="1"/>
    <x v="0"/>
    <s v="No"/>
    <s v="Travel_Rarely"/>
    <n v="3"/>
    <n v="4"/>
    <s v="No"/>
    <x v="0"/>
    <x v="0"/>
  </r>
  <r>
    <x v="896"/>
    <x v="3"/>
    <n v="24"/>
    <x v="0"/>
    <x v="1"/>
    <x v="7"/>
    <s v="Bachelor's"/>
    <s v="Single"/>
    <n v="60171"/>
    <n v="1"/>
    <n v="1"/>
    <x v="3"/>
    <x v="3"/>
    <s v="No"/>
    <s v="Travel_Rarely"/>
    <n v="2"/>
    <n v="3"/>
    <s v="Yes"/>
    <x v="1"/>
    <x v="2"/>
  </r>
  <r>
    <x v="897"/>
    <x v="0"/>
    <n v="35"/>
    <x v="1"/>
    <x v="3"/>
    <x v="18"/>
    <s v="Bachelor's"/>
    <s v="Single"/>
    <n v="108083"/>
    <n v="5"/>
    <n v="2"/>
    <x v="3"/>
    <x v="2"/>
    <s v="No"/>
    <s v="Travel_Frequently"/>
    <n v="3"/>
    <n v="5"/>
    <s v="No"/>
    <x v="0"/>
    <x v="3"/>
  </r>
  <r>
    <x v="898"/>
    <x v="1"/>
    <n v="32"/>
    <x v="1"/>
    <x v="0"/>
    <x v="0"/>
    <s v="High School"/>
    <s v="Married"/>
    <n v="93243"/>
    <n v="14"/>
    <n v="5"/>
    <x v="0"/>
    <x v="2"/>
    <s v="No"/>
    <s v="Travel_Frequently"/>
    <n v="3"/>
    <n v="4"/>
    <s v="No"/>
    <x v="0"/>
    <x v="1"/>
  </r>
  <r>
    <x v="899"/>
    <x v="1"/>
    <n v="32"/>
    <x v="0"/>
    <x v="3"/>
    <x v="16"/>
    <s v="Master's"/>
    <s v="Single"/>
    <n v="51578"/>
    <n v="4"/>
    <n v="1"/>
    <x v="1"/>
    <x v="3"/>
    <s v="No"/>
    <s v="Non-Travel"/>
    <n v="3"/>
    <n v="5"/>
    <s v="Yes"/>
    <x v="0"/>
    <x v="3"/>
  </r>
  <r>
    <x v="900"/>
    <x v="0"/>
    <n v="37"/>
    <x v="1"/>
    <x v="5"/>
    <x v="14"/>
    <s v="Master's"/>
    <s v="Single"/>
    <n v="90586"/>
    <n v="4"/>
    <n v="3"/>
    <x v="0"/>
    <x v="0"/>
    <s v="Yes"/>
    <s v="Travel_Rarely"/>
    <n v="3"/>
    <n v="6"/>
    <s v="No"/>
    <x v="0"/>
    <x v="3"/>
  </r>
  <r>
    <x v="901"/>
    <x v="2"/>
    <n v="54"/>
    <x v="1"/>
    <x v="1"/>
    <x v="1"/>
    <s v="Bachelor's"/>
    <s v="Single"/>
    <n v="29641"/>
    <n v="7"/>
    <n v="6"/>
    <x v="1"/>
    <x v="0"/>
    <s v="Yes"/>
    <s v="Travel_Rarely"/>
    <n v="3"/>
    <n v="0"/>
    <s v="No"/>
    <x v="0"/>
    <x v="0"/>
  </r>
  <r>
    <x v="902"/>
    <x v="3"/>
    <n v="23"/>
    <x v="0"/>
    <x v="1"/>
    <x v="7"/>
    <s v="High School"/>
    <s v="Married"/>
    <n v="131586"/>
    <n v="2"/>
    <n v="0"/>
    <x v="0"/>
    <x v="1"/>
    <s v="Yes"/>
    <s v="Travel_Rarely"/>
    <n v="3"/>
    <n v="2"/>
    <s v="Yes"/>
    <x v="1"/>
    <x v="2"/>
  </r>
  <r>
    <x v="903"/>
    <x v="0"/>
    <n v="40"/>
    <x v="1"/>
    <x v="5"/>
    <x v="8"/>
    <s v="Bachelor's"/>
    <s v="Single"/>
    <n v="66750"/>
    <n v="8"/>
    <n v="4"/>
    <x v="3"/>
    <x v="0"/>
    <s v="No"/>
    <s v="Travel_Frequently"/>
    <n v="4"/>
    <n v="6"/>
    <s v="No"/>
    <x v="0"/>
    <x v="0"/>
  </r>
  <r>
    <x v="904"/>
    <x v="3"/>
    <n v="21"/>
    <x v="0"/>
    <x v="0"/>
    <x v="0"/>
    <s v="Master's"/>
    <s v="Married"/>
    <n v="101216"/>
    <n v="3"/>
    <n v="3"/>
    <x v="0"/>
    <x v="1"/>
    <s v="No"/>
    <s v="Travel_Rarely"/>
    <n v="3"/>
    <n v="3"/>
    <s v="No"/>
    <x v="1"/>
    <x v="3"/>
  </r>
  <r>
    <x v="905"/>
    <x v="1"/>
    <n v="25"/>
    <x v="0"/>
    <x v="1"/>
    <x v="3"/>
    <s v="Bachelor's"/>
    <s v="Married"/>
    <n v="68856"/>
    <n v="1"/>
    <n v="0"/>
    <x v="3"/>
    <x v="0"/>
    <s v="Yes"/>
    <s v="Travel_Rarely"/>
    <n v="3"/>
    <n v="1"/>
    <s v="No"/>
    <x v="0"/>
    <x v="2"/>
  </r>
  <r>
    <x v="906"/>
    <x v="0"/>
    <n v="44"/>
    <x v="1"/>
    <x v="1"/>
    <x v="3"/>
    <s v="High School"/>
    <s v="Married"/>
    <n v="80871"/>
    <n v="0"/>
    <n v="0"/>
    <x v="3"/>
    <x v="1"/>
    <s v="No"/>
    <s v="Travel_Rarely"/>
    <n v="3"/>
    <n v="0"/>
    <s v="No"/>
    <x v="0"/>
    <x v="4"/>
  </r>
  <r>
    <x v="907"/>
    <x v="3"/>
    <n v="22"/>
    <x v="1"/>
    <x v="2"/>
    <x v="13"/>
    <s v="Bachelor's"/>
    <s v="Single"/>
    <n v="65102"/>
    <n v="0"/>
    <n v="0"/>
    <x v="1"/>
    <x v="1"/>
    <s v="Yes"/>
    <s v="Travel_Rarely"/>
    <n v="4"/>
    <n v="0"/>
    <s v="No"/>
    <x v="0"/>
    <x v="4"/>
  </r>
  <r>
    <x v="908"/>
    <x v="0"/>
    <n v="35"/>
    <x v="1"/>
    <x v="1"/>
    <x v="1"/>
    <s v="Master's"/>
    <s v="Single"/>
    <n v="46018"/>
    <n v="1"/>
    <n v="1"/>
    <x v="3"/>
    <x v="0"/>
    <s v="No"/>
    <s v="Travel_Rarely"/>
    <n v="4"/>
    <n v="1"/>
    <s v="No"/>
    <x v="1"/>
    <x v="2"/>
  </r>
  <r>
    <x v="909"/>
    <x v="1"/>
    <n v="34"/>
    <x v="1"/>
    <x v="5"/>
    <x v="12"/>
    <s v="Master's"/>
    <s v="Single"/>
    <n v="56083"/>
    <n v="13"/>
    <n v="5"/>
    <x v="1"/>
    <x v="3"/>
    <s v="No"/>
    <s v="Travel_Frequently"/>
    <n v="3"/>
    <n v="5"/>
    <s v="No"/>
    <x v="0"/>
    <x v="1"/>
  </r>
  <r>
    <x v="910"/>
    <x v="1"/>
    <n v="26"/>
    <x v="1"/>
    <x v="4"/>
    <x v="15"/>
    <s v="Master's"/>
    <s v="Married"/>
    <n v="80382"/>
    <n v="5"/>
    <n v="3"/>
    <x v="1"/>
    <x v="0"/>
    <s v="No"/>
    <s v="Travel_Rarely"/>
    <n v="3"/>
    <n v="3"/>
    <s v="No"/>
    <x v="0"/>
    <x v="3"/>
  </r>
  <r>
    <x v="911"/>
    <x v="1"/>
    <n v="30"/>
    <x v="1"/>
    <x v="5"/>
    <x v="8"/>
    <s v="Unknown"/>
    <s v="Single"/>
    <n v="22000"/>
    <n v="5"/>
    <n v="3"/>
    <x v="3"/>
    <x v="1"/>
    <s v="No"/>
    <s v="Travel_Rarely"/>
    <n v="2"/>
    <n v="4"/>
    <s v="No"/>
    <x v="0"/>
    <x v="3"/>
  </r>
  <r>
    <x v="912"/>
    <x v="3"/>
    <n v="22"/>
    <x v="1"/>
    <x v="4"/>
    <x v="6"/>
    <s v="High School"/>
    <s v="Married"/>
    <n v="59094"/>
    <n v="4"/>
    <n v="2"/>
    <x v="0"/>
    <x v="2"/>
    <s v="No"/>
    <s v="Travel_Rarely"/>
    <n v="3"/>
    <n v="6"/>
    <s v="Yes"/>
    <x v="0"/>
    <x v="3"/>
  </r>
  <r>
    <x v="913"/>
    <x v="0"/>
    <n v="39"/>
    <x v="0"/>
    <x v="3"/>
    <x v="9"/>
    <s v="Master's"/>
    <s v="Single"/>
    <n v="40869"/>
    <n v="18"/>
    <n v="2"/>
    <x v="3"/>
    <x v="0"/>
    <s v="No"/>
    <s v="Travel_Rarely"/>
    <n v="3"/>
    <n v="6"/>
    <s v="No"/>
    <x v="0"/>
    <x v="1"/>
  </r>
  <r>
    <x v="914"/>
    <x v="0"/>
    <n v="38"/>
    <x v="1"/>
    <x v="5"/>
    <x v="14"/>
    <s v="Bachelor's"/>
    <s v="Divorced"/>
    <n v="62725"/>
    <n v="19"/>
    <n v="10"/>
    <x v="3"/>
    <x v="2"/>
    <s v="Yes"/>
    <s v="Travel_Rarely"/>
    <n v="4"/>
    <n v="6"/>
    <s v="No"/>
    <x v="0"/>
    <x v="1"/>
  </r>
  <r>
    <x v="915"/>
    <x v="0"/>
    <n v="36"/>
    <x v="0"/>
    <x v="0"/>
    <x v="2"/>
    <s v="PhD"/>
    <s v="Married"/>
    <n v="99026"/>
    <n v="6"/>
    <n v="4"/>
    <x v="2"/>
    <x v="1"/>
    <s v="No"/>
    <s v="Travel_Rarely"/>
    <n v="3"/>
    <n v="3"/>
    <s v="No"/>
    <x v="0"/>
    <x v="0"/>
  </r>
  <r>
    <x v="916"/>
    <x v="0"/>
    <n v="43"/>
    <x v="0"/>
    <x v="5"/>
    <x v="12"/>
    <s v="Bachelor's"/>
    <s v="Married"/>
    <n v="60447"/>
    <n v="5"/>
    <n v="5"/>
    <x v="3"/>
    <x v="0"/>
    <s v="No"/>
    <s v="Non-Travel"/>
    <n v="3"/>
    <n v="1"/>
    <s v="No"/>
    <x v="0"/>
    <x v="3"/>
  </r>
  <r>
    <x v="917"/>
    <x v="1"/>
    <n v="27"/>
    <x v="1"/>
    <x v="1"/>
    <x v="3"/>
    <s v="Bachelor's"/>
    <s v="Married"/>
    <n v="71611"/>
    <n v="8"/>
    <n v="0"/>
    <x v="0"/>
    <x v="0"/>
    <s v="No"/>
    <s v="Travel_Frequently"/>
    <n v="3"/>
    <n v="6"/>
    <s v="No"/>
    <x v="0"/>
    <x v="0"/>
  </r>
  <r>
    <x v="918"/>
    <x v="1"/>
    <n v="34"/>
    <x v="0"/>
    <x v="3"/>
    <x v="16"/>
    <s v="Master's"/>
    <s v="Married"/>
    <n v="112749"/>
    <n v="8"/>
    <n v="8"/>
    <x v="1"/>
    <x v="2"/>
    <s v="No"/>
    <s v="Non-Travel"/>
    <n v="2"/>
    <n v="0"/>
    <s v="Yes"/>
    <x v="0"/>
    <x v="0"/>
  </r>
  <r>
    <x v="919"/>
    <x v="3"/>
    <n v="21"/>
    <x v="1"/>
    <x v="5"/>
    <x v="14"/>
    <s v="High School"/>
    <s v="Single"/>
    <n v="59369"/>
    <n v="1"/>
    <n v="1"/>
    <x v="1"/>
    <x v="0"/>
    <s v="Yes"/>
    <s v="Travel_Rarely"/>
    <n v="3"/>
    <n v="1"/>
    <s v="No"/>
    <x v="1"/>
    <x v="2"/>
  </r>
  <r>
    <x v="920"/>
    <x v="0"/>
    <n v="35"/>
    <x v="1"/>
    <x v="3"/>
    <x v="18"/>
    <s v="Master's"/>
    <s v="Single"/>
    <n v="58522"/>
    <n v="17"/>
    <n v="10"/>
    <x v="3"/>
    <x v="0"/>
    <s v="No"/>
    <s v="Non-Travel"/>
    <n v="3"/>
    <n v="1"/>
    <s v="Yes"/>
    <x v="0"/>
    <x v="1"/>
  </r>
  <r>
    <x v="921"/>
    <x v="1"/>
    <n v="33"/>
    <x v="1"/>
    <x v="0"/>
    <x v="2"/>
    <s v="PhD"/>
    <s v="Married"/>
    <n v="63607"/>
    <n v="6"/>
    <n v="6"/>
    <x v="1"/>
    <x v="1"/>
    <s v="No"/>
    <s v="Travel_Rarely"/>
    <n v="3"/>
    <n v="4"/>
    <s v="No"/>
    <x v="0"/>
    <x v="0"/>
  </r>
  <r>
    <x v="922"/>
    <x v="2"/>
    <n v="53"/>
    <x v="1"/>
    <x v="4"/>
    <x v="15"/>
    <s v="High School"/>
    <s v="Married"/>
    <n v="72626"/>
    <n v="20"/>
    <n v="1"/>
    <x v="3"/>
    <x v="0"/>
    <s v="No"/>
    <s v="Travel_Rarely"/>
    <n v="3"/>
    <n v="0"/>
    <s v="No"/>
    <x v="0"/>
    <x v="1"/>
  </r>
  <r>
    <x v="923"/>
    <x v="0"/>
    <n v="39"/>
    <x v="1"/>
    <x v="1"/>
    <x v="7"/>
    <s v="Bachelor's"/>
    <s v="Married"/>
    <n v="88000"/>
    <n v="10"/>
    <n v="1"/>
    <x v="0"/>
    <x v="1"/>
    <s v="Yes"/>
    <s v="Travel_Rarely"/>
    <n v="3"/>
    <n v="6"/>
    <s v="No"/>
    <x v="0"/>
    <x v="0"/>
  </r>
  <r>
    <x v="924"/>
    <x v="2"/>
    <n v="48"/>
    <x v="0"/>
    <x v="3"/>
    <x v="5"/>
    <s v="Master's"/>
    <s v="Married"/>
    <n v="44989"/>
    <n v="20"/>
    <n v="2"/>
    <x v="1"/>
    <x v="3"/>
    <s v="No"/>
    <s v="Travel_Rarely"/>
    <n v="4"/>
    <n v="3"/>
    <s v="No"/>
    <x v="0"/>
    <x v="1"/>
  </r>
  <r>
    <x v="925"/>
    <x v="3"/>
    <n v="24"/>
    <x v="1"/>
    <x v="2"/>
    <x v="13"/>
    <s v="High School"/>
    <s v="Married"/>
    <n v="74093"/>
    <n v="6"/>
    <n v="2"/>
    <x v="2"/>
    <x v="3"/>
    <s v="No"/>
    <s v="Travel_Rarely"/>
    <n v="3"/>
    <n v="0"/>
    <s v="No"/>
    <x v="0"/>
    <x v="0"/>
  </r>
  <r>
    <x v="926"/>
    <x v="0"/>
    <n v="35"/>
    <x v="1"/>
    <x v="1"/>
    <x v="3"/>
    <s v="Bachelor's"/>
    <s v="Single"/>
    <n v="56751"/>
    <n v="7"/>
    <n v="1"/>
    <x v="3"/>
    <x v="0"/>
    <s v="No"/>
    <s v="Travel_Frequently"/>
    <n v="3"/>
    <n v="2"/>
    <s v="No"/>
    <x v="1"/>
    <x v="0"/>
  </r>
  <r>
    <x v="927"/>
    <x v="0"/>
    <n v="43"/>
    <x v="1"/>
    <x v="0"/>
    <x v="0"/>
    <s v="Bachelor's"/>
    <s v="Married"/>
    <n v="114750"/>
    <n v="22"/>
    <n v="2"/>
    <x v="3"/>
    <x v="1"/>
    <s v="No"/>
    <s v="Travel_Rarely"/>
    <n v="2"/>
    <n v="6"/>
    <s v="No"/>
    <x v="0"/>
    <x v="1"/>
  </r>
  <r>
    <x v="928"/>
    <x v="1"/>
    <n v="29"/>
    <x v="0"/>
    <x v="0"/>
    <x v="11"/>
    <s v="Master's"/>
    <s v="Married"/>
    <n v="60178"/>
    <n v="11"/>
    <n v="6"/>
    <x v="3"/>
    <x v="0"/>
    <s v="Yes"/>
    <s v="Travel_Rarely"/>
    <n v="3"/>
    <n v="1"/>
    <s v="No"/>
    <x v="0"/>
    <x v="1"/>
  </r>
  <r>
    <x v="929"/>
    <x v="2"/>
    <n v="50"/>
    <x v="0"/>
    <x v="3"/>
    <x v="16"/>
    <s v="Master's"/>
    <s v="Single"/>
    <n v="67504"/>
    <n v="16"/>
    <n v="5"/>
    <x v="1"/>
    <x v="2"/>
    <s v="No"/>
    <s v="Travel_Frequently"/>
    <n v="3"/>
    <n v="4"/>
    <s v="No"/>
    <x v="0"/>
    <x v="1"/>
  </r>
  <r>
    <x v="930"/>
    <x v="0"/>
    <n v="42"/>
    <x v="0"/>
    <x v="0"/>
    <x v="0"/>
    <s v="Bachelor's"/>
    <s v="Married"/>
    <n v="90768"/>
    <n v="6"/>
    <n v="3"/>
    <x v="0"/>
    <x v="0"/>
    <s v="No"/>
    <s v="Travel_Frequently"/>
    <n v="3"/>
    <n v="2"/>
    <s v="Yes"/>
    <x v="0"/>
    <x v="0"/>
  </r>
  <r>
    <x v="931"/>
    <x v="1"/>
    <n v="32"/>
    <x v="1"/>
    <x v="5"/>
    <x v="12"/>
    <s v="Bachelor's"/>
    <s v="Married"/>
    <n v="87717"/>
    <n v="14"/>
    <n v="3"/>
    <x v="1"/>
    <x v="1"/>
    <s v="No"/>
    <s v="Travel_Rarely"/>
    <n v="3"/>
    <n v="3"/>
    <s v="No"/>
    <x v="0"/>
    <x v="1"/>
  </r>
  <r>
    <x v="932"/>
    <x v="1"/>
    <n v="34"/>
    <x v="1"/>
    <x v="0"/>
    <x v="11"/>
    <s v="Bachelor's"/>
    <s v="Single"/>
    <n v="31870"/>
    <n v="15"/>
    <n v="11"/>
    <x v="0"/>
    <x v="1"/>
    <s v="No"/>
    <s v="Non-Travel"/>
    <n v="3"/>
    <n v="6"/>
    <s v="No"/>
    <x v="0"/>
    <x v="1"/>
  </r>
  <r>
    <x v="933"/>
    <x v="0"/>
    <n v="41"/>
    <x v="1"/>
    <x v="0"/>
    <x v="11"/>
    <s v="Bachelor's"/>
    <s v="Married"/>
    <n v="77097"/>
    <n v="7"/>
    <n v="7"/>
    <x v="2"/>
    <x v="0"/>
    <s v="Yes"/>
    <s v="Travel_Frequently"/>
    <n v="3"/>
    <n v="0"/>
    <s v="Yes"/>
    <x v="0"/>
    <x v="0"/>
  </r>
  <r>
    <x v="934"/>
    <x v="1"/>
    <n v="31"/>
    <x v="1"/>
    <x v="0"/>
    <x v="0"/>
    <s v="Master's"/>
    <s v="Single"/>
    <n v="91833"/>
    <n v="5"/>
    <n v="1"/>
    <x v="3"/>
    <x v="2"/>
    <s v="Yes"/>
    <s v="Travel_Rarely"/>
    <n v="3"/>
    <n v="2"/>
    <s v="No"/>
    <x v="0"/>
    <x v="3"/>
  </r>
  <r>
    <x v="935"/>
    <x v="1"/>
    <n v="30"/>
    <x v="0"/>
    <x v="3"/>
    <x v="5"/>
    <s v="Master's"/>
    <s v="Single"/>
    <n v="68517"/>
    <n v="12"/>
    <n v="8"/>
    <x v="1"/>
    <x v="3"/>
    <s v="No"/>
    <s v="Travel_Frequently"/>
    <n v="3"/>
    <n v="1"/>
    <s v="Yes"/>
    <x v="0"/>
    <x v="1"/>
  </r>
  <r>
    <x v="936"/>
    <x v="0"/>
    <n v="44"/>
    <x v="0"/>
    <x v="0"/>
    <x v="2"/>
    <s v="PhD"/>
    <s v="Married"/>
    <n v="53485"/>
    <n v="12"/>
    <n v="5"/>
    <x v="1"/>
    <x v="0"/>
    <s v="No"/>
    <s v="Travel_Rarely"/>
    <n v="3"/>
    <n v="5"/>
    <s v="No"/>
    <x v="0"/>
    <x v="1"/>
  </r>
  <r>
    <x v="937"/>
    <x v="0"/>
    <n v="37"/>
    <x v="1"/>
    <x v="3"/>
    <x v="16"/>
    <s v="Bachelor's"/>
    <s v="Married"/>
    <n v="22000"/>
    <n v="4"/>
    <n v="2"/>
    <x v="1"/>
    <x v="3"/>
    <s v="No"/>
    <s v="Non-Travel"/>
    <n v="4"/>
    <n v="3"/>
    <s v="No"/>
    <x v="0"/>
    <x v="3"/>
  </r>
  <r>
    <x v="938"/>
    <x v="2"/>
    <n v="51"/>
    <x v="1"/>
    <x v="4"/>
    <x v="10"/>
    <s v="High School"/>
    <s v="Single"/>
    <n v="42378"/>
    <n v="1"/>
    <n v="1"/>
    <x v="0"/>
    <x v="0"/>
    <s v="No"/>
    <s v="Travel_Frequently"/>
    <n v="4"/>
    <n v="5"/>
    <s v="Yes"/>
    <x v="0"/>
    <x v="2"/>
  </r>
  <r>
    <x v="939"/>
    <x v="0"/>
    <n v="36"/>
    <x v="0"/>
    <x v="0"/>
    <x v="11"/>
    <s v="Master's"/>
    <s v="Single"/>
    <n v="36474"/>
    <n v="1"/>
    <n v="0"/>
    <x v="1"/>
    <x v="1"/>
    <s v="No"/>
    <s v="Travel_Frequently"/>
    <n v="3"/>
    <n v="5"/>
    <s v="Yes"/>
    <x v="0"/>
    <x v="2"/>
  </r>
  <r>
    <x v="940"/>
    <x v="0"/>
    <n v="43"/>
    <x v="0"/>
    <x v="1"/>
    <x v="3"/>
    <s v="Bachelor's"/>
    <s v="Married"/>
    <n v="99896"/>
    <n v="9"/>
    <n v="5"/>
    <x v="1"/>
    <x v="0"/>
    <s v="No"/>
    <s v="Travel_Rarely"/>
    <n v="3"/>
    <n v="1"/>
    <s v="No"/>
    <x v="0"/>
    <x v="0"/>
  </r>
  <r>
    <x v="941"/>
    <x v="0"/>
    <n v="35"/>
    <x v="1"/>
    <x v="4"/>
    <x v="10"/>
    <s v="High School"/>
    <s v="Single"/>
    <n v="64441"/>
    <n v="0"/>
    <n v="0"/>
    <x v="0"/>
    <x v="1"/>
    <s v="No"/>
    <s v="Travel_Rarely"/>
    <n v="4"/>
    <n v="4"/>
    <s v="No"/>
    <x v="0"/>
    <x v="4"/>
  </r>
  <r>
    <x v="942"/>
    <x v="1"/>
    <n v="33"/>
    <x v="1"/>
    <x v="1"/>
    <x v="1"/>
    <s v="Bachelor's"/>
    <s v="Single"/>
    <n v="27502"/>
    <n v="5"/>
    <n v="4"/>
    <x v="3"/>
    <x v="0"/>
    <s v="No"/>
    <s v="Travel_Rarely"/>
    <n v="3"/>
    <n v="6"/>
    <s v="No"/>
    <x v="0"/>
    <x v="3"/>
  </r>
  <r>
    <x v="943"/>
    <x v="0"/>
    <n v="44"/>
    <x v="0"/>
    <x v="3"/>
    <x v="18"/>
    <s v="PhD"/>
    <s v="Single"/>
    <n v="82503"/>
    <n v="4"/>
    <n v="2"/>
    <x v="0"/>
    <x v="1"/>
    <s v="No"/>
    <s v="Travel_Rarely"/>
    <n v="3"/>
    <n v="1"/>
    <s v="No"/>
    <x v="1"/>
    <x v="3"/>
  </r>
  <r>
    <x v="944"/>
    <x v="0"/>
    <n v="42"/>
    <x v="1"/>
    <x v="1"/>
    <x v="1"/>
    <s v="Master's"/>
    <s v="Married"/>
    <n v="61655"/>
    <n v="8"/>
    <n v="8"/>
    <x v="1"/>
    <x v="1"/>
    <s v="No"/>
    <s v="Travel_Rarely"/>
    <n v="3"/>
    <n v="1"/>
    <s v="No"/>
    <x v="0"/>
    <x v="0"/>
  </r>
  <r>
    <x v="945"/>
    <x v="3"/>
    <n v="21"/>
    <x v="0"/>
    <x v="0"/>
    <x v="11"/>
    <s v="Bachelor's"/>
    <s v="Divorced"/>
    <n v="60109"/>
    <n v="3"/>
    <n v="3"/>
    <x v="0"/>
    <x v="0"/>
    <s v="No"/>
    <s v="Travel_Rarely"/>
    <n v="3"/>
    <n v="4"/>
    <s v="No"/>
    <x v="0"/>
    <x v="3"/>
  </r>
  <r>
    <x v="946"/>
    <x v="1"/>
    <n v="28"/>
    <x v="1"/>
    <x v="5"/>
    <x v="12"/>
    <s v="Bachelor's"/>
    <s v="Married"/>
    <n v="66534"/>
    <n v="7"/>
    <n v="4"/>
    <x v="1"/>
    <x v="0"/>
    <s v="Yes"/>
    <s v="Travel_Frequently"/>
    <n v="3"/>
    <n v="5"/>
    <s v="No"/>
    <x v="0"/>
    <x v="0"/>
  </r>
  <r>
    <x v="947"/>
    <x v="3"/>
    <n v="21"/>
    <x v="1"/>
    <x v="1"/>
    <x v="1"/>
    <s v="Master's"/>
    <s v="Single"/>
    <n v="52202"/>
    <n v="1"/>
    <n v="1"/>
    <x v="3"/>
    <x v="0"/>
    <s v="No"/>
    <s v="Travel_Rarely"/>
    <n v="3"/>
    <n v="6"/>
    <s v="No"/>
    <x v="0"/>
    <x v="2"/>
  </r>
  <r>
    <x v="948"/>
    <x v="2"/>
    <n v="52"/>
    <x v="0"/>
    <x v="3"/>
    <x v="9"/>
    <s v="Bachelor's"/>
    <s v="Divorced"/>
    <n v="69536"/>
    <n v="23"/>
    <n v="12"/>
    <x v="1"/>
    <x v="0"/>
    <s v="Yes"/>
    <s v="Travel_Rarely"/>
    <n v="3"/>
    <n v="4"/>
    <s v="No"/>
    <x v="0"/>
    <x v="1"/>
  </r>
  <r>
    <x v="949"/>
    <x v="1"/>
    <n v="26"/>
    <x v="0"/>
    <x v="0"/>
    <x v="0"/>
    <s v="Bachelor's"/>
    <s v="Married"/>
    <n v="97362"/>
    <n v="0"/>
    <n v="0"/>
    <x v="1"/>
    <x v="1"/>
    <s v="No"/>
    <s v="Travel_Rarely"/>
    <n v="3"/>
    <n v="4"/>
    <s v="No"/>
    <x v="0"/>
    <x v="4"/>
  </r>
  <r>
    <x v="950"/>
    <x v="0"/>
    <n v="37"/>
    <x v="1"/>
    <x v="1"/>
    <x v="7"/>
    <s v="PhD"/>
    <s v="Single"/>
    <n v="46327"/>
    <n v="7"/>
    <n v="2"/>
    <x v="0"/>
    <x v="1"/>
    <s v="No"/>
    <s v="Travel_Rarely"/>
    <n v="2"/>
    <n v="4"/>
    <s v="Yes"/>
    <x v="0"/>
    <x v="0"/>
  </r>
  <r>
    <x v="951"/>
    <x v="0"/>
    <n v="44"/>
    <x v="0"/>
    <x v="0"/>
    <x v="0"/>
    <s v="Master's"/>
    <s v="Single"/>
    <n v="61557"/>
    <n v="9"/>
    <n v="6"/>
    <x v="0"/>
    <x v="0"/>
    <s v="Yes"/>
    <s v="Travel_Rarely"/>
    <n v="3"/>
    <n v="1"/>
    <s v="No"/>
    <x v="0"/>
    <x v="0"/>
  </r>
  <r>
    <x v="952"/>
    <x v="0"/>
    <n v="36"/>
    <x v="0"/>
    <x v="0"/>
    <x v="11"/>
    <s v="Bachelor's"/>
    <s v="Married"/>
    <n v="61961"/>
    <n v="6"/>
    <n v="2"/>
    <x v="3"/>
    <x v="2"/>
    <s v="No"/>
    <s v="Travel_Frequently"/>
    <n v="3"/>
    <n v="2"/>
    <s v="No"/>
    <x v="0"/>
    <x v="0"/>
  </r>
  <r>
    <x v="953"/>
    <x v="3"/>
    <n v="21"/>
    <x v="0"/>
    <x v="1"/>
    <x v="1"/>
    <s v="Bachelor's"/>
    <s v="Single"/>
    <n v="22000"/>
    <n v="0"/>
    <n v="0"/>
    <x v="0"/>
    <x v="1"/>
    <s v="Yes"/>
    <s v="Travel_Rarely"/>
    <n v="4"/>
    <n v="5"/>
    <s v="No"/>
    <x v="0"/>
    <x v="4"/>
  </r>
  <r>
    <x v="954"/>
    <x v="1"/>
    <n v="30"/>
    <x v="1"/>
    <x v="1"/>
    <x v="1"/>
    <s v="Bachelor's"/>
    <s v="Married"/>
    <n v="86364"/>
    <n v="1"/>
    <n v="1"/>
    <x v="1"/>
    <x v="3"/>
    <s v="No"/>
    <s v="Travel_Frequently"/>
    <n v="3"/>
    <n v="5"/>
    <s v="Yes"/>
    <x v="0"/>
    <x v="2"/>
  </r>
  <r>
    <x v="955"/>
    <x v="3"/>
    <n v="21"/>
    <x v="1"/>
    <x v="1"/>
    <x v="7"/>
    <s v="Bachelor's"/>
    <s v="Married"/>
    <n v="71320"/>
    <n v="3"/>
    <n v="1"/>
    <x v="0"/>
    <x v="0"/>
    <s v="No"/>
    <s v="Travel_Rarely"/>
    <n v="3"/>
    <n v="2"/>
    <s v="No"/>
    <x v="0"/>
    <x v="3"/>
  </r>
  <r>
    <x v="956"/>
    <x v="0"/>
    <n v="35"/>
    <x v="1"/>
    <x v="3"/>
    <x v="9"/>
    <s v="Master's"/>
    <s v="Married"/>
    <n v="22000"/>
    <n v="0"/>
    <n v="0"/>
    <x v="0"/>
    <x v="0"/>
    <s v="No"/>
    <s v="Travel_Frequently"/>
    <n v="4"/>
    <n v="3"/>
    <s v="No"/>
    <x v="0"/>
    <x v="4"/>
  </r>
  <r>
    <x v="957"/>
    <x v="0"/>
    <n v="36"/>
    <x v="1"/>
    <x v="3"/>
    <x v="16"/>
    <s v="Bachelor's"/>
    <s v="Married"/>
    <n v="23002"/>
    <n v="8"/>
    <n v="5"/>
    <x v="1"/>
    <x v="0"/>
    <s v="No"/>
    <s v="Non-Travel"/>
    <n v="4"/>
    <n v="6"/>
    <s v="No"/>
    <x v="0"/>
    <x v="0"/>
  </r>
  <r>
    <x v="958"/>
    <x v="3"/>
    <n v="23"/>
    <x v="0"/>
    <x v="1"/>
    <x v="3"/>
    <s v="Master's"/>
    <s v="Married"/>
    <n v="66079"/>
    <n v="5"/>
    <n v="5"/>
    <x v="2"/>
    <x v="0"/>
    <s v="No"/>
    <s v="Travel_Frequently"/>
    <n v="3"/>
    <n v="6"/>
    <s v="No"/>
    <x v="0"/>
    <x v="3"/>
  </r>
  <r>
    <x v="959"/>
    <x v="0"/>
    <n v="38"/>
    <x v="1"/>
    <x v="3"/>
    <x v="5"/>
    <s v="Master's"/>
    <s v="Married"/>
    <n v="101600"/>
    <n v="4"/>
    <n v="3"/>
    <x v="0"/>
    <x v="0"/>
    <s v="No"/>
    <s v="Travel_Rarely"/>
    <n v="3"/>
    <n v="3"/>
    <s v="No"/>
    <x v="0"/>
    <x v="3"/>
  </r>
  <r>
    <x v="960"/>
    <x v="3"/>
    <n v="22"/>
    <x v="0"/>
    <x v="0"/>
    <x v="0"/>
    <s v="Master's"/>
    <s v="Divorced"/>
    <n v="40776"/>
    <n v="1"/>
    <n v="1"/>
    <x v="0"/>
    <x v="3"/>
    <s v="No"/>
    <s v="Travel_Frequently"/>
    <n v="3"/>
    <n v="1"/>
    <s v="No"/>
    <x v="0"/>
    <x v="2"/>
  </r>
  <r>
    <x v="961"/>
    <x v="3"/>
    <n v="21"/>
    <x v="0"/>
    <x v="5"/>
    <x v="14"/>
    <s v="Master's"/>
    <s v="Single"/>
    <n v="64560"/>
    <n v="0"/>
    <n v="0"/>
    <x v="3"/>
    <x v="3"/>
    <s v="No"/>
    <s v="Travel_Frequently"/>
    <n v="3"/>
    <n v="2"/>
    <s v="No"/>
    <x v="0"/>
    <x v="4"/>
  </r>
  <r>
    <x v="962"/>
    <x v="1"/>
    <n v="29"/>
    <x v="0"/>
    <x v="0"/>
    <x v="0"/>
    <s v="Bachelor's"/>
    <s v="Married"/>
    <n v="61171"/>
    <n v="1"/>
    <n v="0"/>
    <x v="1"/>
    <x v="1"/>
    <s v="Yes"/>
    <s v="Travel_Rarely"/>
    <n v="4"/>
    <n v="5"/>
    <s v="No"/>
    <x v="0"/>
    <x v="2"/>
  </r>
  <r>
    <x v="963"/>
    <x v="1"/>
    <n v="34"/>
    <x v="0"/>
    <x v="0"/>
    <x v="11"/>
    <s v="Bachelor's"/>
    <s v="Married"/>
    <n v="23857"/>
    <n v="16"/>
    <n v="6"/>
    <x v="0"/>
    <x v="1"/>
    <s v="Yes"/>
    <s v="Non-Travel"/>
    <n v="3"/>
    <n v="0"/>
    <s v="No"/>
    <x v="0"/>
    <x v="1"/>
  </r>
  <r>
    <x v="964"/>
    <x v="2"/>
    <n v="48"/>
    <x v="0"/>
    <x v="3"/>
    <x v="16"/>
    <s v="Master's"/>
    <s v="Married"/>
    <n v="95420"/>
    <n v="7"/>
    <n v="4"/>
    <x v="1"/>
    <x v="1"/>
    <s v="No"/>
    <s v="Travel_Frequently"/>
    <n v="4"/>
    <n v="4"/>
    <s v="No"/>
    <x v="0"/>
    <x v="0"/>
  </r>
  <r>
    <x v="965"/>
    <x v="0"/>
    <n v="38"/>
    <x v="1"/>
    <x v="0"/>
    <x v="2"/>
    <s v="Bachelor's"/>
    <s v="Married"/>
    <n v="65816"/>
    <n v="20"/>
    <n v="7"/>
    <x v="3"/>
    <x v="0"/>
    <s v="Yes"/>
    <s v="Travel_Rarely"/>
    <n v="3"/>
    <n v="2"/>
    <s v="No"/>
    <x v="0"/>
    <x v="1"/>
  </r>
  <r>
    <x v="966"/>
    <x v="3"/>
    <n v="21"/>
    <x v="1"/>
    <x v="0"/>
    <x v="0"/>
    <s v="Bachelor's"/>
    <s v="Married"/>
    <n v="63764"/>
    <n v="0"/>
    <n v="0"/>
    <x v="1"/>
    <x v="1"/>
    <s v="No"/>
    <s v="Travel_Rarely"/>
    <n v="3"/>
    <n v="5"/>
    <s v="No"/>
    <x v="0"/>
    <x v="4"/>
  </r>
  <r>
    <x v="967"/>
    <x v="0"/>
    <n v="43"/>
    <x v="1"/>
    <x v="0"/>
    <x v="2"/>
    <s v="Master's"/>
    <s v="Married"/>
    <n v="49306"/>
    <n v="14"/>
    <n v="11"/>
    <x v="3"/>
    <x v="3"/>
    <s v="Yes"/>
    <s v="Travel_Rarely"/>
    <n v="2"/>
    <n v="5"/>
    <s v="No"/>
    <x v="0"/>
    <x v="1"/>
  </r>
  <r>
    <x v="968"/>
    <x v="1"/>
    <n v="34"/>
    <x v="1"/>
    <x v="1"/>
    <x v="7"/>
    <s v="Master's"/>
    <s v="Married"/>
    <n v="105990"/>
    <n v="8"/>
    <n v="2"/>
    <x v="3"/>
    <x v="1"/>
    <s v="Yes"/>
    <s v="Travel_Rarely"/>
    <n v="3"/>
    <n v="0"/>
    <s v="No"/>
    <x v="0"/>
    <x v="0"/>
  </r>
  <r>
    <x v="969"/>
    <x v="0"/>
    <n v="43"/>
    <x v="0"/>
    <x v="0"/>
    <x v="2"/>
    <s v="Bachelor's"/>
    <s v="Single"/>
    <n v="51331"/>
    <n v="19"/>
    <n v="6"/>
    <x v="1"/>
    <x v="0"/>
    <s v="No"/>
    <s v="Travel_Rarely"/>
    <n v="3"/>
    <n v="2"/>
    <s v="No"/>
    <x v="0"/>
    <x v="1"/>
  </r>
  <r>
    <x v="970"/>
    <x v="1"/>
    <n v="34"/>
    <x v="1"/>
    <x v="0"/>
    <x v="0"/>
    <s v="Bachelor's"/>
    <s v="Divorced"/>
    <n v="92483"/>
    <n v="5"/>
    <n v="0"/>
    <x v="3"/>
    <x v="0"/>
    <s v="No"/>
    <s v="Travel_Frequently"/>
    <n v="3"/>
    <n v="0"/>
    <s v="Yes"/>
    <x v="0"/>
    <x v="3"/>
  </r>
  <r>
    <x v="971"/>
    <x v="2"/>
    <n v="46"/>
    <x v="1"/>
    <x v="2"/>
    <x v="4"/>
    <s v="Bachelor's"/>
    <s v="Married"/>
    <n v="76935"/>
    <n v="12"/>
    <n v="3"/>
    <x v="0"/>
    <x v="3"/>
    <s v="No"/>
    <s v="Travel_Rarely"/>
    <n v="3"/>
    <n v="1"/>
    <s v="No"/>
    <x v="0"/>
    <x v="1"/>
  </r>
  <r>
    <x v="972"/>
    <x v="1"/>
    <n v="29"/>
    <x v="1"/>
    <x v="1"/>
    <x v="3"/>
    <s v="Bachelor's"/>
    <s v="Married"/>
    <n v="70561"/>
    <n v="4"/>
    <n v="2"/>
    <x v="1"/>
    <x v="1"/>
    <s v="No"/>
    <s v="Travel_Rarely"/>
    <n v="3"/>
    <n v="6"/>
    <s v="No"/>
    <x v="0"/>
    <x v="3"/>
  </r>
  <r>
    <x v="973"/>
    <x v="0"/>
    <n v="39"/>
    <x v="0"/>
    <x v="4"/>
    <x v="10"/>
    <s v="Bachelor's"/>
    <s v="Single"/>
    <n v="77125"/>
    <n v="7"/>
    <n v="6"/>
    <x v="0"/>
    <x v="0"/>
    <s v="Yes"/>
    <s v="Travel_Rarely"/>
    <n v="3"/>
    <n v="3"/>
    <s v="No"/>
    <x v="0"/>
    <x v="0"/>
  </r>
  <r>
    <x v="974"/>
    <x v="1"/>
    <n v="30"/>
    <x v="0"/>
    <x v="5"/>
    <x v="8"/>
    <s v="Master's"/>
    <s v="Married"/>
    <n v="83557"/>
    <n v="10"/>
    <n v="9"/>
    <x v="0"/>
    <x v="0"/>
    <s v="Yes"/>
    <s v="Travel_Rarely"/>
    <n v="3"/>
    <n v="5"/>
    <s v="No"/>
    <x v="1"/>
    <x v="0"/>
  </r>
  <r>
    <x v="975"/>
    <x v="2"/>
    <n v="50"/>
    <x v="0"/>
    <x v="0"/>
    <x v="0"/>
    <s v="Master's"/>
    <s v="Married"/>
    <n v="97720"/>
    <n v="25"/>
    <n v="12"/>
    <x v="1"/>
    <x v="3"/>
    <s v="No"/>
    <s v="Non-Travel"/>
    <n v="3"/>
    <n v="6"/>
    <s v="No"/>
    <x v="0"/>
    <x v="1"/>
  </r>
  <r>
    <x v="976"/>
    <x v="1"/>
    <n v="31"/>
    <x v="0"/>
    <x v="3"/>
    <x v="5"/>
    <s v="Master's"/>
    <s v="Single"/>
    <n v="29234"/>
    <n v="8"/>
    <n v="8"/>
    <x v="1"/>
    <x v="3"/>
    <s v="No"/>
    <s v="Non-Travel"/>
    <n v="3"/>
    <n v="1"/>
    <s v="No"/>
    <x v="0"/>
    <x v="0"/>
  </r>
  <r>
    <x v="977"/>
    <x v="0"/>
    <n v="40"/>
    <x v="0"/>
    <x v="3"/>
    <x v="18"/>
    <s v="PhD"/>
    <s v="Married"/>
    <n v="47467"/>
    <n v="18"/>
    <n v="9"/>
    <x v="2"/>
    <x v="3"/>
    <s v="Yes"/>
    <s v="Travel_Frequently"/>
    <n v="4"/>
    <n v="1"/>
    <s v="No"/>
    <x v="0"/>
    <x v="1"/>
  </r>
  <r>
    <x v="978"/>
    <x v="1"/>
    <n v="34"/>
    <x v="0"/>
    <x v="5"/>
    <x v="12"/>
    <s v="Bachelor's"/>
    <s v="Married"/>
    <n v="66435"/>
    <n v="15"/>
    <n v="2"/>
    <x v="0"/>
    <x v="2"/>
    <s v="No"/>
    <s v="Travel_Frequently"/>
    <n v="3"/>
    <n v="0"/>
    <s v="Yes"/>
    <x v="0"/>
    <x v="1"/>
  </r>
  <r>
    <x v="979"/>
    <x v="2"/>
    <n v="45"/>
    <x v="1"/>
    <x v="0"/>
    <x v="11"/>
    <s v="Bachelor's"/>
    <s v="Divorced"/>
    <n v="78877"/>
    <n v="25"/>
    <n v="0"/>
    <x v="3"/>
    <x v="3"/>
    <s v="Yes"/>
    <s v="Travel_Rarely"/>
    <n v="4"/>
    <n v="5"/>
    <s v="No"/>
    <x v="0"/>
    <x v="1"/>
  </r>
  <r>
    <x v="980"/>
    <x v="0"/>
    <n v="42"/>
    <x v="0"/>
    <x v="1"/>
    <x v="1"/>
    <s v="Bachelor's"/>
    <s v="Married"/>
    <n v="49918"/>
    <n v="19"/>
    <n v="3"/>
    <x v="0"/>
    <x v="0"/>
    <s v="No"/>
    <s v="Non-Travel"/>
    <n v="2"/>
    <n v="1"/>
    <s v="Yes"/>
    <x v="0"/>
    <x v="1"/>
  </r>
  <r>
    <x v="981"/>
    <x v="0"/>
    <n v="36"/>
    <x v="0"/>
    <x v="5"/>
    <x v="8"/>
    <s v="Bachelor's"/>
    <s v="Married"/>
    <n v="54042"/>
    <n v="5"/>
    <n v="0"/>
    <x v="1"/>
    <x v="1"/>
    <s v="No"/>
    <s v="Non-Travel"/>
    <n v="4"/>
    <n v="5"/>
    <s v="Yes"/>
    <x v="0"/>
    <x v="3"/>
  </r>
  <r>
    <x v="982"/>
    <x v="0"/>
    <n v="41"/>
    <x v="0"/>
    <x v="5"/>
    <x v="8"/>
    <s v="PhD"/>
    <s v="Married"/>
    <n v="45994"/>
    <n v="14"/>
    <n v="9"/>
    <x v="1"/>
    <x v="3"/>
    <s v="Yes"/>
    <s v="Travel_Rarely"/>
    <n v="3"/>
    <n v="0"/>
    <s v="No"/>
    <x v="0"/>
    <x v="1"/>
  </r>
  <r>
    <x v="983"/>
    <x v="0"/>
    <n v="42"/>
    <x v="0"/>
    <x v="0"/>
    <x v="2"/>
    <s v="High School"/>
    <s v="Single"/>
    <n v="62179"/>
    <n v="15"/>
    <n v="2"/>
    <x v="1"/>
    <x v="0"/>
    <s v="No"/>
    <s v="Travel_Rarely"/>
    <n v="3"/>
    <n v="6"/>
    <s v="Yes"/>
    <x v="0"/>
    <x v="1"/>
  </r>
  <r>
    <x v="984"/>
    <x v="1"/>
    <n v="32"/>
    <x v="0"/>
    <x v="3"/>
    <x v="18"/>
    <s v="PhD"/>
    <s v="Married"/>
    <n v="68285"/>
    <n v="13"/>
    <n v="5"/>
    <x v="3"/>
    <x v="0"/>
    <s v="No"/>
    <s v="Travel_Rarely"/>
    <n v="4"/>
    <n v="4"/>
    <s v="No"/>
    <x v="0"/>
    <x v="1"/>
  </r>
  <r>
    <x v="985"/>
    <x v="0"/>
    <n v="41"/>
    <x v="1"/>
    <x v="3"/>
    <x v="18"/>
    <s v="Master's"/>
    <s v="Married"/>
    <n v="105162"/>
    <n v="19"/>
    <n v="5"/>
    <x v="2"/>
    <x v="1"/>
    <s v="Yes"/>
    <s v="Travel_Rarely"/>
    <n v="4"/>
    <n v="3"/>
    <s v="No"/>
    <x v="0"/>
    <x v="1"/>
  </r>
  <r>
    <x v="986"/>
    <x v="3"/>
    <n v="21"/>
    <x v="0"/>
    <x v="5"/>
    <x v="14"/>
    <s v="High School"/>
    <s v="Single"/>
    <n v="93104"/>
    <n v="2"/>
    <n v="1"/>
    <x v="1"/>
    <x v="1"/>
    <s v="No"/>
    <s v="Travel_Frequently"/>
    <n v="3"/>
    <n v="2"/>
    <s v="No"/>
    <x v="0"/>
    <x v="2"/>
  </r>
  <r>
    <x v="987"/>
    <x v="1"/>
    <n v="31"/>
    <x v="1"/>
    <x v="1"/>
    <x v="3"/>
    <s v="Master's"/>
    <s v="Divorced"/>
    <n v="93391"/>
    <n v="7"/>
    <n v="6"/>
    <x v="1"/>
    <x v="0"/>
    <s v="No"/>
    <s v="Travel_Rarely"/>
    <n v="3"/>
    <n v="2"/>
    <s v="No"/>
    <x v="1"/>
    <x v="0"/>
  </r>
  <r>
    <x v="988"/>
    <x v="1"/>
    <n v="34"/>
    <x v="1"/>
    <x v="4"/>
    <x v="6"/>
    <s v="High School"/>
    <s v="Divorced"/>
    <n v="70628"/>
    <n v="0"/>
    <n v="0"/>
    <x v="2"/>
    <x v="3"/>
    <s v="Yes"/>
    <s v="Travel_Rarely"/>
    <n v="4"/>
    <n v="0"/>
    <s v="No"/>
    <x v="1"/>
    <x v="4"/>
  </r>
  <r>
    <x v="989"/>
    <x v="1"/>
    <n v="31"/>
    <x v="0"/>
    <x v="5"/>
    <x v="12"/>
    <s v="Bachelor's"/>
    <s v="Married"/>
    <n v="72992"/>
    <n v="3"/>
    <n v="0"/>
    <x v="0"/>
    <x v="3"/>
    <s v="No"/>
    <s v="Travel_Rarely"/>
    <n v="4"/>
    <n v="6"/>
    <s v="Yes"/>
    <x v="0"/>
    <x v="3"/>
  </r>
  <r>
    <x v="990"/>
    <x v="3"/>
    <n v="23"/>
    <x v="1"/>
    <x v="4"/>
    <x v="15"/>
    <s v="Master's"/>
    <s v="Married"/>
    <n v="76926"/>
    <n v="5"/>
    <n v="3"/>
    <x v="1"/>
    <x v="1"/>
    <s v="No"/>
    <s v="Travel_Rarely"/>
    <n v="3"/>
    <n v="2"/>
    <s v="No"/>
    <x v="1"/>
    <x v="3"/>
  </r>
  <r>
    <x v="991"/>
    <x v="1"/>
    <n v="29"/>
    <x v="1"/>
    <x v="2"/>
    <x v="13"/>
    <s v="Master's"/>
    <s v="Single"/>
    <n v="73083"/>
    <n v="10"/>
    <n v="10"/>
    <x v="3"/>
    <x v="1"/>
    <s v="No"/>
    <s v="Travel_Rarely"/>
    <n v="3"/>
    <n v="1"/>
    <s v="No"/>
    <x v="0"/>
    <x v="0"/>
  </r>
  <r>
    <x v="992"/>
    <x v="0"/>
    <n v="35"/>
    <x v="0"/>
    <x v="5"/>
    <x v="14"/>
    <s v="Bachelor's"/>
    <s v="Divorced"/>
    <n v="45242"/>
    <n v="4"/>
    <n v="3"/>
    <x v="2"/>
    <x v="2"/>
    <s v="Yes"/>
    <s v="Non-Travel"/>
    <n v="3"/>
    <n v="5"/>
    <s v="No"/>
    <x v="0"/>
    <x v="3"/>
  </r>
  <r>
    <x v="993"/>
    <x v="1"/>
    <n v="27"/>
    <x v="1"/>
    <x v="5"/>
    <x v="14"/>
    <s v="High School"/>
    <s v="Married"/>
    <n v="22000"/>
    <n v="4"/>
    <n v="4"/>
    <x v="2"/>
    <x v="1"/>
    <s v="No"/>
    <s v="Travel_Rarely"/>
    <n v="3"/>
    <n v="1"/>
    <s v="No"/>
    <x v="0"/>
    <x v="3"/>
  </r>
  <r>
    <x v="994"/>
    <x v="0"/>
    <n v="44"/>
    <x v="1"/>
    <x v="1"/>
    <x v="7"/>
    <s v="Master's"/>
    <s v="Married"/>
    <n v="96895"/>
    <n v="23"/>
    <n v="4"/>
    <x v="3"/>
    <x v="0"/>
    <s v="No"/>
    <s v="Travel_Rarely"/>
    <n v="3"/>
    <n v="6"/>
    <s v="No"/>
    <x v="0"/>
    <x v="1"/>
  </r>
  <r>
    <x v="995"/>
    <x v="0"/>
    <n v="36"/>
    <x v="0"/>
    <x v="0"/>
    <x v="11"/>
    <s v="Bachelor's"/>
    <s v="Married"/>
    <n v="26627"/>
    <n v="17"/>
    <n v="6"/>
    <x v="3"/>
    <x v="1"/>
    <s v="No"/>
    <s v="Travel_Rarely"/>
    <n v="3"/>
    <n v="4"/>
    <s v="No"/>
    <x v="0"/>
    <x v="1"/>
  </r>
  <r>
    <x v="996"/>
    <x v="1"/>
    <n v="34"/>
    <x v="1"/>
    <x v="0"/>
    <x v="0"/>
    <s v="Master's"/>
    <s v="Single"/>
    <n v="73779"/>
    <n v="10"/>
    <n v="2"/>
    <x v="0"/>
    <x v="1"/>
    <s v="No"/>
    <s v="Travel_Rarely"/>
    <n v="2"/>
    <n v="0"/>
    <s v="No"/>
    <x v="0"/>
    <x v="0"/>
  </r>
  <r>
    <x v="997"/>
    <x v="1"/>
    <n v="30"/>
    <x v="1"/>
    <x v="2"/>
    <x v="4"/>
    <s v="Master's"/>
    <s v="Married"/>
    <n v="71962"/>
    <n v="10"/>
    <n v="2"/>
    <x v="1"/>
    <x v="0"/>
    <s v="No"/>
    <s v="Travel_Frequently"/>
    <n v="3"/>
    <n v="5"/>
    <s v="Yes"/>
    <x v="0"/>
    <x v="0"/>
  </r>
  <r>
    <x v="998"/>
    <x v="0"/>
    <n v="36"/>
    <x v="0"/>
    <x v="3"/>
    <x v="9"/>
    <s v="Master's"/>
    <s v="Single"/>
    <n v="22000"/>
    <n v="4"/>
    <n v="4"/>
    <x v="1"/>
    <x v="3"/>
    <s v="No"/>
    <s v="Travel_Frequently"/>
    <n v="3"/>
    <n v="6"/>
    <s v="No"/>
    <x v="0"/>
    <x v="3"/>
  </r>
  <r>
    <x v="999"/>
    <x v="0"/>
    <n v="42"/>
    <x v="0"/>
    <x v="5"/>
    <x v="14"/>
    <s v="Bachelor's"/>
    <s v="Single"/>
    <n v="71349"/>
    <n v="23"/>
    <n v="0"/>
    <x v="1"/>
    <x v="0"/>
    <s v="No"/>
    <s v="Travel_Rarely"/>
    <n v="2"/>
    <n v="6"/>
    <s v="Yes"/>
    <x v="0"/>
    <x v="1"/>
  </r>
  <r>
    <x v="1000"/>
    <x v="1"/>
    <n v="29"/>
    <x v="0"/>
    <x v="0"/>
    <x v="11"/>
    <s v="Bachelor's"/>
    <s v="Single"/>
    <n v="54294"/>
    <n v="6"/>
    <n v="4"/>
    <x v="0"/>
    <x v="1"/>
    <s v="No"/>
    <s v="Travel_Rarely"/>
    <n v="2"/>
    <n v="5"/>
    <s v="No"/>
    <x v="0"/>
    <x v="0"/>
  </r>
  <r>
    <x v="1001"/>
    <x v="1"/>
    <n v="33"/>
    <x v="1"/>
    <x v="4"/>
    <x v="15"/>
    <s v="Bachelor's"/>
    <s v="Single"/>
    <n v="92635"/>
    <n v="15"/>
    <n v="10"/>
    <x v="1"/>
    <x v="3"/>
    <s v="No"/>
    <s v="Travel_Rarely"/>
    <n v="3"/>
    <n v="5"/>
    <s v="Yes"/>
    <x v="0"/>
    <x v="1"/>
  </r>
  <r>
    <x v="1002"/>
    <x v="1"/>
    <n v="29"/>
    <x v="0"/>
    <x v="3"/>
    <x v="16"/>
    <s v="Master's"/>
    <s v="Married"/>
    <n v="79870"/>
    <n v="6"/>
    <n v="4"/>
    <x v="2"/>
    <x v="3"/>
    <s v="No"/>
    <s v="Travel_Rarely"/>
    <n v="3"/>
    <n v="4"/>
    <s v="No"/>
    <x v="0"/>
    <x v="0"/>
  </r>
  <r>
    <x v="1003"/>
    <x v="0"/>
    <n v="37"/>
    <x v="0"/>
    <x v="0"/>
    <x v="11"/>
    <s v="Bachelor's"/>
    <s v="Married"/>
    <n v="29811"/>
    <n v="2"/>
    <n v="2"/>
    <x v="3"/>
    <x v="1"/>
    <s v="No"/>
    <s v="Travel_Rarely"/>
    <n v="3"/>
    <n v="6"/>
    <s v="No"/>
    <x v="1"/>
    <x v="2"/>
  </r>
  <r>
    <x v="1004"/>
    <x v="0"/>
    <n v="41"/>
    <x v="0"/>
    <x v="3"/>
    <x v="16"/>
    <s v="Master's"/>
    <s v="Single"/>
    <n v="46982"/>
    <n v="10"/>
    <n v="7"/>
    <x v="3"/>
    <x v="0"/>
    <s v="No"/>
    <s v="Travel_Rarely"/>
    <n v="3"/>
    <n v="4"/>
    <s v="No"/>
    <x v="0"/>
    <x v="0"/>
  </r>
  <r>
    <x v="1005"/>
    <x v="0"/>
    <n v="38"/>
    <x v="1"/>
    <x v="0"/>
    <x v="0"/>
    <s v="Master's"/>
    <s v="Divorced"/>
    <n v="25649"/>
    <n v="4"/>
    <n v="3"/>
    <x v="1"/>
    <x v="3"/>
    <s v="No"/>
    <s v="Travel_Frequently"/>
    <n v="4"/>
    <n v="3"/>
    <s v="No"/>
    <x v="0"/>
    <x v="3"/>
  </r>
  <r>
    <x v="1006"/>
    <x v="2"/>
    <n v="45"/>
    <x v="1"/>
    <x v="1"/>
    <x v="1"/>
    <s v="PhD"/>
    <s v="Married"/>
    <n v="70986"/>
    <n v="16"/>
    <n v="4"/>
    <x v="0"/>
    <x v="2"/>
    <s v="No"/>
    <s v="Travel_Rarely"/>
    <n v="3"/>
    <n v="3"/>
    <s v="No"/>
    <x v="0"/>
    <x v="1"/>
  </r>
  <r>
    <x v="1007"/>
    <x v="0"/>
    <n v="36"/>
    <x v="0"/>
    <x v="4"/>
    <x v="6"/>
    <s v="Bachelor's"/>
    <s v="Single"/>
    <n v="33510"/>
    <n v="3"/>
    <n v="3"/>
    <x v="1"/>
    <x v="1"/>
    <s v="No"/>
    <s v="Travel_Frequently"/>
    <n v="3"/>
    <n v="3"/>
    <s v="No"/>
    <x v="0"/>
    <x v="3"/>
  </r>
  <r>
    <x v="1008"/>
    <x v="0"/>
    <n v="37"/>
    <x v="0"/>
    <x v="4"/>
    <x v="10"/>
    <s v="High School"/>
    <s v="Married"/>
    <n v="73847"/>
    <n v="2"/>
    <n v="2"/>
    <x v="1"/>
    <x v="1"/>
    <s v="Yes"/>
    <s v="Travel_Rarely"/>
    <n v="3"/>
    <n v="2"/>
    <s v="No"/>
    <x v="0"/>
    <x v="2"/>
  </r>
  <r>
    <x v="1009"/>
    <x v="1"/>
    <n v="27"/>
    <x v="0"/>
    <x v="5"/>
    <x v="14"/>
    <s v="Bachelor's"/>
    <s v="Single"/>
    <n v="99610"/>
    <n v="0"/>
    <n v="0"/>
    <x v="3"/>
    <x v="1"/>
    <s v="No"/>
    <s v="Travel_Rarely"/>
    <n v="3"/>
    <n v="4"/>
    <s v="No"/>
    <x v="1"/>
    <x v="4"/>
  </r>
  <r>
    <x v="1010"/>
    <x v="4"/>
    <n v="56"/>
    <x v="0"/>
    <x v="0"/>
    <x v="2"/>
    <s v="Master's"/>
    <s v="Married"/>
    <n v="80558"/>
    <n v="2"/>
    <n v="0"/>
    <x v="1"/>
    <x v="0"/>
    <s v="Yes"/>
    <s v="Non-Travel"/>
    <n v="3"/>
    <n v="3"/>
    <s v="No"/>
    <x v="1"/>
    <x v="2"/>
  </r>
  <r>
    <x v="1011"/>
    <x v="0"/>
    <n v="40"/>
    <x v="1"/>
    <x v="4"/>
    <x v="15"/>
    <s v="Master's"/>
    <s v="Married"/>
    <n v="78333"/>
    <n v="11"/>
    <n v="4"/>
    <x v="3"/>
    <x v="0"/>
    <s v="Yes"/>
    <s v="Travel_Frequently"/>
    <n v="4"/>
    <n v="3"/>
    <s v="No"/>
    <x v="1"/>
    <x v="1"/>
  </r>
  <r>
    <x v="1012"/>
    <x v="1"/>
    <n v="26"/>
    <x v="1"/>
    <x v="1"/>
    <x v="1"/>
    <s v="Master's"/>
    <s v="Single"/>
    <n v="81179"/>
    <n v="7"/>
    <n v="1"/>
    <x v="1"/>
    <x v="0"/>
    <s v="No"/>
    <s v="Travel_Rarely"/>
    <n v="2"/>
    <n v="3"/>
    <s v="No"/>
    <x v="0"/>
    <x v="0"/>
  </r>
  <r>
    <x v="1013"/>
    <x v="0"/>
    <n v="43"/>
    <x v="0"/>
    <x v="5"/>
    <x v="12"/>
    <s v="Bachelor's"/>
    <s v="Single"/>
    <n v="75345"/>
    <n v="18"/>
    <n v="2"/>
    <x v="2"/>
    <x v="0"/>
    <s v="Yes"/>
    <s v="Non-Travel"/>
    <n v="3"/>
    <n v="3"/>
    <s v="No"/>
    <x v="0"/>
    <x v="1"/>
  </r>
  <r>
    <x v="1014"/>
    <x v="2"/>
    <n v="52"/>
    <x v="0"/>
    <x v="0"/>
    <x v="2"/>
    <s v="Bachelor's"/>
    <s v="Married"/>
    <n v="22000"/>
    <n v="13"/>
    <n v="10"/>
    <x v="0"/>
    <x v="1"/>
    <s v="No"/>
    <s v="Travel_Rarely"/>
    <n v="3"/>
    <n v="6"/>
    <s v="No"/>
    <x v="0"/>
    <x v="1"/>
  </r>
  <r>
    <x v="1015"/>
    <x v="1"/>
    <n v="33"/>
    <x v="0"/>
    <x v="5"/>
    <x v="12"/>
    <s v="Bachelor's"/>
    <s v="Married"/>
    <n v="51904"/>
    <n v="13"/>
    <n v="10"/>
    <x v="0"/>
    <x v="3"/>
    <s v="No"/>
    <s v="Travel_Rarely"/>
    <n v="4"/>
    <n v="6"/>
    <s v="No"/>
    <x v="0"/>
    <x v="1"/>
  </r>
  <r>
    <x v="1016"/>
    <x v="1"/>
    <n v="33"/>
    <x v="0"/>
    <x v="4"/>
    <x v="15"/>
    <s v="Bachelor's"/>
    <s v="Single"/>
    <n v="75457"/>
    <n v="12"/>
    <n v="12"/>
    <x v="1"/>
    <x v="0"/>
    <s v="No"/>
    <s v="Travel_Rarely"/>
    <n v="3"/>
    <n v="6"/>
    <s v="No"/>
    <x v="0"/>
    <x v="1"/>
  </r>
  <r>
    <x v="1017"/>
    <x v="0"/>
    <n v="36"/>
    <x v="0"/>
    <x v="3"/>
    <x v="16"/>
    <s v="Master's"/>
    <s v="Married"/>
    <n v="59650"/>
    <n v="17"/>
    <n v="9"/>
    <x v="3"/>
    <x v="3"/>
    <s v="No"/>
    <s v="Travel_Rarely"/>
    <n v="3"/>
    <n v="1"/>
    <s v="Yes"/>
    <x v="0"/>
    <x v="1"/>
  </r>
  <r>
    <x v="1018"/>
    <x v="0"/>
    <n v="37"/>
    <x v="0"/>
    <x v="0"/>
    <x v="0"/>
    <s v="Bachelor's"/>
    <s v="Single"/>
    <n v="62174"/>
    <n v="2"/>
    <n v="1"/>
    <x v="1"/>
    <x v="0"/>
    <s v="Yes"/>
    <s v="Travel_Rarely"/>
    <n v="4"/>
    <n v="6"/>
    <s v="No"/>
    <x v="0"/>
    <x v="2"/>
  </r>
  <r>
    <x v="1019"/>
    <x v="3"/>
    <n v="21"/>
    <x v="1"/>
    <x v="0"/>
    <x v="0"/>
    <s v="Master's"/>
    <s v="Single"/>
    <n v="75992"/>
    <n v="1"/>
    <n v="0"/>
    <x v="3"/>
    <x v="2"/>
    <s v="No"/>
    <s v="Travel_Rarely"/>
    <n v="3"/>
    <n v="1"/>
    <s v="No"/>
    <x v="1"/>
    <x v="2"/>
  </r>
  <r>
    <x v="1020"/>
    <x v="1"/>
    <n v="26"/>
    <x v="0"/>
    <x v="4"/>
    <x v="15"/>
    <s v="Bachelor's"/>
    <s v="Married"/>
    <n v="34939"/>
    <n v="0"/>
    <n v="0"/>
    <x v="0"/>
    <x v="3"/>
    <s v="No"/>
    <s v="Travel_Rarely"/>
    <n v="2"/>
    <n v="3"/>
    <s v="No"/>
    <x v="0"/>
    <x v="4"/>
  </r>
  <r>
    <x v="1021"/>
    <x v="2"/>
    <n v="46"/>
    <x v="0"/>
    <x v="0"/>
    <x v="11"/>
    <s v="High School"/>
    <s v="Single"/>
    <n v="72601"/>
    <n v="2"/>
    <n v="0"/>
    <x v="1"/>
    <x v="3"/>
    <s v="No"/>
    <s v="Travel_Frequently"/>
    <n v="3"/>
    <n v="6"/>
    <s v="No"/>
    <x v="0"/>
    <x v="2"/>
  </r>
  <r>
    <x v="1022"/>
    <x v="1"/>
    <n v="27"/>
    <x v="0"/>
    <x v="3"/>
    <x v="9"/>
    <s v="Bachelor's"/>
    <s v="Married"/>
    <n v="77005"/>
    <n v="2"/>
    <n v="1"/>
    <x v="3"/>
    <x v="1"/>
    <s v="No"/>
    <s v="Travel_Rarely"/>
    <n v="3"/>
    <n v="5"/>
    <s v="No"/>
    <x v="0"/>
    <x v="2"/>
  </r>
  <r>
    <x v="1023"/>
    <x v="1"/>
    <n v="27"/>
    <x v="0"/>
    <x v="5"/>
    <x v="14"/>
    <s v="Bachelor's"/>
    <s v="Single"/>
    <n v="70894"/>
    <n v="6"/>
    <n v="5"/>
    <x v="3"/>
    <x v="0"/>
    <s v="No"/>
    <s v="Travel_Rarely"/>
    <n v="3"/>
    <n v="1"/>
    <s v="Yes"/>
    <x v="0"/>
    <x v="0"/>
  </r>
  <r>
    <x v="1024"/>
    <x v="1"/>
    <n v="29"/>
    <x v="0"/>
    <x v="5"/>
    <x v="8"/>
    <s v="High School"/>
    <s v="Single"/>
    <n v="81942"/>
    <n v="4"/>
    <n v="4"/>
    <x v="1"/>
    <x v="0"/>
    <s v="Yes"/>
    <s v="Travel_Rarely"/>
    <n v="2"/>
    <n v="4"/>
    <s v="Yes"/>
    <x v="0"/>
    <x v="3"/>
  </r>
  <r>
    <x v="1025"/>
    <x v="0"/>
    <n v="39"/>
    <x v="1"/>
    <x v="0"/>
    <x v="0"/>
    <s v="High School"/>
    <s v="Single"/>
    <n v="99856"/>
    <n v="15"/>
    <n v="3"/>
    <x v="1"/>
    <x v="3"/>
    <s v="No"/>
    <s v="Travel_Rarely"/>
    <n v="4"/>
    <n v="5"/>
    <s v="No"/>
    <x v="0"/>
    <x v="1"/>
  </r>
  <r>
    <x v="1026"/>
    <x v="0"/>
    <n v="39"/>
    <x v="1"/>
    <x v="5"/>
    <x v="8"/>
    <s v="Bachelor's"/>
    <s v="Married"/>
    <n v="75548"/>
    <n v="21"/>
    <n v="5"/>
    <x v="1"/>
    <x v="1"/>
    <s v="No"/>
    <s v="Travel_Rarely"/>
    <n v="2"/>
    <n v="0"/>
    <s v="No"/>
    <x v="0"/>
    <x v="1"/>
  </r>
  <r>
    <x v="1027"/>
    <x v="2"/>
    <n v="49"/>
    <x v="1"/>
    <x v="3"/>
    <x v="9"/>
    <s v="Master's"/>
    <s v="Married"/>
    <n v="58230"/>
    <n v="0"/>
    <n v="0"/>
    <x v="3"/>
    <x v="3"/>
    <s v="No"/>
    <s v="Travel_Rarely"/>
    <n v="3"/>
    <n v="1"/>
    <s v="No"/>
    <x v="1"/>
    <x v="4"/>
  </r>
  <r>
    <x v="1028"/>
    <x v="0"/>
    <n v="38"/>
    <x v="1"/>
    <x v="0"/>
    <x v="0"/>
    <s v="Bachelor's"/>
    <s v="Divorced"/>
    <n v="37176"/>
    <n v="9"/>
    <n v="4"/>
    <x v="0"/>
    <x v="2"/>
    <s v="Yes"/>
    <s v="Non-Travel"/>
    <n v="3"/>
    <n v="2"/>
    <s v="Yes"/>
    <x v="0"/>
    <x v="0"/>
  </r>
  <r>
    <x v="1029"/>
    <x v="1"/>
    <n v="28"/>
    <x v="0"/>
    <x v="5"/>
    <x v="8"/>
    <s v="Master's"/>
    <s v="Single"/>
    <n v="52617"/>
    <n v="2"/>
    <n v="2"/>
    <x v="2"/>
    <x v="0"/>
    <s v="Yes"/>
    <s v="Travel_Rarely"/>
    <n v="3"/>
    <n v="3"/>
    <s v="No"/>
    <x v="0"/>
    <x v="2"/>
  </r>
  <r>
    <x v="1030"/>
    <x v="1"/>
    <n v="34"/>
    <x v="0"/>
    <x v="1"/>
    <x v="7"/>
    <s v="PhD"/>
    <s v="Married"/>
    <n v="87483"/>
    <n v="5"/>
    <n v="4"/>
    <x v="3"/>
    <x v="2"/>
    <s v="Yes"/>
    <s v="Travel_Rarely"/>
    <n v="3"/>
    <n v="1"/>
    <s v="No"/>
    <x v="0"/>
    <x v="3"/>
  </r>
  <r>
    <x v="1031"/>
    <x v="0"/>
    <n v="39"/>
    <x v="1"/>
    <x v="0"/>
    <x v="2"/>
    <s v="Master's"/>
    <s v="Married"/>
    <n v="33032"/>
    <n v="17"/>
    <n v="10"/>
    <x v="0"/>
    <x v="0"/>
    <s v="No"/>
    <s v="Travel_Frequently"/>
    <n v="3"/>
    <n v="2"/>
    <s v="No"/>
    <x v="0"/>
    <x v="1"/>
  </r>
  <r>
    <x v="1032"/>
    <x v="3"/>
    <n v="21"/>
    <x v="0"/>
    <x v="0"/>
    <x v="2"/>
    <s v="Bachelor's"/>
    <s v="Married"/>
    <n v="103567"/>
    <n v="3"/>
    <n v="3"/>
    <x v="0"/>
    <x v="1"/>
    <s v="No"/>
    <s v="Travel_Rarely"/>
    <n v="3"/>
    <n v="3"/>
    <s v="No"/>
    <x v="0"/>
    <x v="3"/>
  </r>
  <r>
    <x v="1033"/>
    <x v="2"/>
    <n v="49"/>
    <x v="1"/>
    <x v="3"/>
    <x v="16"/>
    <s v="Master's"/>
    <s v="Married"/>
    <n v="37993"/>
    <n v="2"/>
    <n v="0"/>
    <x v="1"/>
    <x v="1"/>
    <s v="No"/>
    <s v="Travel_Frequently"/>
    <n v="3"/>
    <n v="2"/>
    <s v="Yes"/>
    <x v="0"/>
    <x v="2"/>
  </r>
  <r>
    <x v="1034"/>
    <x v="1"/>
    <n v="34"/>
    <x v="1"/>
    <x v="2"/>
    <x v="4"/>
    <s v="Bachelor's"/>
    <s v="Married"/>
    <n v="59293"/>
    <n v="15"/>
    <n v="3"/>
    <x v="1"/>
    <x v="3"/>
    <s v="Yes"/>
    <s v="Travel_Rarely"/>
    <n v="3"/>
    <n v="6"/>
    <s v="No"/>
    <x v="0"/>
    <x v="1"/>
  </r>
  <r>
    <x v="1035"/>
    <x v="0"/>
    <n v="36"/>
    <x v="1"/>
    <x v="5"/>
    <x v="8"/>
    <s v="Master's"/>
    <s v="Single"/>
    <n v="43196"/>
    <n v="16"/>
    <n v="6"/>
    <x v="3"/>
    <x v="3"/>
    <s v="No"/>
    <s v="Travel_Frequently"/>
    <n v="2"/>
    <n v="4"/>
    <s v="No"/>
    <x v="0"/>
    <x v="1"/>
  </r>
  <r>
    <x v="1036"/>
    <x v="0"/>
    <n v="36"/>
    <x v="0"/>
    <x v="2"/>
    <x v="17"/>
    <s v="Master's"/>
    <s v="Married"/>
    <n v="54695"/>
    <n v="11"/>
    <n v="5"/>
    <x v="1"/>
    <x v="3"/>
    <s v="Yes"/>
    <s v="Travel_Frequently"/>
    <n v="3"/>
    <n v="0"/>
    <s v="No"/>
    <x v="0"/>
    <x v="1"/>
  </r>
  <r>
    <x v="1037"/>
    <x v="0"/>
    <n v="43"/>
    <x v="0"/>
    <x v="4"/>
    <x v="10"/>
    <s v="High School"/>
    <s v="Married"/>
    <n v="37192"/>
    <n v="8"/>
    <n v="2"/>
    <x v="1"/>
    <x v="1"/>
    <s v="No"/>
    <s v="Travel_Rarely"/>
    <n v="3"/>
    <n v="5"/>
    <s v="Yes"/>
    <x v="0"/>
    <x v="0"/>
  </r>
  <r>
    <x v="1038"/>
    <x v="0"/>
    <n v="41"/>
    <x v="0"/>
    <x v="1"/>
    <x v="7"/>
    <s v="Master's"/>
    <s v="Single"/>
    <n v="26501"/>
    <n v="14"/>
    <n v="6"/>
    <x v="1"/>
    <x v="0"/>
    <s v="No"/>
    <s v="Travel_Rarely"/>
    <n v="3"/>
    <n v="4"/>
    <s v="No"/>
    <x v="0"/>
    <x v="1"/>
  </r>
  <r>
    <x v="1039"/>
    <x v="1"/>
    <n v="31"/>
    <x v="0"/>
    <x v="0"/>
    <x v="11"/>
    <s v="Bachelor's"/>
    <s v="Married"/>
    <n v="95734"/>
    <n v="2"/>
    <n v="1"/>
    <x v="1"/>
    <x v="1"/>
    <s v="Yes"/>
    <s v="Travel_Rarely"/>
    <n v="4"/>
    <n v="6"/>
    <s v="No"/>
    <x v="0"/>
    <x v="2"/>
  </r>
  <r>
    <x v="1040"/>
    <x v="0"/>
    <n v="37"/>
    <x v="0"/>
    <x v="3"/>
    <x v="18"/>
    <s v="High School"/>
    <s v="Married"/>
    <n v="73981"/>
    <n v="14"/>
    <n v="8"/>
    <x v="1"/>
    <x v="1"/>
    <s v="No"/>
    <s v="Travel_Frequently"/>
    <n v="3"/>
    <n v="2"/>
    <s v="No"/>
    <x v="0"/>
    <x v="1"/>
  </r>
  <r>
    <x v="1041"/>
    <x v="1"/>
    <n v="27"/>
    <x v="0"/>
    <x v="1"/>
    <x v="7"/>
    <s v="High School"/>
    <s v="Married"/>
    <n v="55266"/>
    <n v="6"/>
    <n v="3"/>
    <x v="3"/>
    <x v="0"/>
    <s v="No"/>
    <s v="Travel_Frequently"/>
    <n v="3"/>
    <n v="4"/>
    <s v="No"/>
    <x v="0"/>
    <x v="0"/>
  </r>
  <r>
    <x v="1042"/>
    <x v="0"/>
    <n v="38"/>
    <x v="0"/>
    <x v="0"/>
    <x v="2"/>
    <s v="Bachelor's"/>
    <s v="Single"/>
    <n v="53495"/>
    <n v="1"/>
    <n v="1"/>
    <x v="1"/>
    <x v="2"/>
    <s v="No"/>
    <s v="Travel_Rarely"/>
    <n v="3"/>
    <n v="3"/>
    <s v="No"/>
    <x v="0"/>
    <x v="2"/>
  </r>
  <r>
    <x v="1043"/>
    <x v="1"/>
    <n v="27"/>
    <x v="0"/>
    <x v="1"/>
    <x v="3"/>
    <s v="Bachelor's"/>
    <s v="Married"/>
    <n v="48531"/>
    <n v="3"/>
    <n v="3"/>
    <x v="0"/>
    <x v="2"/>
    <s v="Yes"/>
    <s v="Travel_Frequently"/>
    <n v="3"/>
    <n v="3"/>
    <s v="No"/>
    <x v="0"/>
    <x v="3"/>
  </r>
  <r>
    <x v="1044"/>
    <x v="3"/>
    <n v="21"/>
    <x v="1"/>
    <x v="1"/>
    <x v="7"/>
    <s v="Master's"/>
    <s v="Single"/>
    <n v="66550"/>
    <n v="0"/>
    <n v="0"/>
    <x v="3"/>
    <x v="1"/>
    <s v="No"/>
    <s v="Non-Travel"/>
    <n v="3"/>
    <n v="1"/>
    <s v="No"/>
    <x v="0"/>
    <x v="4"/>
  </r>
  <r>
    <x v="1045"/>
    <x v="0"/>
    <n v="39"/>
    <x v="0"/>
    <x v="4"/>
    <x v="10"/>
    <s v="Bachelor's"/>
    <s v="Single"/>
    <n v="31580"/>
    <n v="5"/>
    <n v="0"/>
    <x v="1"/>
    <x v="3"/>
    <s v="Yes"/>
    <s v="Travel_Rarely"/>
    <n v="4"/>
    <n v="3"/>
    <s v="No"/>
    <x v="1"/>
    <x v="3"/>
  </r>
  <r>
    <x v="1046"/>
    <x v="1"/>
    <n v="29"/>
    <x v="0"/>
    <x v="1"/>
    <x v="7"/>
    <s v="Master's"/>
    <s v="Married"/>
    <n v="51427"/>
    <n v="9"/>
    <n v="3"/>
    <x v="1"/>
    <x v="0"/>
    <s v="Yes"/>
    <s v="Non-Travel"/>
    <n v="3"/>
    <n v="3"/>
    <s v="Yes"/>
    <x v="0"/>
    <x v="0"/>
  </r>
  <r>
    <x v="1047"/>
    <x v="1"/>
    <n v="31"/>
    <x v="0"/>
    <x v="1"/>
    <x v="7"/>
    <s v="Master's"/>
    <s v="Single"/>
    <n v="44983"/>
    <n v="9"/>
    <n v="3"/>
    <x v="0"/>
    <x v="0"/>
    <s v="No"/>
    <s v="Travel_Rarely"/>
    <n v="3"/>
    <n v="6"/>
    <s v="No"/>
    <x v="0"/>
    <x v="0"/>
  </r>
  <r>
    <x v="1048"/>
    <x v="0"/>
    <n v="41"/>
    <x v="1"/>
    <x v="2"/>
    <x v="13"/>
    <s v="Master's"/>
    <s v="Single"/>
    <n v="80494"/>
    <n v="11"/>
    <n v="7"/>
    <x v="1"/>
    <x v="0"/>
    <s v="No"/>
    <s v="Travel_Rarely"/>
    <n v="3"/>
    <n v="6"/>
    <s v="No"/>
    <x v="0"/>
    <x v="1"/>
  </r>
  <r>
    <x v="1049"/>
    <x v="0"/>
    <n v="41"/>
    <x v="1"/>
    <x v="2"/>
    <x v="4"/>
    <s v="PhD"/>
    <s v="Married"/>
    <n v="83217"/>
    <n v="0"/>
    <n v="0"/>
    <x v="1"/>
    <x v="0"/>
    <s v="No"/>
    <s v="Travel_Rarely"/>
    <n v="3"/>
    <n v="0"/>
    <s v="No"/>
    <x v="0"/>
    <x v="4"/>
  </r>
  <r>
    <x v="1050"/>
    <x v="1"/>
    <n v="27"/>
    <x v="0"/>
    <x v="3"/>
    <x v="18"/>
    <s v="Bachelor's"/>
    <s v="Divorced"/>
    <n v="56669"/>
    <n v="5"/>
    <n v="1"/>
    <x v="0"/>
    <x v="1"/>
    <s v="No"/>
    <s v="Non-Travel"/>
    <n v="3"/>
    <n v="5"/>
    <s v="No"/>
    <x v="0"/>
    <x v="3"/>
  </r>
  <r>
    <x v="1051"/>
    <x v="0"/>
    <n v="36"/>
    <x v="0"/>
    <x v="2"/>
    <x v="17"/>
    <s v="Master's"/>
    <s v="Married"/>
    <n v="59892"/>
    <n v="8"/>
    <n v="1"/>
    <x v="1"/>
    <x v="1"/>
    <s v="No"/>
    <s v="Non-Travel"/>
    <n v="3"/>
    <n v="3"/>
    <s v="Yes"/>
    <x v="0"/>
    <x v="0"/>
  </r>
  <r>
    <x v="1052"/>
    <x v="2"/>
    <n v="48"/>
    <x v="0"/>
    <x v="1"/>
    <x v="3"/>
    <s v="Bachelor's"/>
    <s v="Married"/>
    <n v="48898"/>
    <n v="20"/>
    <n v="6"/>
    <x v="3"/>
    <x v="3"/>
    <s v="Yes"/>
    <s v="Travel_Rarely"/>
    <n v="3"/>
    <n v="6"/>
    <s v="No"/>
    <x v="1"/>
    <x v="1"/>
  </r>
  <r>
    <x v="1053"/>
    <x v="2"/>
    <n v="48"/>
    <x v="0"/>
    <x v="1"/>
    <x v="7"/>
    <s v="Bachelor's"/>
    <s v="Single"/>
    <n v="72834"/>
    <n v="0"/>
    <n v="0"/>
    <x v="3"/>
    <x v="1"/>
    <s v="No"/>
    <s v="Non-Travel"/>
    <n v="4"/>
    <n v="3"/>
    <s v="Yes"/>
    <x v="0"/>
    <x v="4"/>
  </r>
  <r>
    <x v="1054"/>
    <x v="1"/>
    <n v="33"/>
    <x v="1"/>
    <x v="0"/>
    <x v="2"/>
    <s v="High School"/>
    <s v="Married"/>
    <n v="60707"/>
    <n v="0"/>
    <n v="0"/>
    <x v="3"/>
    <x v="0"/>
    <s v="Yes"/>
    <s v="Travel_Rarely"/>
    <n v="3"/>
    <n v="5"/>
    <s v="No"/>
    <x v="0"/>
    <x v="4"/>
  </r>
  <r>
    <x v="1055"/>
    <x v="1"/>
    <n v="27"/>
    <x v="0"/>
    <x v="1"/>
    <x v="7"/>
    <s v="Master's"/>
    <s v="Single"/>
    <n v="52801"/>
    <n v="2"/>
    <n v="1"/>
    <x v="2"/>
    <x v="3"/>
    <s v="No"/>
    <s v="Travel_Rarely"/>
    <n v="2"/>
    <n v="2"/>
    <s v="No"/>
    <x v="0"/>
    <x v="2"/>
  </r>
  <r>
    <x v="1056"/>
    <x v="1"/>
    <n v="34"/>
    <x v="0"/>
    <x v="5"/>
    <x v="8"/>
    <s v="Bachelor's"/>
    <s v="Married"/>
    <n v="46236"/>
    <n v="3"/>
    <n v="0"/>
    <x v="0"/>
    <x v="0"/>
    <s v="No"/>
    <s v="Travel_Frequently"/>
    <n v="3"/>
    <n v="4"/>
    <s v="No"/>
    <x v="0"/>
    <x v="3"/>
  </r>
  <r>
    <x v="1057"/>
    <x v="1"/>
    <n v="32"/>
    <x v="0"/>
    <x v="2"/>
    <x v="4"/>
    <s v="Master's"/>
    <s v="Married"/>
    <n v="47790"/>
    <n v="0"/>
    <n v="0"/>
    <x v="0"/>
    <x v="0"/>
    <s v="No"/>
    <s v="Travel_Rarely"/>
    <n v="2"/>
    <n v="1"/>
    <s v="No"/>
    <x v="0"/>
    <x v="4"/>
  </r>
  <r>
    <x v="1058"/>
    <x v="1"/>
    <n v="34"/>
    <x v="0"/>
    <x v="0"/>
    <x v="11"/>
    <s v="Master's"/>
    <s v="Single"/>
    <n v="63280"/>
    <n v="0"/>
    <n v="0"/>
    <x v="0"/>
    <x v="0"/>
    <s v="No"/>
    <s v="Travel_Rarely"/>
    <n v="4"/>
    <n v="4"/>
    <s v="Yes"/>
    <x v="0"/>
    <x v="4"/>
  </r>
  <r>
    <x v="1059"/>
    <x v="0"/>
    <n v="38"/>
    <x v="0"/>
    <x v="4"/>
    <x v="6"/>
    <s v="Bachelor's"/>
    <s v="Single"/>
    <n v="105752"/>
    <n v="4"/>
    <n v="1"/>
    <x v="3"/>
    <x v="1"/>
    <s v="Yes"/>
    <s v="Travel_Frequently"/>
    <n v="2"/>
    <n v="4"/>
    <s v="No"/>
    <x v="1"/>
    <x v="3"/>
  </r>
  <r>
    <x v="1060"/>
    <x v="0"/>
    <n v="43"/>
    <x v="1"/>
    <x v="2"/>
    <x v="17"/>
    <s v="Master's"/>
    <s v="Married"/>
    <n v="96688"/>
    <n v="6"/>
    <n v="5"/>
    <x v="0"/>
    <x v="3"/>
    <s v="No"/>
    <s v="Travel_Frequently"/>
    <n v="3"/>
    <n v="3"/>
    <s v="No"/>
    <x v="0"/>
    <x v="0"/>
  </r>
  <r>
    <x v="1061"/>
    <x v="3"/>
    <n v="21"/>
    <x v="1"/>
    <x v="4"/>
    <x v="6"/>
    <s v="Master's"/>
    <s v="Single"/>
    <n v="22000"/>
    <n v="2"/>
    <n v="0"/>
    <x v="3"/>
    <x v="3"/>
    <s v="No"/>
    <s v="Travel_Frequently"/>
    <n v="3"/>
    <n v="3"/>
    <s v="Yes"/>
    <x v="0"/>
    <x v="2"/>
  </r>
  <r>
    <x v="1062"/>
    <x v="0"/>
    <n v="43"/>
    <x v="0"/>
    <x v="1"/>
    <x v="7"/>
    <s v="Master's"/>
    <s v="Married"/>
    <n v="69254"/>
    <n v="17"/>
    <n v="7"/>
    <x v="1"/>
    <x v="0"/>
    <s v="Yes"/>
    <s v="Travel_Rarely"/>
    <n v="2"/>
    <n v="3"/>
    <s v="No"/>
    <x v="0"/>
    <x v="1"/>
  </r>
  <r>
    <x v="1063"/>
    <x v="0"/>
    <n v="35"/>
    <x v="1"/>
    <x v="1"/>
    <x v="1"/>
    <s v="Bachelor's"/>
    <s v="Married"/>
    <n v="67124"/>
    <n v="8"/>
    <n v="3"/>
    <x v="0"/>
    <x v="0"/>
    <s v="No"/>
    <s v="Travel_Frequently"/>
    <n v="3"/>
    <n v="3"/>
    <s v="No"/>
    <x v="0"/>
    <x v="0"/>
  </r>
  <r>
    <x v="1064"/>
    <x v="2"/>
    <n v="47"/>
    <x v="1"/>
    <x v="4"/>
    <x v="15"/>
    <s v="Master's"/>
    <s v="Single"/>
    <n v="64559"/>
    <n v="6"/>
    <n v="3"/>
    <x v="3"/>
    <x v="3"/>
    <s v="Yes"/>
    <s v="Travel_Rarely"/>
    <n v="3"/>
    <n v="4"/>
    <s v="No"/>
    <x v="0"/>
    <x v="0"/>
  </r>
  <r>
    <x v="1065"/>
    <x v="1"/>
    <n v="28"/>
    <x v="0"/>
    <x v="0"/>
    <x v="0"/>
    <s v="Bachelor's"/>
    <s v="Married"/>
    <n v="85221"/>
    <n v="6"/>
    <n v="6"/>
    <x v="3"/>
    <x v="1"/>
    <s v="No"/>
    <s v="Travel_Rarely"/>
    <n v="3"/>
    <n v="4"/>
    <s v="No"/>
    <x v="0"/>
    <x v="0"/>
  </r>
  <r>
    <x v="1066"/>
    <x v="2"/>
    <n v="47"/>
    <x v="1"/>
    <x v="1"/>
    <x v="1"/>
    <s v="High School"/>
    <s v="Married"/>
    <n v="29779"/>
    <n v="7"/>
    <n v="2"/>
    <x v="3"/>
    <x v="1"/>
    <s v="Yes"/>
    <s v="Non-Travel"/>
    <n v="3"/>
    <n v="1"/>
    <s v="No"/>
    <x v="0"/>
    <x v="0"/>
  </r>
  <r>
    <x v="1067"/>
    <x v="0"/>
    <n v="42"/>
    <x v="1"/>
    <x v="3"/>
    <x v="9"/>
    <s v="Master's"/>
    <s v="Divorced"/>
    <n v="32597"/>
    <n v="23"/>
    <n v="8"/>
    <x v="3"/>
    <x v="0"/>
    <s v="No"/>
    <s v="Travel_Rarely"/>
    <n v="4"/>
    <n v="3"/>
    <s v="No"/>
    <x v="0"/>
    <x v="1"/>
  </r>
  <r>
    <x v="1068"/>
    <x v="0"/>
    <n v="43"/>
    <x v="0"/>
    <x v="0"/>
    <x v="11"/>
    <s v="High School"/>
    <s v="Married"/>
    <n v="95490"/>
    <n v="2"/>
    <n v="2"/>
    <x v="0"/>
    <x v="0"/>
    <s v="No"/>
    <s v="Travel_Rarely"/>
    <n v="3"/>
    <n v="0"/>
    <s v="No"/>
    <x v="0"/>
    <x v="2"/>
  </r>
  <r>
    <x v="1069"/>
    <x v="1"/>
    <n v="34"/>
    <x v="0"/>
    <x v="3"/>
    <x v="5"/>
    <s v="Master's"/>
    <s v="Single"/>
    <n v="51023"/>
    <n v="5"/>
    <n v="3"/>
    <x v="1"/>
    <x v="3"/>
    <s v="No"/>
    <s v="Travel_Rarely"/>
    <n v="4"/>
    <n v="0"/>
    <s v="Yes"/>
    <x v="0"/>
    <x v="3"/>
  </r>
  <r>
    <x v="1070"/>
    <x v="0"/>
    <n v="43"/>
    <x v="1"/>
    <x v="2"/>
    <x v="4"/>
    <s v="Master's"/>
    <s v="Married"/>
    <n v="41984"/>
    <n v="0"/>
    <n v="0"/>
    <x v="1"/>
    <x v="0"/>
    <s v="No"/>
    <s v="Travel_Rarely"/>
    <n v="3"/>
    <n v="5"/>
    <s v="No"/>
    <x v="0"/>
    <x v="4"/>
  </r>
  <r>
    <x v="1071"/>
    <x v="0"/>
    <n v="41"/>
    <x v="1"/>
    <x v="0"/>
    <x v="2"/>
    <s v="Master's"/>
    <s v="Married"/>
    <n v="52226"/>
    <n v="9"/>
    <n v="8"/>
    <x v="1"/>
    <x v="3"/>
    <s v="No"/>
    <s v="Non-Travel"/>
    <n v="4"/>
    <n v="4"/>
    <s v="Yes"/>
    <x v="0"/>
    <x v="0"/>
  </r>
  <r>
    <x v="1072"/>
    <x v="2"/>
    <n v="45"/>
    <x v="0"/>
    <x v="0"/>
    <x v="0"/>
    <s v="High School"/>
    <s v="Married"/>
    <n v="36255"/>
    <n v="20"/>
    <n v="6"/>
    <x v="2"/>
    <x v="1"/>
    <s v="Yes"/>
    <s v="Travel_Rarely"/>
    <n v="3"/>
    <n v="3"/>
    <s v="No"/>
    <x v="0"/>
    <x v="1"/>
  </r>
  <r>
    <x v="1073"/>
    <x v="2"/>
    <n v="48"/>
    <x v="0"/>
    <x v="2"/>
    <x v="4"/>
    <s v="Bachelor's"/>
    <s v="Married"/>
    <n v="52140"/>
    <n v="1"/>
    <n v="0"/>
    <x v="0"/>
    <x v="0"/>
    <s v="No"/>
    <s v="Travel_Rarely"/>
    <n v="3"/>
    <n v="4"/>
    <s v="No"/>
    <x v="0"/>
    <x v="2"/>
  </r>
  <r>
    <x v="1074"/>
    <x v="1"/>
    <n v="32"/>
    <x v="1"/>
    <x v="5"/>
    <x v="8"/>
    <s v="Bachelor's"/>
    <s v="Married"/>
    <n v="104092"/>
    <n v="11"/>
    <n v="0"/>
    <x v="1"/>
    <x v="0"/>
    <s v="No"/>
    <s v="Travel_Rarely"/>
    <n v="3"/>
    <n v="6"/>
    <s v="No"/>
    <x v="0"/>
    <x v="1"/>
  </r>
  <r>
    <x v="1075"/>
    <x v="1"/>
    <n v="32"/>
    <x v="1"/>
    <x v="1"/>
    <x v="3"/>
    <s v="Bachelor's"/>
    <s v="Single"/>
    <n v="68344"/>
    <n v="8"/>
    <n v="5"/>
    <x v="2"/>
    <x v="0"/>
    <s v="Yes"/>
    <s v="Travel_Frequently"/>
    <n v="3"/>
    <n v="2"/>
    <s v="No"/>
    <x v="0"/>
    <x v="0"/>
  </r>
  <r>
    <x v="1076"/>
    <x v="0"/>
    <n v="39"/>
    <x v="1"/>
    <x v="0"/>
    <x v="2"/>
    <s v="Master's"/>
    <s v="Married"/>
    <n v="96703"/>
    <n v="14"/>
    <n v="7"/>
    <x v="1"/>
    <x v="0"/>
    <s v="No"/>
    <s v="Travel_Rarely"/>
    <n v="3"/>
    <n v="2"/>
    <s v="No"/>
    <x v="0"/>
    <x v="1"/>
  </r>
  <r>
    <x v="1077"/>
    <x v="1"/>
    <n v="33"/>
    <x v="0"/>
    <x v="3"/>
    <x v="16"/>
    <s v="Bachelor's"/>
    <s v="Married"/>
    <n v="52555"/>
    <n v="6"/>
    <n v="0"/>
    <x v="1"/>
    <x v="2"/>
    <s v="Yes"/>
    <s v="Travel_Rarely"/>
    <n v="3"/>
    <n v="0"/>
    <s v="No"/>
    <x v="0"/>
    <x v="0"/>
  </r>
  <r>
    <x v="1078"/>
    <x v="1"/>
    <n v="25"/>
    <x v="0"/>
    <x v="0"/>
    <x v="11"/>
    <s v="Bachelor's"/>
    <s v="Married"/>
    <n v="90474"/>
    <n v="7"/>
    <n v="0"/>
    <x v="3"/>
    <x v="3"/>
    <s v="No"/>
    <s v="Travel_Rarely"/>
    <n v="4"/>
    <n v="0"/>
    <s v="No"/>
    <x v="0"/>
    <x v="0"/>
  </r>
  <r>
    <x v="1079"/>
    <x v="3"/>
    <n v="21"/>
    <x v="1"/>
    <x v="0"/>
    <x v="0"/>
    <s v="Master's"/>
    <s v="Married"/>
    <n v="60775"/>
    <n v="3"/>
    <n v="3"/>
    <x v="2"/>
    <x v="0"/>
    <s v="No"/>
    <s v="Travel_Rarely"/>
    <n v="3"/>
    <n v="2"/>
    <s v="No"/>
    <x v="1"/>
    <x v="3"/>
  </r>
  <r>
    <x v="1080"/>
    <x v="0"/>
    <n v="38"/>
    <x v="0"/>
    <x v="3"/>
    <x v="9"/>
    <s v="Master's"/>
    <s v="Married"/>
    <n v="64828"/>
    <n v="0"/>
    <n v="0"/>
    <x v="3"/>
    <x v="3"/>
    <s v="No"/>
    <s v="Travel_Rarely"/>
    <n v="4"/>
    <n v="5"/>
    <s v="Yes"/>
    <x v="0"/>
    <x v="4"/>
  </r>
  <r>
    <x v="1081"/>
    <x v="0"/>
    <n v="37"/>
    <x v="0"/>
    <x v="0"/>
    <x v="0"/>
    <s v="PhD"/>
    <s v="Single"/>
    <n v="34405"/>
    <n v="11"/>
    <n v="0"/>
    <x v="2"/>
    <x v="3"/>
    <s v="Yes"/>
    <s v="Travel_Rarely"/>
    <n v="3"/>
    <n v="5"/>
    <s v="Yes"/>
    <x v="0"/>
    <x v="1"/>
  </r>
  <r>
    <x v="1082"/>
    <x v="0"/>
    <n v="37"/>
    <x v="1"/>
    <x v="1"/>
    <x v="1"/>
    <s v="Master's"/>
    <s v="Married"/>
    <n v="34466"/>
    <n v="19"/>
    <n v="8"/>
    <x v="1"/>
    <x v="1"/>
    <s v="No"/>
    <s v="Travel_Frequently"/>
    <n v="3"/>
    <n v="3"/>
    <s v="No"/>
    <x v="0"/>
    <x v="1"/>
  </r>
  <r>
    <x v="1083"/>
    <x v="0"/>
    <n v="41"/>
    <x v="0"/>
    <x v="4"/>
    <x v="6"/>
    <s v="Bachelor's"/>
    <s v="Divorced"/>
    <n v="70956"/>
    <n v="18"/>
    <n v="4"/>
    <x v="0"/>
    <x v="3"/>
    <s v="No"/>
    <s v="Travel_Rarely"/>
    <n v="3"/>
    <n v="3"/>
    <s v="No"/>
    <x v="0"/>
    <x v="1"/>
  </r>
  <r>
    <x v="1084"/>
    <x v="0"/>
    <n v="42"/>
    <x v="1"/>
    <x v="1"/>
    <x v="3"/>
    <s v="Master's"/>
    <s v="Married"/>
    <n v="62050"/>
    <n v="12"/>
    <n v="11"/>
    <x v="1"/>
    <x v="2"/>
    <s v="No"/>
    <s v="Travel_Rarely"/>
    <n v="3"/>
    <n v="3"/>
    <s v="No"/>
    <x v="0"/>
    <x v="1"/>
  </r>
  <r>
    <x v="1085"/>
    <x v="0"/>
    <n v="40"/>
    <x v="1"/>
    <x v="5"/>
    <x v="8"/>
    <s v="Bachelor's"/>
    <s v="Single"/>
    <n v="54624"/>
    <n v="17"/>
    <n v="3"/>
    <x v="2"/>
    <x v="0"/>
    <s v="No"/>
    <s v="Travel_Rarely"/>
    <n v="4"/>
    <n v="4"/>
    <s v="No"/>
    <x v="0"/>
    <x v="1"/>
  </r>
  <r>
    <x v="1086"/>
    <x v="0"/>
    <n v="39"/>
    <x v="1"/>
    <x v="0"/>
    <x v="2"/>
    <s v="High School"/>
    <s v="Married"/>
    <n v="65186"/>
    <n v="10"/>
    <n v="7"/>
    <x v="1"/>
    <x v="1"/>
    <s v="No"/>
    <s v="Travel_Frequently"/>
    <n v="2"/>
    <n v="6"/>
    <s v="No"/>
    <x v="0"/>
    <x v="0"/>
  </r>
  <r>
    <x v="1087"/>
    <x v="2"/>
    <n v="45"/>
    <x v="0"/>
    <x v="2"/>
    <x v="13"/>
    <s v="Bachelor's"/>
    <s v="Married"/>
    <n v="68735"/>
    <n v="4"/>
    <n v="2"/>
    <x v="0"/>
    <x v="1"/>
    <s v="No"/>
    <s v="Travel_Frequently"/>
    <n v="3"/>
    <n v="2"/>
    <s v="No"/>
    <x v="0"/>
    <x v="3"/>
  </r>
  <r>
    <x v="1088"/>
    <x v="0"/>
    <n v="35"/>
    <x v="1"/>
    <x v="1"/>
    <x v="3"/>
    <s v="Bachelor's"/>
    <s v="Married"/>
    <n v="97180"/>
    <n v="12"/>
    <n v="2"/>
    <x v="1"/>
    <x v="0"/>
    <s v="Yes"/>
    <s v="Travel_Rarely"/>
    <n v="3"/>
    <n v="6"/>
    <s v="No"/>
    <x v="1"/>
    <x v="1"/>
  </r>
  <r>
    <x v="1089"/>
    <x v="3"/>
    <n v="24"/>
    <x v="0"/>
    <x v="5"/>
    <x v="8"/>
    <s v="Bachelor's"/>
    <s v="Single"/>
    <n v="52355"/>
    <n v="6"/>
    <n v="6"/>
    <x v="0"/>
    <x v="0"/>
    <s v="No"/>
    <s v="Non-Travel"/>
    <n v="3"/>
    <n v="0"/>
    <s v="No"/>
    <x v="0"/>
    <x v="0"/>
  </r>
  <r>
    <x v="1090"/>
    <x v="1"/>
    <n v="34"/>
    <x v="1"/>
    <x v="5"/>
    <x v="12"/>
    <s v="PhD"/>
    <s v="Married"/>
    <n v="49779"/>
    <n v="7"/>
    <n v="3"/>
    <x v="0"/>
    <x v="1"/>
    <s v="Yes"/>
    <s v="Travel_Rarely"/>
    <n v="2"/>
    <n v="5"/>
    <s v="No"/>
    <x v="1"/>
    <x v="0"/>
  </r>
  <r>
    <x v="1091"/>
    <x v="1"/>
    <n v="30"/>
    <x v="0"/>
    <x v="5"/>
    <x v="14"/>
    <s v="Master's"/>
    <s v="Married"/>
    <n v="35062"/>
    <n v="0"/>
    <n v="0"/>
    <x v="0"/>
    <x v="1"/>
    <s v="No"/>
    <s v="Travel_Rarely"/>
    <n v="4"/>
    <n v="3"/>
    <s v="No"/>
    <x v="0"/>
    <x v="4"/>
  </r>
  <r>
    <x v="1092"/>
    <x v="0"/>
    <n v="38"/>
    <x v="0"/>
    <x v="4"/>
    <x v="6"/>
    <s v="Bachelor's"/>
    <s v="Single"/>
    <n v="42613"/>
    <n v="19"/>
    <n v="9"/>
    <x v="1"/>
    <x v="3"/>
    <s v="No"/>
    <s v="Travel_Frequently"/>
    <n v="3"/>
    <n v="6"/>
    <s v="No"/>
    <x v="0"/>
    <x v="1"/>
  </r>
  <r>
    <x v="1093"/>
    <x v="2"/>
    <n v="45"/>
    <x v="1"/>
    <x v="3"/>
    <x v="16"/>
    <s v="Bachelor's"/>
    <s v="Single"/>
    <n v="97605"/>
    <n v="23"/>
    <n v="6"/>
    <x v="1"/>
    <x v="3"/>
    <s v="No"/>
    <s v="Travel_Frequently"/>
    <n v="4"/>
    <n v="6"/>
    <s v="No"/>
    <x v="0"/>
    <x v="1"/>
  </r>
  <r>
    <x v="1094"/>
    <x v="0"/>
    <n v="43"/>
    <x v="1"/>
    <x v="0"/>
    <x v="11"/>
    <s v="Master's"/>
    <s v="Single"/>
    <n v="74407"/>
    <n v="8"/>
    <n v="5"/>
    <x v="2"/>
    <x v="3"/>
    <s v="No"/>
    <s v="Travel_Rarely"/>
    <n v="3"/>
    <n v="6"/>
    <s v="No"/>
    <x v="0"/>
    <x v="0"/>
  </r>
  <r>
    <x v="1095"/>
    <x v="3"/>
    <n v="21"/>
    <x v="0"/>
    <x v="1"/>
    <x v="3"/>
    <s v="Bachelor's"/>
    <s v="Divorced"/>
    <n v="62027"/>
    <n v="0"/>
    <n v="0"/>
    <x v="3"/>
    <x v="3"/>
    <s v="Yes"/>
    <s v="Travel_Frequently"/>
    <n v="2"/>
    <n v="6"/>
    <s v="No"/>
    <x v="0"/>
    <x v="4"/>
  </r>
  <r>
    <x v="1096"/>
    <x v="1"/>
    <n v="33"/>
    <x v="1"/>
    <x v="5"/>
    <x v="14"/>
    <s v="Master's"/>
    <s v="Married"/>
    <n v="73584"/>
    <n v="4"/>
    <n v="1"/>
    <x v="0"/>
    <x v="1"/>
    <s v="No"/>
    <s v="Travel_Frequently"/>
    <n v="2"/>
    <n v="6"/>
    <s v="No"/>
    <x v="1"/>
    <x v="3"/>
  </r>
  <r>
    <x v="1097"/>
    <x v="0"/>
    <n v="38"/>
    <x v="1"/>
    <x v="0"/>
    <x v="0"/>
    <s v="Master's"/>
    <s v="Single"/>
    <n v="44879"/>
    <n v="9"/>
    <n v="3"/>
    <x v="1"/>
    <x v="0"/>
    <s v="No"/>
    <s v="Travel_Frequently"/>
    <n v="3"/>
    <n v="4"/>
    <s v="No"/>
    <x v="0"/>
    <x v="0"/>
  </r>
  <r>
    <x v="1098"/>
    <x v="0"/>
    <n v="35"/>
    <x v="0"/>
    <x v="3"/>
    <x v="5"/>
    <s v="Bachelor's"/>
    <s v="Married"/>
    <n v="42384"/>
    <n v="11"/>
    <n v="8"/>
    <x v="3"/>
    <x v="2"/>
    <s v="No"/>
    <s v="Travel_Rarely"/>
    <n v="3"/>
    <n v="4"/>
    <s v="No"/>
    <x v="0"/>
    <x v="1"/>
  </r>
  <r>
    <x v="1099"/>
    <x v="0"/>
    <n v="41"/>
    <x v="1"/>
    <x v="4"/>
    <x v="15"/>
    <s v="Bachelor's"/>
    <s v="Single"/>
    <n v="56074"/>
    <n v="3"/>
    <n v="2"/>
    <x v="3"/>
    <x v="0"/>
    <s v="No"/>
    <s v="Travel_Rarely"/>
    <n v="4"/>
    <n v="4"/>
    <s v="No"/>
    <x v="0"/>
    <x v="3"/>
  </r>
  <r>
    <x v="1100"/>
    <x v="1"/>
    <n v="30"/>
    <x v="0"/>
    <x v="5"/>
    <x v="12"/>
    <s v="Master's"/>
    <s v="Single"/>
    <n v="89420"/>
    <n v="3"/>
    <n v="0"/>
    <x v="1"/>
    <x v="0"/>
    <s v="No"/>
    <s v="Travel_Frequently"/>
    <n v="2"/>
    <n v="4"/>
    <s v="No"/>
    <x v="1"/>
    <x v="3"/>
  </r>
  <r>
    <x v="1101"/>
    <x v="1"/>
    <n v="32"/>
    <x v="0"/>
    <x v="3"/>
    <x v="16"/>
    <s v="PhD"/>
    <s v="Single"/>
    <n v="52610"/>
    <n v="13"/>
    <n v="9"/>
    <x v="2"/>
    <x v="0"/>
    <s v="No"/>
    <s v="Travel_Frequently"/>
    <n v="2"/>
    <n v="2"/>
    <s v="No"/>
    <x v="0"/>
    <x v="1"/>
  </r>
  <r>
    <x v="1102"/>
    <x v="1"/>
    <n v="31"/>
    <x v="0"/>
    <x v="0"/>
    <x v="0"/>
    <s v="Bachelor's"/>
    <s v="Married"/>
    <n v="50000"/>
    <n v="6"/>
    <n v="6"/>
    <x v="2"/>
    <x v="1"/>
    <s v="Yes"/>
    <s v="Travel_Frequently"/>
    <n v="3"/>
    <n v="2"/>
    <s v="No"/>
    <x v="0"/>
    <x v="0"/>
  </r>
  <r>
    <x v="1103"/>
    <x v="0"/>
    <n v="36"/>
    <x v="0"/>
    <x v="1"/>
    <x v="1"/>
    <s v="PhD"/>
    <s v="Married"/>
    <n v="66173"/>
    <n v="12"/>
    <n v="2"/>
    <x v="1"/>
    <x v="0"/>
    <s v="Yes"/>
    <s v="Travel_Rarely"/>
    <n v="3"/>
    <n v="2"/>
    <s v="No"/>
    <x v="0"/>
    <x v="1"/>
  </r>
  <r>
    <x v="1104"/>
    <x v="1"/>
    <n v="30"/>
    <x v="1"/>
    <x v="4"/>
    <x v="10"/>
    <s v="Bachelor's"/>
    <s v="Single"/>
    <n v="35900"/>
    <n v="8"/>
    <n v="3"/>
    <x v="3"/>
    <x v="1"/>
    <s v="Yes"/>
    <s v="Travel_Rarely"/>
    <n v="3"/>
    <n v="5"/>
    <s v="No"/>
    <x v="1"/>
    <x v="0"/>
  </r>
  <r>
    <x v="1105"/>
    <x v="0"/>
    <n v="42"/>
    <x v="0"/>
    <x v="3"/>
    <x v="5"/>
    <s v="PhD"/>
    <s v="Married"/>
    <n v="58557"/>
    <n v="20"/>
    <n v="8"/>
    <x v="3"/>
    <x v="3"/>
    <s v="Yes"/>
    <s v="Travel_Rarely"/>
    <n v="3"/>
    <n v="4"/>
    <s v="No"/>
    <x v="0"/>
    <x v="1"/>
  </r>
  <r>
    <x v="1106"/>
    <x v="0"/>
    <n v="40"/>
    <x v="1"/>
    <x v="0"/>
    <x v="0"/>
    <s v="High School"/>
    <s v="Married"/>
    <n v="47963"/>
    <n v="17"/>
    <n v="9"/>
    <x v="1"/>
    <x v="0"/>
    <s v="No"/>
    <s v="Travel_Frequently"/>
    <n v="3"/>
    <n v="3"/>
    <s v="No"/>
    <x v="0"/>
    <x v="1"/>
  </r>
  <r>
    <x v="1107"/>
    <x v="2"/>
    <n v="50"/>
    <x v="0"/>
    <x v="2"/>
    <x v="17"/>
    <s v="Master's"/>
    <s v="Married"/>
    <n v="43140"/>
    <n v="3"/>
    <n v="2"/>
    <x v="2"/>
    <x v="1"/>
    <s v="No"/>
    <s v="Non-Travel"/>
    <n v="3"/>
    <n v="0"/>
    <s v="No"/>
    <x v="0"/>
    <x v="3"/>
  </r>
  <r>
    <x v="1108"/>
    <x v="0"/>
    <n v="36"/>
    <x v="1"/>
    <x v="3"/>
    <x v="9"/>
    <s v="Bachelor's"/>
    <s v="Divorced"/>
    <n v="74652"/>
    <n v="0"/>
    <n v="0"/>
    <x v="3"/>
    <x v="3"/>
    <s v="No"/>
    <s v="Non-Travel"/>
    <n v="4"/>
    <n v="4"/>
    <s v="No"/>
    <x v="1"/>
    <x v="4"/>
  </r>
  <r>
    <x v="1109"/>
    <x v="0"/>
    <n v="44"/>
    <x v="0"/>
    <x v="0"/>
    <x v="0"/>
    <s v="Master's"/>
    <s v="Single"/>
    <n v="115291"/>
    <n v="12"/>
    <n v="0"/>
    <x v="3"/>
    <x v="1"/>
    <s v="No"/>
    <s v="Travel_Frequently"/>
    <n v="4"/>
    <n v="2"/>
    <s v="No"/>
    <x v="0"/>
    <x v="1"/>
  </r>
  <r>
    <x v="1110"/>
    <x v="1"/>
    <n v="25"/>
    <x v="0"/>
    <x v="3"/>
    <x v="5"/>
    <s v="Bachelor's"/>
    <s v="Married"/>
    <n v="55680"/>
    <n v="0"/>
    <n v="0"/>
    <x v="0"/>
    <x v="1"/>
    <s v="Yes"/>
    <s v="Non-Travel"/>
    <n v="3"/>
    <n v="6"/>
    <s v="No"/>
    <x v="0"/>
    <x v="4"/>
  </r>
  <r>
    <x v="1111"/>
    <x v="1"/>
    <n v="30"/>
    <x v="1"/>
    <x v="2"/>
    <x v="4"/>
    <s v="Bachelor's"/>
    <s v="Single"/>
    <n v="58678"/>
    <n v="7"/>
    <n v="6"/>
    <x v="3"/>
    <x v="0"/>
    <s v="No"/>
    <s v="Travel_Frequently"/>
    <n v="3"/>
    <n v="1"/>
    <s v="No"/>
    <x v="0"/>
    <x v="0"/>
  </r>
  <r>
    <x v="1112"/>
    <x v="1"/>
    <n v="25"/>
    <x v="1"/>
    <x v="4"/>
    <x v="10"/>
    <s v="Bachelor's"/>
    <s v="Married"/>
    <n v="45632"/>
    <n v="5"/>
    <n v="5"/>
    <x v="3"/>
    <x v="1"/>
    <s v="No"/>
    <s v="Non-Travel"/>
    <n v="3"/>
    <n v="0"/>
    <s v="No"/>
    <x v="0"/>
    <x v="3"/>
  </r>
  <r>
    <x v="1113"/>
    <x v="3"/>
    <n v="21"/>
    <x v="0"/>
    <x v="4"/>
    <x v="10"/>
    <s v="Master's"/>
    <s v="Single"/>
    <n v="34513"/>
    <n v="2"/>
    <n v="0"/>
    <x v="1"/>
    <x v="1"/>
    <s v="No"/>
    <s v="Non-Travel"/>
    <n v="3"/>
    <n v="5"/>
    <s v="No"/>
    <x v="0"/>
    <x v="2"/>
  </r>
  <r>
    <x v="1114"/>
    <x v="0"/>
    <n v="43"/>
    <x v="0"/>
    <x v="3"/>
    <x v="18"/>
    <s v="High School"/>
    <s v="Married"/>
    <n v="74660"/>
    <n v="1"/>
    <n v="1"/>
    <x v="1"/>
    <x v="1"/>
    <s v="Yes"/>
    <s v="Travel_Frequently"/>
    <n v="3"/>
    <n v="5"/>
    <s v="No"/>
    <x v="1"/>
    <x v="2"/>
  </r>
  <r>
    <x v="1115"/>
    <x v="1"/>
    <n v="27"/>
    <x v="0"/>
    <x v="0"/>
    <x v="11"/>
    <s v="Bachelor's"/>
    <s v="Single"/>
    <n v="47429"/>
    <n v="4"/>
    <n v="0"/>
    <x v="2"/>
    <x v="3"/>
    <s v="Yes"/>
    <s v="Travel_Rarely"/>
    <n v="3"/>
    <n v="2"/>
    <s v="No"/>
    <x v="1"/>
    <x v="3"/>
  </r>
  <r>
    <x v="1116"/>
    <x v="2"/>
    <n v="49"/>
    <x v="1"/>
    <x v="5"/>
    <x v="12"/>
    <s v="Master's"/>
    <s v="Married"/>
    <n v="54334"/>
    <n v="8"/>
    <n v="6"/>
    <x v="0"/>
    <x v="1"/>
    <s v="No"/>
    <s v="Non-Travel"/>
    <n v="3"/>
    <n v="3"/>
    <s v="No"/>
    <x v="0"/>
    <x v="0"/>
  </r>
  <r>
    <x v="1117"/>
    <x v="1"/>
    <n v="30"/>
    <x v="1"/>
    <x v="0"/>
    <x v="11"/>
    <s v="Bachelor's"/>
    <s v="Divorced"/>
    <n v="77391"/>
    <n v="7"/>
    <n v="5"/>
    <x v="3"/>
    <x v="0"/>
    <s v="No"/>
    <s v="Travel_Frequently"/>
    <n v="3"/>
    <n v="6"/>
    <s v="No"/>
    <x v="0"/>
    <x v="0"/>
  </r>
  <r>
    <x v="1118"/>
    <x v="2"/>
    <n v="46"/>
    <x v="0"/>
    <x v="1"/>
    <x v="7"/>
    <s v="High School"/>
    <s v="Single"/>
    <n v="104562"/>
    <n v="22"/>
    <n v="7"/>
    <x v="2"/>
    <x v="3"/>
    <s v="No"/>
    <s v="Non-Travel"/>
    <n v="4"/>
    <n v="2"/>
    <s v="No"/>
    <x v="0"/>
    <x v="1"/>
  </r>
  <r>
    <x v="1119"/>
    <x v="0"/>
    <n v="37"/>
    <x v="1"/>
    <x v="3"/>
    <x v="5"/>
    <s v="High School"/>
    <s v="Married"/>
    <n v="62269"/>
    <n v="19"/>
    <n v="0"/>
    <x v="0"/>
    <x v="1"/>
    <s v="No"/>
    <s v="Travel_Rarely"/>
    <n v="2"/>
    <n v="0"/>
    <s v="Yes"/>
    <x v="0"/>
    <x v="1"/>
  </r>
  <r>
    <x v="1120"/>
    <x v="0"/>
    <n v="35"/>
    <x v="1"/>
    <x v="0"/>
    <x v="11"/>
    <s v="High School"/>
    <s v="Married"/>
    <n v="54076"/>
    <n v="1"/>
    <n v="1"/>
    <x v="0"/>
    <x v="1"/>
    <s v="No"/>
    <s v="Travel_Rarely"/>
    <n v="3"/>
    <n v="6"/>
    <s v="No"/>
    <x v="0"/>
    <x v="2"/>
  </r>
  <r>
    <x v="1121"/>
    <x v="1"/>
    <n v="34"/>
    <x v="1"/>
    <x v="3"/>
    <x v="5"/>
    <s v="Bachelor's"/>
    <s v="Married"/>
    <n v="41919"/>
    <n v="2"/>
    <n v="0"/>
    <x v="1"/>
    <x v="2"/>
    <s v="Yes"/>
    <s v="Travel_Frequently"/>
    <n v="3"/>
    <n v="5"/>
    <s v="No"/>
    <x v="0"/>
    <x v="2"/>
  </r>
  <r>
    <x v="1122"/>
    <x v="0"/>
    <n v="36"/>
    <x v="1"/>
    <x v="1"/>
    <x v="1"/>
    <s v="Bachelor's"/>
    <s v="Married"/>
    <n v="62274"/>
    <n v="9"/>
    <n v="6"/>
    <x v="1"/>
    <x v="0"/>
    <s v="No"/>
    <s v="Travel_Frequently"/>
    <n v="3"/>
    <n v="1"/>
    <s v="No"/>
    <x v="0"/>
    <x v="0"/>
  </r>
  <r>
    <x v="1123"/>
    <x v="1"/>
    <n v="34"/>
    <x v="0"/>
    <x v="4"/>
    <x v="10"/>
    <s v="Master's"/>
    <s v="Married"/>
    <n v="22000"/>
    <n v="2"/>
    <n v="1"/>
    <x v="0"/>
    <x v="3"/>
    <s v="No"/>
    <s v="Travel_Rarely"/>
    <n v="4"/>
    <n v="4"/>
    <s v="Yes"/>
    <x v="0"/>
    <x v="2"/>
  </r>
  <r>
    <x v="1124"/>
    <x v="0"/>
    <n v="37"/>
    <x v="1"/>
    <x v="3"/>
    <x v="16"/>
    <s v="Bachelor's"/>
    <s v="Divorced"/>
    <n v="33471"/>
    <n v="6"/>
    <n v="1"/>
    <x v="1"/>
    <x v="1"/>
    <s v="No"/>
    <s v="Travel_Rarely"/>
    <n v="3"/>
    <n v="4"/>
    <s v="Yes"/>
    <x v="0"/>
    <x v="0"/>
  </r>
  <r>
    <x v="1125"/>
    <x v="0"/>
    <n v="43"/>
    <x v="1"/>
    <x v="0"/>
    <x v="11"/>
    <s v="High School"/>
    <s v="Married"/>
    <n v="93861"/>
    <n v="24"/>
    <n v="4"/>
    <x v="0"/>
    <x v="0"/>
    <s v="No"/>
    <s v="Travel_Rarely"/>
    <n v="3"/>
    <n v="0"/>
    <s v="Yes"/>
    <x v="0"/>
    <x v="1"/>
  </r>
  <r>
    <x v="1126"/>
    <x v="0"/>
    <n v="39"/>
    <x v="0"/>
    <x v="0"/>
    <x v="0"/>
    <s v="Bachelor's"/>
    <s v="Single"/>
    <n v="78419"/>
    <n v="21"/>
    <n v="1"/>
    <x v="3"/>
    <x v="3"/>
    <s v="No"/>
    <s v="Travel_Rarely"/>
    <n v="3"/>
    <n v="0"/>
    <s v="No"/>
    <x v="0"/>
    <x v="1"/>
  </r>
  <r>
    <x v="1127"/>
    <x v="1"/>
    <n v="26"/>
    <x v="0"/>
    <x v="4"/>
    <x v="10"/>
    <s v="Master's"/>
    <s v="Married"/>
    <n v="71090"/>
    <n v="8"/>
    <n v="2"/>
    <x v="1"/>
    <x v="0"/>
    <s v="No"/>
    <s v="Travel_Rarely"/>
    <n v="3"/>
    <n v="1"/>
    <s v="No"/>
    <x v="0"/>
    <x v="0"/>
  </r>
  <r>
    <x v="1128"/>
    <x v="1"/>
    <n v="32"/>
    <x v="1"/>
    <x v="1"/>
    <x v="1"/>
    <s v="Bachelor's"/>
    <s v="Married"/>
    <n v="33591"/>
    <n v="4"/>
    <n v="0"/>
    <x v="3"/>
    <x v="3"/>
    <s v="No"/>
    <s v="Travel_Rarely"/>
    <n v="3"/>
    <n v="2"/>
    <s v="No"/>
    <x v="0"/>
    <x v="3"/>
  </r>
  <r>
    <x v="1129"/>
    <x v="3"/>
    <n v="21"/>
    <x v="0"/>
    <x v="4"/>
    <x v="15"/>
    <s v="Bachelor's"/>
    <s v="Married"/>
    <n v="95561"/>
    <n v="3"/>
    <n v="3"/>
    <x v="3"/>
    <x v="0"/>
    <s v="No"/>
    <s v="Travel_Rarely"/>
    <n v="3"/>
    <n v="4"/>
    <s v="No"/>
    <x v="0"/>
    <x v="3"/>
  </r>
  <r>
    <x v="1130"/>
    <x v="0"/>
    <n v="38"/>
    <x v="1"/>
    <x v="3"/>
    <x v="9"/>
    <s v="Bachelor's"/>
    <s v="Single"/>
    <n v="84758"/>
    <n v="6"/>
    <n v="3"/>
    <x v="3"/>
    <x v="0"/>
    <s v="No"/>
    <s v="Travel_Frequently"/>
    <n v="3"/>
    <n v="5"/>
    <s v="No"/>
    <x v="0"/>
    <x v="0"/>
  </r>
  <r>
    <x v="1131"/>
    <x v="0"/>
    <n v="41"/>
    <x v="1"/>
    <x v="4"/>
    <x v="10"/>
    <s v="Master's"/>
    <s v="Divorced"/>
    <n v="53161"/>
    <n v="20"/>
    <n v="7"/>
    <x v="1"/>
    <x v="1"/>
    <s v="No"/>
    <s v="Travel_Rarely"/>
    <n v="3"/>
    <n v="0"/>
    <s v="No"/>
    <x v="0"/>
    <x v="1"/>
  </r>
  <r>
    <x v="1132"/>
    <x v="0"/>
    <n v="39"/>
    <x v="0"/>
    <x v="1"/>
    <x v="3"/>
    <s v="High School"/>
    <s v="Single"/>
    <n v="81071"/>
    <n v="15"/>
    <n v="4"/>
    <x v="1"/>
    <x v="1"/>
    <s v="Yes"/>
    <s v="Travel_Rarely"/>
    <n v="3"/>
    <n v="6"/>
    <s v="No"/>
    <x v="0"/>
    <x v="1"/>
  </r>
  <r>
    <x v="1133"/>
    <x v="0"/>
    <n v="37"/>
    <x v="0"/>
    <x v="3"/>
    <x v="18"/>
    <s v="Master's"/>
    <s v="Single"/>
    <n v="38629"/>
    <n v="9"/>
    <n v="7"/>
    <x v="1"/>
    <x v="2"/>
    <s v="No"/>
    <s v="Travel_Frequently"/>
    <n v="4"/>
    <n v="1"/>
    <s v="No"/>
    <x v="0"/>
    <x v="0"/>
  </r>
  <r>
    <x v="1134"/>
    <x v="0"/>
    <n v="35"/>
    <x v="0"/>
    <x v="1"/>
    <x v="1"/>
    <s v="Master's"/>
    <s v="Married"/>
    <n v="92104"/>
    <n v="5"/>
    <n v="1"/>
    <x v="1"/>
    <x v="1"/>
    <s v="No"/>
    <s v="Travel_Frequently"/>
    <n v="3"/>
    <n v="4"/>
    <s v="No"/>
    <x v="0"/>
    <x v="3"/>
  </r>
  <r>
    <x v="1135"/>
    <x v="0"/>
    <n v="41"/>
    <x v="0"/>
    <x v="0"/>
    <x v="2"/>
    <s v="Bachelor's"/>
    <s v="Single"/>
    <n v="80017"/>
    <n v="17"/>
    <n v="10"/>
    <x v="1"/>
    <x v="1"/>
    <s v="Yes"/>
    <s v="Travel_Frequently"/>
    <n v="3"/>
    <n v="3"/>
    <s v="No"/>
    <x v="0"/>
    <x v="1"/>
  </r>
  <r>
    <x v="1136"/>
    <x v="0"/>
    <n v="40"/>
    <x v="0"/>
    <x v="5"/>
    <x v="14"/>
    <s v="Master's"/>
    <s v="Single"/>
    <n v="88378"/>
    <n v="15"/>
    <n v="4"/>
    <x v="0"/>
    <x v="3"/>
    <s v="No"/>
    <s v="Travel_Frequently"/>
    <n v="3"/>
    <n v="1"/>
    <s v="Yes"/>
    <x v="0"/>
    <x v="1"/>
  </r>
  <r>
    <x v="1137"/>
    <x v="0"/>
    <n v="41"/>
    <x v="0"/>
    <x v="1"/>
    <x v="1"/>
    <s v="Master's"/>
    <s v="Married"/>
    <n v="73688"/>
    <n v="14"/>
    <n v="1"/>
    <x v="3"/>
    <x v="1"/>
    <s v="Yes"/>
    <s v="Travel_Rarely"/>
    <n v="3"/>
    <n v="3"/>
    <s v="No"/>
    <x v="0"/>
    <x v="1"/>
  </r>
  <r>
    <x v="1138"/>
    <x v="0"/>
    <n v="43"/>
    <x v="1"/>
    <x v="1"/>
    <x v="3"/>
    <s v="Bachelor's"/>
    <s v="Single"/>
    <n v="61846"/>
    <n v="21"/>
    <n v="8"/>
    <x v="3"/>
    <x v="2"/>
    <s v="No"/>
    <s v="Non-Travel"/>
    <n v="3"/>
    <n v="3"/>
    <s v="Yes"/>
    <x v="0"/>
    <x v="1"/>
  </r>
  <r>
    <x v="1139"/>
    <x v="1"/>
    <n v="33"/>
    <x v="1"/>
    <x v="3"/>
    <x v="5"/>
    <s v="Bachelor's"/>
    <s v="Married"/>
    <n v="106736"/>
    <n v="12"/>
    <n v="5"/>
    <x v="0"/>
    <x v="0"/>
    <s v="No"/>
    <s v="Travel_Frequently"/>
    <n v="4"/>
    <n v="1"/>
    <s v="No"/>
    <x v="0"/>
    <x v="1"/>
  </r>
  <r>
    <x v="1140"/>
    <x v="0"/>
    <n v="37"/>
    <x v="0"/>
    <x v="1"/>
    <x v="3"/>
    <s v="Bachelor's"/>
    <s v="Divorced"/>
    <n v="34923"/>
    <n v="12"/>
    <n v="6"/>
    <x v="2"/>
    <x v="1"/>
    <s v="No"/>
    <s v="Travel_Rarely"/>
    <n v="2"/>
    <n v="6"/>
    <s v="No"/>
    <x v="0"/>
    <x v="1"/>
  </r>
  <r>
    <x v="1141"/>
    <x v="1"/>
    <n v="31"/>
    <x v="1"/>
    <x v="0"/>
    <x v="11"/>
    <s v="High School"/>
    <s v="Married"/>
    <n v="62250"/>
    <n v="0"/>
    <n v="0"/>
    <x v="2"/>
    <x v="0"/>
    <s v="Yes"/>
    <s v="Travel_Rarely"/>
    <n v="3"/>
    <n v="3"/>
    <s v="No"/>
    <x v="0"/>
    <x v="4"/>
  </r>
  <r>
    <x v="1142"/>
    <x v="1"/>
    <n v="32"/>
    <x v="0"/>
    <x v="1"/>
    <x v="3"/>
    <s v="Master's"/>
    <s v="Single"/>
    <n v="61560"/>
    <n v="3"/>
    <n v="3"/>
    <x v="0"/>
    <x v="3"/>
    <s v="No"/>
    <s v="Travel_Rarely"/>
    <n v="4"/>
    <n v="1"/>
    <s v="No"/>
    <x v="0"/>
    <x v="3"/>
  </r>
  <r>
    <x v="1143"/>
    <x v="3"/>
    <n v="21"/>
    <x v="1"/>
    <x v="1"/>
    <x v="1"/>
    <s v="PhD"/>
    <s v="Single"/>
    <n v="87458"/>
    <n v="2"/>
    <n v="1"/>
    <x v="0"/>
    <x v="0"/>
    <s v="No"/>
    <s v="Travel_Rarely"/>
    <n v="3"/>
    <n v="2"/>
    <s v="Yes"/>
    <x v="0"/>
    <x v="2"/>
  </r>
  <r>
    <x v="1144"/>
    <x v="3"/>
    <n v="23"/>
    <x v="0"/>
    <x v="1"/>
    <x v="3"/>
    <s v="Master's"/>
    <s v="Married"/>
    <n v="53535"/>
    <n v="3"/>
    <n v="1"/>
    <x v="2"/>
    <x v="0"/>
    <s v="No"/>
    <s v="Travel_Frequently"/>
    <n v="3"/>
    <n v="5"/>
    <s v="No"/>
    <x v="0"/>
    <x v="3"/>
  </r>
  <r>
    <x v="1145"/>
    <x v="0"/>
    <n v="35"/>
    <x v="0"/>
    <x v="0"/>
    <x v="0"/>
    <s v="Bachelor's"/>
    <s v="Divorced"/>
    <n v="58401"/>
    <n v="11"/>
    <n v="6"/>
    <x v="1"/>
    <x v="1"/>
    <s v="No"/>
    <s v="Non-Travel"/>
    <n v="3"/>
    <n v="4"/>
    <s v="Yes"/>
    <x v="0"/>
    <x v="1"/>
  </r>
  <r>
    <x v="1146"/>
    <x v="0"/>
    <n v="36"/>
    <x v="0"/>
    <x v="0"/>
    <x v="0"/>
    <s v="PhD"/>
    <s v="Single"/>
    <n v="89392"/>
    <n v="4"/>
    <n v="2"/>
    <x v="1"/>
    <x v="0"/>
    <s v="No"/>
    <s v="Travel_Rarely"/>
    <n v="3"/>
    <n v="4"/>
    <s v="No"/>
    <x v="0"/>
    <x v="3"/>
  </r>
  <r>
    <x v="1147"/>
    <x v="2"/>
    <n v="52"/>
    <x v="0"/>
    <x v="0"/>
    <x v="11"/>
    <s v="Master's"/>
    <s v="Single"/>
    <n v="59749"/>
    <n v="21"/>
    <n v="11"/>
    <x v="1"/>
    <x v="1"/>
    <s v="No"/>
    <s v="Travel_Rarely"/>
    <n v="2"/>
    <n v="0"/>
    <s v="No"/>
    <x v="0"/>
    <x v="1"/>
  </r>
  <r>
    <x v="1148"/>
    <x v="1"/>
    <n v="31"/>
    <x v="0"/>
    <x v="0"/>
    <x v="0"/>
    <s v="Master's"/>
    <s v="Single"/>
    <n v="71584"/>
    <n v="3"/>
    <n v="1"/>
    <x v="0"/>
    <x v="3"/>
    <s v="No"/>
    <s v="Travel_Rarely"/>
    <n v="3"/>
    <n v="1"/>
    <s v="No"/>
    <x v="0"/>
    <x v="3"/>
  </r>
  <r>
    <x v="1149"/>
    <x v="3"/>
    <n v="23"/>
    <x v="0"/>
    <x v="3"/>
    <x v="16"/>
    <s v="High School"/>
    <s v="Married"/>
    <n v="74372"/>
    <n v="3"/>
    <n v="2"/>
    <x v="0"/>
    <x v="3"/>
    <s v="No"/>
    <s v="Travel_Rarely"/>
    <n v="3"/>
    <n v="4"/>
    <s v="Yes"/>
    <x v="0"/>
    <x v="3"/>
  </r>
  <r>
    <x v="1150"/>
    <x v="1"/>
    <n v="31"/>
    <x v="1"/>
    <x v="3"/>
    <x v="9"/>
    <s v="Bachelor's"/>
    <s v="Married"/>
    <n v="55910"/>
    <n v="8"/>
    <n v="1"/>
    <x v="0"/>
    <x v="0"/>
    <s v="No"/>
    <s v="Non-Travel"/>
    <n v="3"/>
    <n v="6"/>
    <s v="No"/>
    <x v="0"/>
    <x v="0"/>
  </r>
  <r>
    <x v="1151"/>
    <x v="1"/>
    <n v="26"/>
    <x v="1"/>
    <x v="5"/>
    <x v="12"/>
    <s v="Bachelor's"/>
    <s v="Single"/>
    <n v="70839"/>
    <n v="1"/>
    <n v="1"/>
    <x v="2"/>
    <x v="1"/>
    <s v="No"/>
    <s v="Travel_Rarely"/>
    <n v="3"/>
    <n v="3"/>
    <s v="No"/>
    <x v="0"/>
    <x v="2"/>
  </r>
  <r>
    <x v="1152"/>
    <x v="1"/>
    <n v="31"/>
    <x v="1"/>
    <x v="0"/>
    <x v="0"/>
    <s v="Master's"/>
    <s v="Divorced"/>
    <n v="87708"/>
    <n v="9"/>
    <n v="9"/>
    <x v="0"/>
    <x v="3"/>
    <s v="No"/>
    <s v="Travel_Rarely"/>
    <n v="3"/>
    <n v="0"/>
    <s v="No"/>
    <x v="0"/>
    <x v="0"/>
  </r>
  <r>
    <x v="1153"/>
    <x v="0"/>
    <n v="43"/>
    <x v="0"/>
    <x v="0"/>
    <x v="2"/>
    <s v="Bachelor's"/>
    <s v="Single"/>
    <n v="62574"/>
    <n v="21"/>
    <n v="8"/>
    <x v="1"/>
    <x v="2"/>
    <s v="No"/>
    <s v="Non-Travel"/>
    <n v="4"/>
    <n v="4"/>
    <s v="No"/>
    <x v="0"/>
    <x v="1"/>
  </r>
  <r>
    <x v="1154"/>
    <x v="1"/>
    <n v="29"/>
    <x v="1"/>
    <x v="0"/>
    <x v="11"/>
    <s v="PhD"/>
    <s v="Single"/>
    <n v="65963"/>
    <n v="2"/>
    <n v="1"/>
    <x v="1"/>
    <x v="0"/>
    <s v="Yes"/>
    <s v="Travel_Frequently"/>
    <n v="3"/>
    <n v="1"/>
    <s v="Yes"/>
    <x v="0"/>
    <x v="2"/>
  </r>
  <r>
    <x v="1155"/>
    <x v="0"/>
    <n v="37"/>
    <x v="0"/>
    <x v="0"/>
    <x v="2"/>
    <s v="Bachelor's"/>
    <s v="Married"/>
    <n v="52022"/>
    <n v="8"/>
    <n v="6"/>
    <x v="0"/>
    <x v="1"/>
    <s v="No"/>
    <s v="Travel_Frequently"/>
    <n v="3"/>
    <n v="6"/>
    <s v="No"/>
    <x v="0"/>
    <x v="0"/>
  </r>
  <r>
    <x v="1156"/>
    <x v="1"/>
    <n v="31"/>
    <x v="0"/>
    <x v="1"/>
    <x v="3"/>
    <s v="Master's"/>
    <s v="Married"/>
    <n v="79530"/>
    <n v="9"/>
    <n v="5"/>
    <x v="1"/>
    <x v="2"/>
    <s v="Yes"/>
    <s v="Travel_Rarely"/>
    <n v="3"/>
    <n v="4"/>
    <s v="No"/>
    <x v="0"/>
    <x v="0"/>
  </r>
  <r>
    <x v="1157"/>
    <x v="0"/>
    <n v="40"/>
    <x v="0"/>
    <x v="5"/>
    <x v="8"/>
    <s v="Bachelor's"/>
    <s v="Divorced"/>
    <n v="49046"/>
    <n v="10"/>
    <n v="1"/>
    <x v="1"/>
    <x v="1"/>
    <s v="Yes"/>
    <s v="Travel_Rarely"/>
    <n v="4"/>
    <n v="3"/>
    <s v="No"/>
    <x v="1"/>
    <x v="0"/>
  </r>
  <r>
    <x v="1158"/>
    <x v="2"/>
    <n v="52"/>
    <x v="1"/>
    <x v="4"/>
    <x v="15"/>
    <s v="Master's"/>
    <s v="Single"/>
    <n v="89475"/>
    <n v="1"/>
    <n v="1"/>
    <x v="1"/>
    <x v="3"/>
    <s v="No"/>
    <s v="Travel_Frequently"/>
    <n v="3"/>
    <n v="4"/>
    <s v="No"/>
    <x v="0"/>
    <x v="2"/>
  </r>
  <r>
    <x v="1159"/>
    <x v="0"/>
    <n v="37"/>
    <x v="1"/>
    <x v="5"/>
    <x v="12"/>
    <s v="Bachelor's"/>
    <s v="Married"/>
    <n v="46795"/>
    <n v="14"/>
    <n v="2"/>
    <x v="3"/>
    <x v="0"/>
    <s v="No"/>
    <s v="Travel_Frequently"/>
    <n v="4"/>
    <n v="5"/>
    <s v="No"/>
    <x v="0"/>
    <x v="1"/>
  </r>
  <r>
    <x v="1160"/>
    <x v="1"/>
    <n v="31"/>
    <x v="1"/>
    <x v="3"/>
    <x v="18"/>
    <s v="High School"/>
    <s v="Married"/>
    <n v="59093"/>
    <n v="10"/>
    <n v="3"/>
    <x v="0"/>
    <x v="1"/>
    <s v="No"/>
    <s v="Non-Travel"/>
    <n v="3"/>
    <n v="2"/>
    <s v="No"/>
    <x v="0"/>
    <x v="0"/>
  </r>
  <r>
    <x v="1161"/>
    <x v="3"/>
    <n v="21"/>
    <x v="1"/>
    <x v="0"/>
    <x v="2"/>
    <s v="Bachelor's"/>
    <s v="Single"/>
    <n v="56742"/>
    <n v="1"/>
    <n v="1"/>
    <x v="0"/>
    <x v="3"/>
    <s v="Yes"/>
    <s v="Non-Travel"/>
    <n v="2"/>
    <n v="5"/>
    <s v="No"/>
    <x v="0"/>
    <x v="2"/>
  </r>
  <r>
    <x v="1162"/>
    <x v="1"/>
    <n v="27"/>
    <x v="1"/>
    <x v="5"/>
    <x v="12"/>
    <s v="High School"/>
    <s v="Married"/>
    <n v="94725"/>
    <n v="7"/>
    <n v="5"/>
    <x v="0"/>
    <x v="0"/>
    <s v="No"/>
    <s v="Travel_Rarely"/>
    <n v="2"/>
    <n v="6"/>
    <s v="No"/>
    <x v="0"/>
    <x v="0"/>
  </r>
  <r>
    <x v="1163"/>
    <x v="0"/>
    <n v="36"/>
    <x v="1"/>
    <x v="3"/>
    <x v="18"/>
    <s v="Master's"/>
    <s v="Divorced"/>
    <n v="66487"/>
    <n v="10"/>
    <n v="6"/>
    <x v="2"/>
    <x v="3"/>
    <s v="No"/>
    <s v="Travel_Rarely"/>
    <n v="3"/>
    <n v="4"/>
    <s v="No"/>
    <x v="1"/>
    <x v="0"/>
  </r>
  <r>
    <x v="1164"/>
    <x v="0"/>
    <n v="43"/>
    <x v="0"/>
    <x v="4"/>
    <x v="10"/>
    <s v="Bachelor's"/>
    <s v="Single"/>
    <n v="67371"/>
    <n v="3"/>
    <n v="0"/>
    <x v="1"/>
    <x v="3"/>
    <s v="No"/>
    <s v="Travel_Rarely"/>
    <n v="3"/>
    <n v="6"/>
    <s v="No"/>
    <x v="0"/>
    <x v="3"/>
  </r>
  <r>
    <x v="1165"/>
    <x v="1"/>
    <n v="34"/>
    <x v="0"/>
    <x v="2"/>
    <x v="17"/>
    <s v="PhD"/>
    <s v="Divorced"/>
    <n v="71085"/>
    <n v="13"/>
    <n v="12"/>
    <x v="3"/>
    <x v="2"/>
    <s v="No"/>
    <s v="Travel_Rarely"/>
    <n v="3"/>
    <n v="3"/>
    <s v="No"/>
    <x v="0"/>
    <x v="1"/>
  </r>
  <r>
    <x v="1166"/>
    <x v="1"/>
    <n v="34"/>
    <x v="0"/>
    <x v="3"/>
    <x v="9"/>
    <s v="High School"/>
    <s v="Married"/>
    <n v="55754"/>
    <n v="7"/>
    <n v="1"/>
    <x v="2"/>
    <x v="1"/>
    <s v="No"/>
    <s v="Travel_Rarely"/>
    <n v="3"/>
    <n v="6"/>
    <s v="No"/>
    <x v="0"/>
    <x v="0"/>
  </r>
  <r>
    <x v="1167"/>
    <x v="3"/>
    <n v="23"/>
    <x v="0"/>
    <x v="5"/>
    <x v="12"/>
    <s v="Master's"/>
    <s v="Single"/>
    <n v="92136"/>
    <n v="1"/>
    <n v="1"/>
    <x v="0"/>
    <x v="0"/>
    <s v="No"/>
    <s v="Travel_Rarely"/>
    <n v="4"/>
    <n v="6"/>
    <s v="No"/>
    <x v="0"/>
    <x v="2"/>
  </r>
  <r>
    <x v="1168"/>
    <x v="2"/>
    <n v="49"/>
    <x v="0"/>
    <x v="1"/>
    <x v="7"/>
    <s v="High School"/>
    <s v="Married"/>
    <n v="76904"/>
    <n v="7"/>
    <n v="6"/>
    <x v="0"/>
    <x v="0"/>
    <s v="No"/>
    <s v="Travel_Frequently"/>
    <n v="3"/>
    <n v="0"/>
    <s v="No"/>
    <x v="0"/>
    <x v="0"/>
  </r>
  <r>
    <x v="1169"/>
    <x v="0"/>
    <n v="36"/>
    <x v="1"/>
    <x v="0"/>
    <x v="0"/>
    <s v="High School"/>
    <s v="Married"/>
    <n v="109492"/>
    <n v="18"/>
    <n v="5"/>
    <x v="3"/>
    <x v="2"/>
    <s v="Yes"/>
    <s v="Travel_Frequently"/>
    <n v="4"/>
    <n v="0"/>
    <s v="No"/>
    <x v="1"/>
    <x v="1"/>
  </r>
  <r>
    <x v="1170"/>
    <x v="1"/>
    <n v="28"/>
    <x v="1"/>
    <x v="2"/>
    <x v="17"/>
    <s v="Master's"/>
    <s v="Single"/>
    <n v="44217"/>
    <n v="10"/>
    <n v="5"/>
    <x v="1"/>
    <x v="0"/>
    <s v="No"/>
    <s v="Travel_Rarely"/>
    <n v="3"/>
    <n v="5"/>
    <s v="Yes"/>
    <x v="0"/>
    <x v="0"/>
  </r>
  <r>
    <x v="1171"/>
    <x v="1"/>
    <n v="34"/>
    <x v="0"/>
    <x v="5"/>
    <x v="8"/>
    <s v="PhD"/>
    <s v="Married"/>
    <n v="103546"/>
    <n v="10"/>
    <n v="1"/>
    <x v="1"/>
    <x v="1"/>
    <s v="Yes"/>
    <s v="Travel_Rarely"/>
    <n v="3"/>
    <n v="1"/>
    <s v="No"/>
    <x v="1"/>
    <x v="0"/>
  </r>
  <r>
    <x v="1172"/>
    <x v="0"/>
    <n v="37"/>
    <x v="0"/>
    <x v="0"/>
    <x v="11"/>
    <s v="Master's"/>
    <s v="Single"/>
    <n v="22000"/>
    <n v="15"/>
    <n v="9"/>
    <x v="1"/>
    <x v="0"/>
    <s v="No"/>
    <s v="Non-Travel"/>
    <n v="2"/>
    <n v="2"/>
    <s v="Yes"/>
    <x v="1"/>
    <x v="1"/>
  </r>
  <r>
    <x v="1173"/>
    <x v="0"/>
    <n v="39"/>
    <x v="0"/>
    <x v="5"/>
    <x v="12"/>
    <s v="High School"/>
    <s v="Single"/>
    <n v="52894"/>
    <n v="18"/>
    <n v="11"/>
    <x v="1"/>
    <x v="0"/>
    <s v="Yes"/>
    <s v="Travel_Rarely"/>
    <n v="3"/>
    <n v="3"/>
    <s v="No"/>
    <x v="0"/>
    <x v="1"/>
  </r>
  <r>
    <x v="1174"/>
    <x v="1"/>
    <n v="29"/>
    <x v="1"/>
    <x v="0"/>
    <x v="2"/>
    <s v="Master's"/>
    <s v="Divorced"/>
    <n v="53235"/>
    <n v="11"/>
    <n v="1"/>
    <x v="1"/>
    <x v="2"/>
    <s v="No"/>
    <s v="Travel_Rarely"/>
    <n v="3"/>
    <n v="1"/>
    <s v="No"/>
    <x v="0"/>
    <x v="1"/>
  </r>
  <r>
    <x v="1175"/>
    <x v="2"/>
    <n v="48"/>
    <x v="0"/>
    <x v="3"/>
    <x v="9"/>
    <s v="Bachelor's"/>
    <s v="Single"/>
    <n v="88312"/>
    <n v="11"/>
    <n v="9"/>
    <x v="1"/>
    <x v="3"/>
    <s v="No"/>
    <s v="Travel_Rarely"/>
    <n v="3"/>
    <n v="0"/>
    <s v="Yes"/>
    <x v="0"/>
    <x v="1"/>
  </r>
  <r>
    <x v="1176"/>
    <x v="1"/>
    <n v="32"/>
    <x v="1"/>
    <x v="3"/>
    <x v="5"/>
    <s v="Bachelor's"/>
    <s v="Married"/>
    <n v="43286"/>
    <n v="10"/>
    <n v="6"/>
    <x v="0"/>
    <x v="3"/>
    <s v="No"/>
    <s v="Travel_Frequently"/>
    <n v="3"/>
    <n v="4"/>
    <s v="No"/>
    <x v="0"/>
    <x v="0"/>
  </r>
  <r>
    <x v="1177"/>
    <x v="0"/>
    <n v="38"/>
    <x v="0"/>
    <x v="3"/>
    <x v="5"/>
    <s v="Bachelor's"/>
    <s v="Married"/>
    <n v="74994"/>
    <n v="10"/>
    <n v="2"/>
    <x v="1"/>
    <x v="2"/>
    <s v="Yes"/>
    <s v="Travel_Rarely"/>
    <n v="3"/>
    <n v="0"/>
    <s v="No"/>
    <x v="0"/>
    <x v="0"/>
  </r>
  <r>
    <x v="1178"/>
    <x v="2"/>
    <n v="52"/>
    <x v="0"/>
    <x v="4"/>
    <x v="10"/>
    <s v="Bachelor's"/>
    <s v="Married"/>
    <n v="66517"/>
    <n v="24"/>
    <n v="0"/>
    <x v="0"/>
    <x v="2"/>
    <s v="No"/>
    <s v="Travel_Rarely"/>
    <n v="3"/>
    <n v="1"/>
    <s v="Yes"/>
    <x v="0"/>
    <x v="1"/>
  </r>
  <r>
    <x v="1179"/>
    <x v="0"/>
    <n v="37"/>
    <x v="0"/>
    <x v="3"/>
    <x v="16"/>
    <s v="Bachelor's"/>
    <s v="Single"/>
    <n v="79548"/>
    <n v="0"/>
    <n v="0"/>
    <x v="1"/>
    <x v="1"/>
    <s v="No"/>
    <s v="Travel_Frequently"/>
    <n v="3"/>
    <n v="1"/>
    <s v="No"/>
    <x v="0"/>
    <x v="4"/>
  </r>
  <r>
    <x v="1180"/>
    <x v="3"/>
    <n v="24"/>
    <x v="1"/>
    <x v="4"/>
    <x v="6"/>
    <s v="High School"/>
    <s v="Married"/>
    <n v="74903"/>
    <n v="1"/>
    <n v="1"/>
    <x v="0"/>
    <x v="0"/>
    <s v="No"/>
    <s v="Travel_Rarely"/>
    <n v="3"/>
    <n v="0"/>
    <s v="No"/>
    <x v="1"/>
    <x v="2"/>
  </r>
  <r>
    <x v="1181"/>
    <x v="0"/>
    <n v="43"/>
    <x v="0"/>
    <x v="4"/>
    <x v="15"/>
    <s v="Master's"/>
    <s v="Divorced"/>
    <n v="92199"/>
    <n v="1"/>
    <n v="0"/>
    <x v="3"/>
    <x v="3"/>
    <s v="No"/>
    <s v="Travel_Rarely"/>
    <n v="3"/>
    <n v="3"/>
    <s v="No"/>
    <x v="0"/>
    <x v="2"/>
  </r>
  <r>
    <x v="1182"/>
    <x v="1"/>
    <n v="34"/>
    <x v="1"/>
    <x v="5"/>
    <x v="14"/>
    <s v="Bachelor's"/>
    <s v="Single"/>
    <n v="88584"/>
    <n v="13"/>
    <n v="1"/>
    <x v="1"/>
    <x v="0"/>
    <s v="No"/>
    <s v="Travel_Rarely"/>
    <n v="3"/>
    <n v="2"/>
    <s v="Yes"/>
    <x v="0"/>
    <x v="1"/>
  </r>
  <r>
    <x v="1183"/>
    <x v="1"/>
    <n v="27"/>
    <x v="0"/>
    <x v="3"/>
    <x v="9"/>
    <s v="High School"/>
    <s v="Single"/>
    <n v="72784"/>
    <n v="5"/>
    <n v="3"/>
    <x v="1"/>
    <x v="1"/>
    <s v="Yes"/>
    <s v="Non-Travel"/>
    <n v="3"/>
    <n v="1"/>
    <s v="No"/>
    <x v="0"/>
    <x v="3"/>
  </r>
  <r>
    <x v="1184"/>
    <x v="0"/>
    <n v="37"/>
    <x v="1"/>
    <x v="5"/>
    <x v="8"/>
    <s v="High School"/>
    <s v="Single"/>
    <n v="53939"/>
    <n v="10"/>
    <n v="9"/>
    <x v="0"/>
    <x v="0"/>
    <s v="No"/>
    <s v="Travel_Rarely"/>
    <n v="4"/>
    <n v="2"/>
    <s v="No"/>
    <x v="1"/>
    <x v="0"/>
  </r>
  <r>
    <x v="1185"/>
    <x v="1"/>
    <n v="32"/>
    <x v="1"/>
    <x v="4"/>
    <x v="15"/>
    <s v="Bachelor's"/>
    <s v="Married"/>
    <n v="74166"/>
    <n v="6"/>
    <n v="0"/>
    <x v="0"/>
    <x v="0"/>
    <s v="Yes"/>
    <s v="Travel_Rarely"/>
    <n v="3"/>
    <n v="4"/>
    <s v="No"/>
    <x v="1"/>
    <x v="0"/>
  </r>
  <r>
    <x v="1186"/>
    <x v="1"/>
    <n v="33"/>
    <x v="0"/>
    <x v="3"/>
    <x v="18"/>
    <s v="Bachelor's"/>
    <s v="Single"/>
    <n v="62826"/>
    <n v="3"/>
    <n v="0"/>
    <x v="1"/>
    <x v="0"/>
    <s v="Yes"/>
    <s v="Travel_Frequently"/>
    <n v="3"/>
    <n v="4"/>
    <s v="No"/>
    <x v="0"/>
    <x v="3"/>
  </r>
  <r>
    <x v="1187"/>
    <x v="1"/>
    <n v="34"/>
    <x v="1"/>
    <x v="0"/>
    <x v="2"/>
    <s v="Bachelor's"/>
    <s v="Married"/>
    <n v="63082"/>
    <n v="8"/>
    <n v="2"/>
    <x v="3"/>
    <x v="0"/>
    <s v="No"/>
    <s v="Travel_Rarely"/>
    <n v="3"/>
    <n v="5"/>
    <s v="Yes"/>
    <x v="0"/>
    <x v="0"/>
  </r>
  <r>
    <x v="1188"/>
    <x v="3"/>
    <n v="23"/>
    <x v="1"/>
    <x v="5"/>
    <x v="8"/>
    <s v="Bachelor's"/>
    <s v="Married"/>
    <n v="86737"/>
    <n v="5"/>
    <n v="4"/>
    <x v="1"/>
    <x v="0"/>
    <s v="No"/>
    <s v="Travel_Rarely"/>
    <n v="3"/>
    <n v="1"/>
    <s v="No"/>
    <x v="0"/>
    <x v="3"/>
  </r>
  <r>
    <x v="1189"/>
    <x v="1"/>
    <n v="34"/>
    <x v="1"/>
    <x v="5"/>
    <x v="8"/>
    <s v="Bachelor's"/>
    <s v="Single"/>
    <n v="75236"/>
    <n v="3"/>
    <n v="1"/>
    <x v="0"/>
    <x v="2"/>
    <s v="No"/>
    <s v="Travel_Rarely"/>
    <n v="3"/>
    <n v="5"/>
    <s v="No"/>
    <x v="0"/>
    <x v="3"/>
  </r>
  <r>
    <x v="1190"/>
    <x v="1"/>
    <n v="28"/>
    <x v="1"/>
    <x v="1"/>
    <x v="3"/>
    <s v="Bachelor's"/>
    <s v="Divorced"/>
    <n v="86423"/>
    <n v="0"/>
    <n v="0"/>
    <x v="2"/>
    <x v="3"/>
    <s v="No"/>
    <s v="Travel_Rarely"/>
    <n v="3"/>
    <n v="1"/>
    <s v="No"/>
    <x v="0"/>
    <x v="4"/>
  </r>
  <r>
    <x v="1191"/>
    <x v="0"/>
    <n v="43"/>
    <x v="0"/>
    <x v="1"/>
    <x v="7"/>
    <s v="Master's"/>
    <s v="Single"/>
    <n v="77323"/>
    <n v="0"/>
    <n v="0"/>
    <x v="1"/>
    <x v="1"/>
    <s v="No"/>
    <s v="Travel_Rarely"/>
    <n v="3"/>
    <n v="0"/>
    <s v="No"/>
    <x v="0"/>
    <x v="4"/>
  </r>
  <r>
    <x v="1192"/>
    <x v="1"/>
    <n v="26"/>
    <x v="0"/>
    <x v="4"/>
    <x v="15"/>
    <s v="High School"/>
    <s v="Married"/>
    <n v="80347"/>
    <n v="7"/>
    <n v="0"/>
    <x v="3"/>
    <x v="3"/>
    <s v="No"/>
    <s v="Travel_Frequently"/>
    <n v="3"/>
    <n v="4"/>
    <s v="No"/>
    <x v="0"/>
    <x v="0"/>
  </r>
  <r>
    <x v="1193"/>
    <x v="3"/>
    <n v="21"/>
    <x v="1"/>
    <x v="4"/>
    <x v="10"/>
    <s v="High School"/>
    <s v="Married"/>
    <n v="59895"/>
    <n v="2"/>
    <n v="0"/>
    <x v="0"/>
    <x v="0"/>
    <s v="No"/>
    <s v="Travel_Rarely"/>
    <n v="3"/>
    <n v="3"/>
    <s v="No"/>
    <x v="0"/>
    <x v="2"/>
  </r>
  <r>
    <x v="1194"/>
    <x v="0"/>
    <n v="35"/>
    <x v="1"/>
    <x v="4"/>
    <x v="6"/>
    <s v="High School"/>
    <s v="Single"/>
    <n v="95651"/>
    <n v="11"/>
    <n v="9"/>
    <x v="1"/>
    <x v="1"/>
    <s v="No"/>
    <s v="Non-Travel"/>
    <n v="3"/>
    <n v="1"/>
    <s v="No"/>
    <x v="0"/>
    <x v="1"/>
  </r>
  <r>
    <x v="1195"/>
    <x v="0"/>
    <n v="38"/>
    <x v="1"/>
    <x v="5"/>
    <x v="8"/>
    <s v="High School"/>
    <s v="Divorced"/>
    <n v="99516"/>
    <n v="4"/>
    <n v="0"/>
    <x v="1"/>
    <x v="0"/>
    <s v="Yes"/>
    <s v="Travel_Frequently"/>
    <n v="2"/>
    <n v="2"/>
    <s v="Yes"/>
    <x v="0"/>
    <x v="3"/>
  </r>
  <r>
    <x v="1196"/>
    <x v="1"/>
    <n v="32"/>
    <x v="1"/>
    <x v="1"/>
    <x v="7"/>
    <s v="Master's"/>
    <s v="Married"/>
    <n v="75280"/>
    <n v="9"/>
    <n v="3"/>
    <x v="0"/>
    <x v="0"/>
    <s v="No"/>
    <s v="Travel_Rarely"/>
    <n v="4"/>
    <n v="3"/>
    <s v="No"/>
    <x v="0"/>
    <x v="0"/>
  </r>
  <r>
    <x v="1197"/>
    <x v="1"/>
    <n v="29"/>
    <x v="1"/>
    <x v="4"/>
    <x v="15"/>
    <s v="Bachelor's"/>
    <s v="Divorced"/>
    <n v="72144"/>
    <n v="10"/>
    <n v="1"/>
    <x v="0"/>
    <x v="0"/>
    <s v="No"/>
    <s v="Travel_Frequently"/>
    <n v="3"/>
    <n v="3"/>
    <s v="No"/>
    <x v="1"/>
    <x v="0"/>
  </r>
  <r>
    <x v="1198"/>
    <x v="1"/>
    <n v="27"/>
    <x v="0"/>
    <x v="1"/>
    <x v="1"/>
    <s v="Master's"/>
    <s v="Married"/>
    <n v="93045"/>
    <n v="8"/>
    <n v="4"/>
    <x v="0"/>
    <x v="0"/>
    <s v="No"/>
    <s v="Travel_Rarely"/>
    <n v="3"/>
    <n v="0"/>
    <s v="No"/>
    <x v="0"/>
    <x v="0"/>
  </r>
  <r>
    <x v="1199"/>
    <x v="0"/>
    <n v="35"/>
    <x v="0"/>
    <x v="4"/>
    <x v="10"/>
    <s v="High School"/>
    <s v="Married"/>
    <n v="62460"/>
    <n v="11"/>
    <n v="2"/>
    <x v="1"/>
    <x v="1"/>
    <s v="Yes"/>
    <s v="Non-Travel"/>
    <n v="3"/>
    <n v="0"/>
    <s v="No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17471F-5627-49A1-9B0F-EC992C632C8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Department">
  <location ref="A3:D11" firstHeaderRow="1" firstDataRow="2" firstDataCol="1"/>
  <pivotFields count="20">
    <pivotField dataField="1" showAll="0"/>
    <pivotField showAll="0"/>
    <pivotField showAll="0"/>
    <pivotField showAll="0"/>
    <pivotField axis="axisRow" showAll="0">
      <items count="7">
        <item x="5"/>
        <item x="2"/>
        <item x="3"/>
        <item x="4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ame="Retained Employees" axis="axisCol" showAll="0">
      <items count="3">
        <item x="0"/>
        <item x="1"/>
        <item t="default"/>
      </items>
    </pivotField>
    <pivotField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8"/>
  </colFields>
  <colItems count="3">
    <i>
      <x/>
    </i>
    <i>
      <x v="1"/>
    </i>
    <i t="grand">
      <x/>
    </i>
  </colItems>
  <dataFields count="1">
    <dataField name="Employee Count" fld="0" subtotal="count" baseField="3" baseItem="0"/>
  </dataFields>
  <formats count="10">
    <format dxfId="69">
      <pivotArea type="all" dataOnly="0" outline="0" fieldPosition="0"/>
    </format>
    <format dxfId="68">
      <pivotArea outline="0" collapsedLevelsAreSubtotals="1" fieldPosition="0"/>
    </format>
    <format dxfId="67">
      <pivotArea type="origin" dataOnly="0" labelOnly="1" outline="0" fieldPosition="0"/>
    </format>
    <format dxfId="66">
      <pivotArea field="18" type="button" dataOnly="0" labelOnly="1" outline="0" axis="axisCol" fieldPosition="0"/>
    </format>
    <format dxfId="65">
      <pivotArea type="topRight" dataOnly="0" labelOnly="1" outline="0" fieldPosition="0"/>
    </format>
    <format dxfId="64">
      <pivotArea field="4" type="button" dataOnly="0" labelOnly="1" outline="0" axis="axisRow" fieldPosition="0"/>
    </format>
    <format dxfId="63">
      <pivotArea dataOnly="0" labelOnly="1" fieldPosition="0">
        <references count="1">
          <reference field="4" count="0"/>
        </references>
      </pivotArea>
    </format>
    <format dxfId="62">
      <pivotArea dataOnly="0" labelOnly="1" grandRow="1" outline="0" fieldPosition="0"/>
    </format>
    <format dxfId="61">
      <pivotArea dataOnly="0" labelOnly="1" fieldPosition="0">
        <references count="1">
          <reference field="18" count="0"/>
        </references>
      </pivotArea>
    </format>
    <format dxfId="60">
      <pivotArea dataOnly="0" labelOnly="1" grandCol="1" outline="0" fieldPosition="0"/>
    </format>
  </format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0C7317-A9D0-4C16-9257-2BF52C007FB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Gender">
  <location ref="A4:B7" firstHeaderRow="1" firstDataRow="1" firstDataCol="1"/>
  <pivotFields count="20">
    <pivotField dataField="1"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Count of Employee ID" fld="0" subtotal="count" baseField="0" baseItem="0"/>
  </dataFields>
  <formats count="6">
    <format dxfId="59">
      <pivotArea type="all" dataOnly="0" outline="0" fieldPosition="0"/>
    </format>
    <format dxfId="58">
      <pivotArea outline="0" collapsedLevelsAreSubtotals="1" fieldPosition="0"/>
    </format>
    <format dxfId="57">
      <pivotArea field="3" type="button" dataOnly="0" labelOnly="1" outline="0" axis="axisRow" fieldPosition="0"/>
    </format>
    <format dxfId="56">
      <pivotArea dataOnly="0" labelOnly="1" fieldPosition="0">
        <references count="1">
          <reference field="3" count="0"/>
        </references>
      </pivotArea>
    </format>
    <format dxfId="55">
      <pivotArea dataOnly="0" labelOnly="1" grandRow="1" outline="0" fieldPosition="0"/>
    </format>
    <format dxfId="54">
      <pivotArea dataOnly="0" labelOnly="1" outline="0" axis="axisValues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6FC365-E3EF-4B4B-AB90-D5F694F9645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Age Group">
  <location ref="A4:B10" firstHeaderRow="1" firstDataRow="1" firstDataCol="1"/>
  <pivotFields count="20">
    <pivotField dataField="1" showAll="0"/>
    <pivotField axis="axisRow" showAll="0" sortType="descending">
      <items count="6">
        <item x="1"/>
        <item x="0"/>
        <item x="2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6">
    <i>
      <x v="1"/>
    </i>
    <i>
      <x/>
    </i>
    <i>
      <x v="4"/>
    </i>
    <i>
      <x v="2"/>
    </i>
    <i>
      <x v="3"/>
    </i>
    <i t="grand">
      <x/>
    </i>
  </rowItems>
  <colItems count="1">
    <i/>
  </colItems>
  <dataFields count="1">
    <dataField name=" Total Employee" fld="0" subtotal="count" baseField="0" baseItem="0"/>
  </dataFields>
  <formats count="6">
    <format dxfId="53">
      <pivotArea type="all" dataOnly="0" outline="0" fieldPosition="0"/>
    </format>
    <format dxfId="52">
      <pivotArea outline="0" collapsedLevelsAreSubtotals="1" fieldPosition="0"/>
    </format>
    <format dxfId="51">
      <pivotArea field="1" type="button" dataOnly="0" labelOnly="1" outline="0" axis="axisRow" fieldPosition="0"/>
    </format>
    <format dxfId="50">
      <pivotArea dataOnly="0" labelOnly="1" fieldPosition="0">
        <references count="1">
          <reference field="1" count="0"/>
        </references>
      </pivotArea>
    </format>
    <format dxfId="49">
      <pivotArea dataOnly="0" labelOnly="1" grandRow="1" outline="0" fieldPosition="0"/>
    </format>
    <format dxfId="48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665629-E003-4B62-AD1F-4E273E205BC0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Department">
  <location ref="A5:B12" firstHeaderRow="1" firstDataRow="1" firstDataCol="1"/>
  <pivotFields count="20">
    <pivotField dataField="1" showAll="0"/>
    <pivotField showAll="0"/>
    <pivotField showAll="0"/>
    <pivotField showAll="0"/>
    <pivotField axis="axisRow" showAll="0" sortType="ascending">
      <items count="7">
        <item x="5"/>
        <item x="2"/>
        <item x="3"/>
        <item x="4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7">
    <i>
      <x v="1"/>
    </i>
    <i>
      <x/>
    </i>
    <i>
      <x v="3"/>
    </i>
    <i>
      <x v="2"/>
    </i>
    <i>
      <x v="4"/>
    </i>
    <i>
      <x v="5"/>
    </i>
    <i t="grand">
      <x/>
    </i>
  </rowItems>
  <colItems count="1">
    <i/>
  </colItems>
  <dataFields count="1">
    <dataField name="Total Employee" fld="0" subtotal="count" baseField="4" baseItem="2"/>
  </dataFields>
  <formats count="6">
    <format dxfId="47">
      <pivotArea type="all" dataOnly="0" outline="0" fieldPosition="0"/>
    </format>
    <format dxfId="46">
      <pivotArea outline="0" collapsedLevelsAreSubtotals="1" fieldPosition="0"/>
    </format>
    <format dxfId="45">
      <pivotArea field="4" type="button" dataOnly="0" labelOnly="1" outline="0" axis="axisRow" fieldPosition="0"/>
    </format>
    <format dxfId="44">
      <pivotArea dataOnly="0" labelOnly="1" fieldPosition="0">
        <references count="1">
          <reference field="4" count="0"/>
        </references>
      </pivotArea>
    </format>
    <format dxfId="43">
      <pivotArea dataOnly="0" labelOnly="1" grandRow="1" outline="0" fieldPosition="0"/>
    </format>
    <format dxfId="42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DDE90A-9A77-40C0-A389-B96803F3391D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Department">
  <location ref="A4:B11" firstHeaderRow="1" firstDataRow="1" firstDataCol="1"/>
  <pivotFields count="20">
    <pivotField showAll="0"/>
    <pivotField showAll="0"/>
    <pivotField showAll="0"/>
    <pivotField showAll="0"/>
    <pivotField axis="axisRow" showAll="0" sortType="descending">
      <items count="7">
        <item x="5"/>
        <item x="2"/>
        <item x="3"/>
        <item x="4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7">
    <i>
      <x v="3"/>
    </i>
    <i>
      <x/>
    </i>
    <i>
      <x v="5"/>
    </i>
    <i>
      <x v="1"/>
    </i>
    <i>
      <x v="4"/>
    </i>
    <i>
      <x v="2"/>
    </i>
    <i t="grand">
      <x/>
    </i>
  </rowItems>
  <colItems count="1">
    <i/>
  </colItems>
  <dataFields count="1">
    <dataField name="Average of Monthly Income_INR" fld="8" subtotal="average" baseField="0" baseItem="0" numFmtId="164"/>
  </dataFields>
  <formats count="9">
    <format dxfId="41">
      <pivotArea collapsedLevelsAreSubtotals="1" fieldPosition="0">
        <references count="1">
          <reference field="4" count="0"/>
        </references>
      </pivotArea>
    </format>
    <format dxfId="40">
      <pivotArea type="all" dataOnly="0" outline="0" fieldPosition="0"/>
    </format>
    <format dxfId="39">
      <pivotArea outline="0" collapsedLevelsAreSubtotals="1" fieldPosition="0"/>
    </format>
    <format dxfId="38">
      <pivotArea field="4" type="button" dataOnly="0" labelOnly="1" outline="0" axis="axisRow" fieldPosition="0"/>
    </format>
    <format dxfId="37">
      <pivotArea dataOnly="0" labelOnly="1" fieldPosition="0">
        <references count="1">
          <reference field="4" count="0"/>
        </references>
      </pivotArea>
    </format>
    <format dxfId="36">
      <pivotArea dataOnly="0" labelOnly="1" grandRow="1" outline="0" fieldPosition="0"/>
    </format>
    <format dxfId="35">
      <pivotArea dataOnly="0" labelOnly="1" outline="0" axis="axisValues" fieldPosition="0"/>
    </format>
    <format dxfId="34">
      <pivotArea grandRow="1" outline="0" collapsedLevelsAreSubtotals="1" fieldPosition="0"/>
    </format>
    <format dxfId="33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41F7CD-029F-4D1F-AC92-EAD9384622F7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Job Satisfaction Rating">
  <location ref="A5:B10" firstHeaderRow="1" firstDataRow="1" firstDataCol="1"/>
  <pivotFields count="20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Employee Count" fld="0" subtotal="count" baseField="0" baseItem="0"/>
  </dataFields>
  <formats count="6">
    <format dxfId="32">
      <pivotArea type="all" dataOnly="0" outline="0" fieldPosition="0"/>
    </format>
    <format dxfId="31">
      <pivotArea outline="0" collapsedLevelsAreSubtotals="1" fieldPosition="0"/>
    </format>
    <format dxfId="30">
      <pivotArea field="11" type="button" dataOnly="0" labelOnly="1" outline="0" axis="axisRow" fieldPosition="0"/>
    </format>
    <format dxfId="29">
      <pivotArea dataOnly="0" labelOnly="1" fieldPosition="0">
        <references count="1">
          <reference field="11" count="0"/>
        </references>
      </pivotArea>
    </format>
    <format dxfId="28">
      <pivotArea dataOnly="0" labelOnly="1" grandRow="1" outline="0" fieldPosition="0"/>
    </format>
    <format dxfId="27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ED3ABA-3C61-4839-8844-990694B3B44C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Work Life Balance Rating">
  <location ref="A5:B10" firstHeaderRow="1" firstDataRow="1" firstDataCol="1"/>
  <pivotFields count="20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Employee Count" fld="0" subtotal="count" baseField="0" baseItem="0"/>
  </dataFields>
  <formats count="6">
    <format dxfId="26">
      <pivotArea type="all" dataOnly="0" outline="0" fieldPosition="0"/>
    </format>
    <format dxfId="25">
      <pivotArea outline="0" collapsedLevelsAreSubtotals="1" fieldPosition="0"/>
    </format>
    <format dxfId="24">
      <pivotArea field="12" type="button" dataOnly="0" labelOnly="1" outline="0" axis="axisRow" fieldPosition="0"/>
    </format>
    <format dxfId="23">
      <pivotArea dataOnly="0" labelOnly="1" fieldPosition="0">
        <references count="1">
          <reference field="12" count="0"/>
        </references>
      </pivotArea>
    </format>
    <format dxfId="22">
      <pivotArea dataOnly="0" labelOnly="1" grandRow="1" outline="0" fieldPosition="0"/>
    </format>
    <format dxfId="21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48BFDC-4787-439D-97C8-EDE424143E5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Job Role">
  <location ref="A3:D24" firstHeaderRow="1" firstDataRow="2" firstDataCol="1"/>
  <pivotFields count="20">
    <pivotField dataField="1" showAll="0"/>
    <pivotField showAll="0"/>
    <pivotField showAll="0"/>
    <pivotField showAll="0"/>
    <pivotField showAll="0"/>
    <pivotField axis="axisRow" showAll="0" sortType="descending">
      <items count="20">
        <item x="7"/>
        <item x="8"/>
        <item x="16"/>
        <item x="15"/>
        <item x="14"/>
        <item x="12"/>
        <item x="17"/>
        <item x="4"/>
        <item x="5"/>
        <item x="9"/>
        <item x="0"/>
        <item x="6"/>
        <item x="10"/>
        <item x="11"/>
        <item x="2"/>
        <item x="13"/>
        <item x="3"/>
        <item x="1"/>
        <item x="1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</pivotFields>
  <rowFields count="1">
    <field x="5"/>
  </rowFields>
  <rowItems count="20">
    <i>
      <x v="10"/>
    </i>
    <i>
      <x v="16"/>
    </i>
    <i>
      <x/>
    </i>
    <i>
      <x v="14"/>
    </i>
    <i>
      <x v="17"/>
    </i>
    <i>
      <x v="13"/>
    </i>
    <i>
      <x v="2"/>
    </i>
    <i>
      <x v="11"/>
    </i>
    <i>
      <x v="3"/>
    </i>
    <i>
      <x v="1"/>
    </i>
    <i>
      <x v="18"/>
    </i>
    <i>
      <x v="5"/>
    </i>
    <i>
      <x v="9"/>
    </i>
    <i>
      <x v="8"/>
    </i>
    <i>
      <x v="12"/>
    </i>
    <i>
      <x v="4"/>
    </i>
    <i>
      <x v="15"/>
    </i>
    <i>
      <x v="6"/>
    </i>
    <i>
      <x v="7"/>
    </i>
    <i t="grand">
      <x/>
    </i>
  </rowItems>
  <colFields count="1">
    <field x="18"/>
  </colFields>
  <colItems count="3">
    <i>
      <x/>
    </i>
    <i>
      <x v="1"/>
    </i>
    <i t="grand">
      <x/>
    </i>
  </colItems>
  <dataFields count="1">
    <dataField name="Employee Count" fld="0" subtotal="count" baseField="0" baseItem="0"/>
  </dataFields>
  <formats count="1">
    <format dxfId="20">
      <pivotArea type="all" dataOnly="0" outline="0" fieldPosition="0"/>
    </format>
  </format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70503E-B71D-40F5-84D0-AA64D722A30C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Age Group">
  <location ref="A4:D11" firstHeaderRow="1" firstDataRow="2" firstDataCol="1"/>
  <pivotFields count="20">
    <pivotField dataField="1" showAll="0"/>
    <pivotField axis="axisRow" showAll="0" sortType="descending">
      <items count="6">
        <item x="1"/>
        <item x="0"/>
        <item x="2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</pivotFields>
  <rowFields count="1">
    <field x="1"/>
  </rowFields>
  <rowItems count="6">
    <i>
      <x v="1"/>
    </i>
    <i>
      <x/>
    </i>
    <i>
      <x v="4"/>
    </i>
    <i>
      <x v="2"/>
    </i>
    <i>
      <x v="3"/>
    </i>
    <i t="grand">
      <x/>
    </i>
  </rowItems>
  <colFields count="1">
    <field x="18"/>
  </colFields>
  <colItems count="3">
    <i>
      <x/>
    </i>
    <i>
      <x v="1"/>
    </i>
    <i t="grand">
      <x/>
    </i>
  </colItems>
  <dataFields count="1">
    <dataField name="Employee count" fld="0" subtotal="count" baseField="0" baseItem="0"/>
  </dataFields>
  <formats count="10">
    <format dxfId="19">
      <pivotArea type="all" dataOnly="0" outline="0" fieldPosition="0"/>
    </format>
    <format dxfId="18">
      <pivotArea outline="0" collapsedLevelsAreSubtotals="1" fieldPosition="0"/>
    </format>
    <format dxfId="17">
      <pivotArea type="origin" dataOnly="0" labelOnly="1" outline="0" fieldPosition="0"/>
    </format>
    <format dxfId="16">
      <pivotArea field="18" type="button" dataOnly="0" labelOnly="1" outline="0" axis="axisCol" fieldPosition="0"/>
    </format>
    <format dxfId="15">
      <pivotArea type="topRight" dataOnly="0" labelOnly="1" outline="0" fieldPosition="0"/>
    </format>
    <format dxfId="14">
      <pivotArea field="1" type="button" dataOnly="0" labelOnly="1" outline="0" axis="axisRow" fieldPosition="0"/>
    </format>
    <format dxfId="13">
      <pivotArea dataOnly="0" labelOnly="1" fieldPosition="0">
        <references count="1">
          <reference field="1" count="0"/>
        </references>
      </pivotArea>
    </format>
    <format dxfId="12">
      <pivotArea dataOnly="0" labelOnly="1" grandRow="1" outline="0" fieldPosition="0"/>
    </format>
    <format dxfId="11">
      <pivotArea dataOnly="0" labelOnly="1" fieldPosition="0">
        <references count="1">
          <reference field="18" count="0"/>
        </references>
      </pivotArea>
    </format>
    <format dxfId="10">
      <pivotArea dataOnly="0" labelOnly="1" grandCol="1" outline="0" fieldPosition="0"/>
    </format>
  </format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30FC15-D578-4F13-9772-1969EE0DF9C1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Tenure Group">
  <location ref="A4:D11" firstHeaderRow="1" firstDataRow="2" firstDataCol="1"/>
  <pivotFields count="20">
    <pivotField dataField="1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axis="axisRow" showAll="0" sortType="ascending">
      <items count="6">
        <item x="1"/>
        <item x="2"/>
        <item x="3"/>
        <item x="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9"/>
  </rowFields>
  <rowItems count="6">
    <i>
      <x v="4"/>
    </i>
    <i>
      <x v="1"/>
    </i>
    <i>
      <x v="2"/>
    </i>
    <i>
      <x v="3"/>
    </i>
    <i>
      <x/>
    </i>
    <i t="grand">
      <x/>
    </i>
  </rowItems>
  <colFields count="1">
    <field x="18"/>
  </colFields>
  <colItems count="3">
    <i>
      <x/>
    </i>
    <i>
      <x v="1"/>
    </i>
    <i t="grand">
      <x/>
    </i>
  </colItems>
  <dataFields count="1">
    <dataField name="Employee Count" fld="0" subtotal="count" baseField="0" baseItem="0"/>
  </dataFields>
  <formats count="10">
    <format dxfId="9">
      <pivotArea type="all" dataOnly="0" outline="0" fieldPosition="0"/>
    </format>
    <format dxfId="8">
      <pivotArea outline="0" collapsedLevelsAreSubtotals="1" fieldPosition="0"/>
    </format>
    <format dxfId="7">
      <pivotArea type="origin" dataOnly="0" labelOnly="1" outline="0" fieldPosition="0"/>
    </format>
    <format dxfId="6">
      <pivotArea field="18" type="button" dataOnly="0" labelOnly="1" outline="0" axis="axisCol" fieldPosition="0"/>
    </format>
    <format dxfId="5">
      <pivotArea type="topRight" dataOnly="0" labelOnly="1" outline="0" fieldPosition="0"/>
    </format>
    <format dxfId="4">
      <pivotArea field="19" type="button" dataOnly="0" labelOnly="1" outline="0" axis="axisRow" fieldPosition="0"/>
    </format>
    <format dxfId="3">
      <pivotArea dataOnly="0" labelOnly="1" fieldPosition="0">
        <references count="1">
          <reference field="19" count="0"/>
        </references>
      </pivotArea>
    </format>
    <format dxfId="2">
      <pivotArea dataOnly="0" labelOnly="1" grandRow="1" outline="0" fieldPosition="0"/>
    </format>
    <format dxfId="1">
      <pivotArea dataOnly="0" labelOnly="1" fieldPosition="0">
        <references count="1">
          <reference field="18" count="0"/>
        </references>
      </pivotArea>
    </format>
    <format dxfId="0">
      <pivotArea dataOnly="0" labelOnly="1" grandCol="1" outline="0" fieldPosition="0"/>
    </format>
  </format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462EB6-DC5F-48C9-ADA1-C22CB08C1782}" name="Table1" displayName="Table1" ref="A1:T1201" totalsRowShown="0" headerRowDxfId="93" dataDxfId="91" headerRowBorderDxfId="92" tableBorderDxfId="90">
  <autoFilter ref="A1:T1201" xr:uid="{5D462EB6-DC5F-48C9-ADA1-C22CB08C1782}"/>
  <tableColumns count="20">
    <tableColumn id="1" xr3:uid="{AA0E3B89-A189-4B26-8C71-F64739E44DD8}" name="Employee ID" dataDxfId="89"/>
    <tableColumn id="19" xr3:uid="{B3B49DD4-3BC6-4B23-85BC-B91B723490E1}" name="Age Group" dataDxfId="88">
      <calculatedColumnFormula>IF(Table1[[#This Row],[Age]]&lt;25,"Under 25",IF(Table1[[#This Row],[Age]]&lt;35,"25-34",IF(Table1[[#This Row],[Age]]&lt;45,"35-44",IF(Table1[[#This Row],[Age]]&lt;55,"45-54","55+"))))</calculatedColumnFormula>
    </tableColumn>
    <tableColumn id="2" xr3:uid="{50816746-9FA1-4D9F-A7E4-30D1BFB66700}" name="Age" dataDxfId="87"/>
    <tableColumn id="3" xr3:uid="{49EFD0FD-5CF5-4E47-995D-266CFFBA8E5B}" name="Gender" dataDxfId="86"/>
    <tableColumn id="4" xr3:uid="{EB3A8DCC-F92A-43BC-B7CC-66C091BEA3C5}" name="Department" dataDxfId="85"/>
    <tableColumn id="5" xr3:uid="{E1A83CEB-7508-4DCE-AB1B-38F45E40ECD9}" name="JobRole" dataDxfId="84"/>
    <tableColumn id="6" xr3:uid="{B9D35B27-C93E-4F73-AEB2-B6BE63773AFF}" name="Education" dataDxfId="83"/>
    <tableColumn id="7" xr3:uid="{A062BE15-B366-4A13-8AA2-0961F70413A2}" name="Marital Status" dataDxfId="82"/>
    <tableColumn id="8" xr3:uid="{48CF1648-7CEE-499B-A493-96DA11F628C0}" name="Monthly Income INR" dataDxfId="81"/>
    <tableColumn id="9" xr3:uid="{CC9D32A2-1F5E-4C22-9635-58CD082C2AC5}" name="Years At Company" dataDxfId="80"/>
    <tableColumn id="10" xr3:uid="{FE911638-BAC4-41C2-B97B-8E80AF584D11}" name="Years In Current Role" dataDxfId="79"/>
    <tableColumn id="11" xr3:uid="{F9E09E7E-337A-4569-88E3-7F86D742DB81}" name="Job Satisfaction" dataDxfId="78"/>
    <tableColumn id="12" xr3:uid="{650D3294-17C9-411B-B394-056AD34E8192}" name="Work Life Balance" dataDxfId="77"/>
    <tableColumn id="13" xr3:uid="{8D986495-34F8-4C44-89BF-82D09366554A}" name="Over Time" dataDxfId="76"/>
    <tableColumn id="14" xr3:uid="{FE4FF163-16F3-432B-8026-38E68A2B4B7F}" name="Business Travel" dataDxfId="75"/>
    <tableColumn id="15" xr3:uid="{ECA21377-CC01-4E34-ABA6-040B1F9F144B}" name="Performance Rating" dataDxfId="74"/>
    <tableColumn id="16" xr3:uid="{1BA5EEB9-21BD-4F13-A4E0-E99D359F1181}" name="Training Times Last Year" dataDxfId="73"/>
    <tableColumn id="17" xr3:uid="{FF939E59-DDEA-44FE-9CD3-8CEAC614FD80}" name="Promotion Last 5Years" dataDxfId="72"/>
    <tableColumn id="18" xr3:uid="{58F6D0B6-2787-4A41-9399-46E6D616D076}" name="Attrition" dataDxfId="71"/>
    <tableColumn id="20" xr3:uid="{045E541C-7703-4690-AEB1-E0C11289B52E}" name="Tenure Group" dataDxfId="70">
      <calculatedColumnFormula>IF(Table1[[#This Row],[Years At Company]]&lt;1,"Less than 1 Year",IF(Table1[[#This Row],[Years At Company]]&lt;3,"1-2 Years",IF(Table1[[#This Row],[Years At Company]]&lt;6,"3-5 Years",IF(Table1[[#This Row],[Years At Company]]&lt;11,"6-10 Years","11+ Years"))))</calculatedColumnFormula>
    </tableColumn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9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201"/>
  <sheetViews>
    <sheetView zoomScale="95" workbookViewId="0">
      <selection activeCell="A6" sqref="A6"/>
    </sheetView>
  </sheetViews>
  <sheetFormatPr defaultRowHeight="14.4" x14ac:dyDescent="0.3"/>
  <cols>
    <col min="1" max="1" width="21.6640625" bestFit="1" customWidth="1"/>
    <col min="2" max="2" width="21.6640625" customWidth="1"/>
    <col min="3" max="3" width="10.44140625" bestFit="1" customWidth="1"/>
    <col min="4" max="4" width="14.77734375" bestFit="1" customWidth="1"/>
    <col min="5" max="5" width="20.44140625" bestFit="1" customWidth="1"/>
    <col min="6" max="6" width="25.44140625" bestFit="1" customWidth="1"/>
    <col min="7" max="7" width="18" bestFit="1" customWidth="1"/>
    <col min="8" max="8" width="23.21875" bestFit="1" customWidth="1"/>
    <col min="9" max="9" width="32.44140625" bestFit="1" customWidth="1"/>
    <col min="10" max="10" width="28.88671875" bestFit="1" customWidth="1"/>
    <col min="11" max="11" width="32.6640625" bestFit="1" customWidth="1"/>
    <col min="12" max="12" width="25.5546875" bestFit="1" customWidth="1"/>
    <col min="13" max="13" width="28.5546875" bestFit="1" customWidth="1"/>
    <col min="14" max="14" width="18.77734375" bestFit="1" customWidth="1"/>
    <col min="15" max="15" width="25.5546875" bestFit="1" customWidth="1"/>
    <col min="16" max="16" width="30.44140625" bestFit="1" customWidth="1"/>
    <col min="17" max="17" width="37.33203125" bestFit="1" customWidth="1"/>
    <col min="18" max="18" width="34" bestFit="1" customWidth="1"/>
    <col min="19" max="19" width="12.6640625" customWidth="1"/>
    <col min="20" max="20" width="23" bestFit="1" customWidth="1"/>
    <col min="33" max="33" width="9.5546875" bestFit="1" customWidth="1"/>
  </cols>
  <sheetData>
    <row r="1" spans="1:33" ht="19.8" customHeight="1" x14ac:dyDescent="0.3">
      <c r="A1" s="2" t="s">
        <v>1246</v>
      </c>
      <c r="B1" s="2" t="s">
        <v>1261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1247</v>
      </c>
      <c r="I1" s="2" t="s">
        <v>1335</v>
      </c>
      <c r="J1" s="2" t="s">
        <v>1248</v>
      </c>
      <c r="K1" s="2" t="s">
        <v>1249</v>
      </c>
      <c r="L1" s="2" t="s">
        <v>1250</v>
      </c>
      <c r="M1" s="2" t="s">
        <v>1251</v>
      </c>
      <c r="N1" s="2" t="s">
        <v>1252</v>
      </c>
      <c r="O1" s="2" t="s">
        <v>1253</v>
      </c>
      <c r="P1" s="2" t="s">
        <v>1254</v>
      </c>
      <c r="Q1" s="2" t="s">
        <v>1255</v>
      </c>
      <c r="R1" s="2" t="s">
        <v>1256</v>
      </c>
      <c r="S1" s="2" t="s">
        <v>5</v>
      </c>
      <c r="T1" s="2" t="s">
        <v>1282</v>
      </c>
    </row>
    <row r="2" spans="1:33" ht="18" x14ac:dyDescent="0.35">
      <c r="A2" s="3" t="s">
        <v>6</v>
      </c>
      <c r="B2" s="3" t="str">
        <f>IF(Table1[[#This Row],[Age]]&lt;25,"Under 25",IF(Table1[[#This Row],[Age]]&lt;35,"25-34",IF(Table1[[#This Row],[Age]]&lt;45,"35-44",IF(Table1[[#This Row],[Age]]&lt;55,"45-54","55+"))))</f>
        <v>35-44</v>
      </c>
      <c r="C2" s="3">
        <v>41</v>
      </c>
      <c r="D2" s="3" t="s">
        <v>7</v>
      </c>
      <c r="E2" s="3" t="s">
        <v>8</v>
      </c>
      <c r="F2" s="3" t="s">
        <v>9</v>
      </c>
      <c r="G2" s="3" t="s">
        <v>10</v>
      </c>
      <c r="H2" s="3" t="s">
        <v>11</v>
      </c>
      <c r="I2" s="3">
        <v>22077</v>
      </c>
      <c r="J2" s="3">
        <v>10</v>
      </c>
      <c r="K2" s="3">
        <v>0</v>
      </c>
      <c r="L2" s="3">
        <v>4</v>
      </c>
      <c r="M2" s="3">
        <v>3</v>
      </c>
      <c r="N2" s="3" t="s">
        <v>12</v>
      </c>
      <c r="O2" s="3" t="s">
        <v>13</v>
      </c>
      <c r="P2" s="3">
        <v>3</v>
      </c>
      <c r="Q2" s="3">
        <v>4</v>
      </c>
      <c r="R2" s="4" t="s">
        <v>14</v>
      </c>
      <c r="S2" s="4" t="s">
        <v>14</v>
      </c>
      <c r="T2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3" spans="1:33" ht="18" x14ac:dyDescent="0.35">
      <c r="A3" s="3" t="s">
        <v>15</v>
      </c>
      <c r="B3" s="3" t="str">
        <f>IF(Table1[[#This Row],[Age]]&lt;25,"Under 25",IF(Table1[[#This Row],[Age]]&lt;35,"25-34",IF(Table1[[#This Row],[Age]]&lt;45,"35-44",IF(Table1[[#This Row],[Age]]&lt;55,"45-54","55+"))))</f>
        <v>35-44</v>
      </c>
      <c r="C3" s="3">
        <v>37</v>
      </c>
      <c r="D3" s="3" t="s">
        <v>7</v>
      </c>
      <c r="E3" s="3" t="s">
        <v>16</v>
      </c>
      <c r="F3" s="3" t="s">
        <v>17</v>
      </c>
      <c r="G3" s="3" t="s">
        <v>18</v>
      </c>
      <c r="H3" s="3" t="s">
        <v>19</v>
      </c>
      <c r="I3" s="3">
        <v>84325</v>
      </c>
      <c r="J3" s="3">
        <v>17</v>
      </c>
      <c r="K3" s="3">
        <v>0</v>
      </c>
      <c r="L3" s="3">
        <v>3</v>
      </c>
      <c r="M3" s="3">
        <v>3</v>
      </c>
      <c r="N3" s="3" t="s">
        <v>14</v>
      </c>
      <c r="O3" s="3" t="s">
        <v>20</v>
      </c>
      <c r="P3" s="3">
        <v>4</v>
      </c>
      <c r="Q3" s="3">
        <v>4</v>
      </c>
      <c r="R3" s="4" t="s">
        <v>14</v>
      </c>
      <c r="S3" s="4" t="s">
        <v>14</v>
      </c>
      <c r="T3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4" spans="1:33" ht="18" x14ac:dyDescent="0.35">
      <c r="A4" s="3" t="s">
        <v>21</v>
      </c>
      <c r="B4" s="3" t="str">
        <f>IF(Table1[[#This Row],[Age]]&lt;25,"Under 25",IF(Table1[[#This Row],[Age]]&lt;35,"25-34",IF(Table1[[#This Row],[Age]]&lt;45,"35-44",IF(Table1[[#This Row],[Age]]&lt;55,"45-54","55+"))))</f>
        <v>25-34</v>
      </c>
      <c r="C4" s="3">
        <v>31</v>
      </c>
      <c r="D4" s="3" t="s">
        <v>22</v>
      </c>
      <c r="E4" s="3" t="s">
        <v>8</v>
      </c>
      <c r="F4" s="3" t="s">
        <v>23</v>
      </c>
      <c r="G4" s="3" t="s">
        <v>10</v>
      </c>
      <c r="H4" s="3" t="s">
        <v>19</v>
      </c>
      <c r="I4" s="3">
        <v>47096</v>
      </c>
      <c r="J4" s="3">
        <v>10</v>
      </c>
      <c r="K4" s="3">
        <v>4</v>
      </c>
      <c r="L4" s="3">
        <v>3</v>
      </c>
      <c r="M4" s="3">
        <v>2</v>
      </c>
      <c r="N4" s="3" t="s">
        <v>14</v>
      </c>
      <c r="O4" s="3" t="s">
        <v>13</v>
      </c>
      <c r="P4" s="3">
        <v>3</v>
      </c>
      <c r="Q4" s="3">
        <v>2</v>
      </c>
      <c r="R4" s="4" t="s">
        <v>14</v>
      </c>
      <c r="S4" s="4" t="s">
        <v>14</v>
      </c>
      <c r="T4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5" spans="1:33" ht="18" x14ac:dyDescent="0.35">
      <c r="A5" s="3" t="s">
        <v>24</v>
      </c>
      <c r="B5" s="3" t="str">
        <f>IF(Table1[[#This Row],[Age]]&lt;25,"Under 25",IF(Table1[[#This Row],[Age]]&lt;35,"25-34",IF(Table1[[#This Row],[Age]]&lt;45,"35-44",IF(Table1[[#This Row],[Age]]&lt;55,"45-54","55+"))))</f>
        <v>35-44</v>
      </c>
      <c r="C5" s="3">
        <v>36</v>
      </c>
      <c r="D5" s="3" t="s">
        <v>7</v>
      </c>
      <c r="E5" s="3" t="s">
        <v>8</v>
      </c>
      <c r="F5" s="3" t="s">
        <v>23</v>
      </c>
      <c r="G5" s="3" t="s">
        <v>25</v>
      </c>
      <c r="H5" s="3" t="s">
        <v>11</v>
      </c>
      <c r="I5" s="3">
        <v>69811</v>
      </c>
      <c r="J5" s="3">
        <v>15</v>
      </c>
      <c r="K5" s="3">
        <v>5</v>
      </c>
      <c r="L5" s="3">
        <v>3</v>
      </c>
      <c r="M5" s="3">
        <v>2</v>
      </c>
      <c r="N5" s="3" t="s">
        <v>14</v>
      </c>
      <c r="O5" s="3" t="s">
        <v>26</v>
      </c>
      <c r="P5" s="3">
        <v>3</v>
      </c>
      <c r="Q5" s="3">
        <v>5</v>
      </c>
      <c r="R5" s="4" t="s">
        <v>14</v>
      </c>
      <c r="S5" s="4" t="s">
        <v>14</v>
      </c>
      <c r="T5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6" spans="1:33" ht="18" x14ac:dyDescent="0.35">
      <c r="A6" s="3" t="s">
        <v>27</v>
      </c>
      <c r="B6" s="3" t="str">
        <f>IF(Table1[[#This Row],[Age]]&lt;25,"Under 25",IF(Table1[[#This Row],[Age]]&lt;35,"25-34",IF(Table1[[#This Row],[Age]]&lt;45,"35-44",IF(Table1[[#This Row],[Age]]&lt;55,"45-54","55+"))))</f>
        <v>25-34</v>
      </c>
      <c r="C6" s="3">
        <v>28</v>
      </c>
      <c r="D6" s="3" t="s">
        <v>7</v>
      </c>
      <c r="E6" s="3" t="s">
        <v>16</v>
      </c>
      <c r="F6" s="3" t="s">
        <v>28</v>
      </c>
      <c r="G6" s="3" t="s">
        <v>25</v>
      </c>
      <c r="H6" s="3" t="s">
        <v>11</v>
      </c>
      <c r="I6" s="3">
        <v>27976</v>
      </c>
      <c r="J6" s="3">
        <v>1</v>
      </c>
      <c r="K6" s="3">
        <v>1</v>
      </c>
      <c r="L6" s="3">
        <v>4</v>
      </c>
      <c r="M6" s="3">
        <v>3</v>
      </c>
      <c r="N6" s="3" t="s">
        <v>14</v>
      </c>
      <c r="O6" s="3" t="s">
        <v>13</v>
      </c>
      <c r="P6" s="3">
        <v>3</v>
      </c>
      <c r="Q6" s="3">
        <v>3</v>
      </c>
      <c r="R6" s="4" t="s">
        <v>12</v>
      </c>
      <c r="S6" s="4" t="s">
        <v>14</v>
      </c>
      <c r="T6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7" spans="1:33" ht="18" x14ac:dyDescent="0.35">
      <c r="A7" s="3" t="s">
        <v>29</v>
      </c>
      <c r="B7" s="3" t="str">
        <f>IF(Table1[[#This Row],[Age]]&lt;25,"Under 25",IF(Table1[[#This Row],[Age]]&lt;35,"25-34",IF(Table1[[#This Row],[Age]]&lt;45,"35-44",IF(Table1[[#This Row],[Age]]&lt;55,"45-54","55+"))))</f>
        <v>25-34</v>
      </c>
      <c r="C7" s="3">
        <v>27</v>
      </c>
      <c r="D7" s="3" t="s">
        <v>7</v>
      </c>
      <c r="E7" s="3" t="s">
        <v>16</v>
      </c>
      <c r="F7" s="3" t="s">
        <v>28</v>
      </c>
      <c r="G7" s="3" t="s">
        <v>18</v>
      </c>
      <c r="H7" s="3" t="s">
        <v>11</v>
      </c>
      <c r="I7" s="3">
        <v>68133</v>
      </c>
      <c r="J7" s="3">
        <v>8</v>
      </c>
      <c r="K7" s="3">
        <v>2</v>
      </c>
      <c r="L7" s="3">
        <v>3</v>
      </c>
      <c r="M7" s="3">
        <v>3</v>
      </c>
      <c r="N7" s="3" t="s">
        <v>12</v>
      </c>
      <c r="O7" s="3" t="s">
        <v>13</v>
      </c>
      <c r="P7" s="3">
        <v>3</v>
      </c>
      <c r="Q7" s="3">
        <v>2</v>
      </c>
      <c r="R7" s="4" t="s">
        <v>14</v>
      </c>
      <c r="S7" s="4" t="s">
        <v>12</v>
      </c>
      <c r="T7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8" spans="1:33" ht="18" x14ac:dyDescent="0.35">
      <c r="A8" s="3" t="s">
        <v>30</v>
      </c>
      <c r="B8" s="3" t="str">
        <f>IF(Table1[[#This Row],[Age]]&lt;25,"Under 25",IF(Table1[[#This Row],[Age]]&lt;35,"25-34",IF(Table1[[#This Row],[Age]]&lt;45,"35-44",IF(Table1[[#This Row],[Age]]&lt;55,"45-54","55+"))))</f>
        <v>35-44</v>
      </c>
      <c r="C8" s="3">
        <v>35</v>
      </c>
      <c r="D8" s="3" t="s">
        <v>22</v>
      </c>
      <c r="E8" s="3" t="s">
        <v>31</v>
      </c>
      <c r="F8" s="3" t="s">
        <v>32</v>
      </c>
      <c r="G8" s="3" t="s">
        <v>10</v>
      </c>
      <c r="H8" s="3" t="s">
        <v>11</v>
      </c>
      <c r="I8" s="3">
        <v>74823</v>
      </c>
      <c r="J8" s="3">
        <v>2</v>
      </c>
      <c r="K8" s="3">
        <v>2</v>
      </c>
      <c r="L8" s="3">
        <v>3</v>
      </c>
      <c r="M8" s="3">
        <v>3</v>
      </c>
      <c r="N8" s="3" t="s">
        <v>14</v>
      </c>
      <c r="O8" s="3" t="s">
        <v>13</v>
      </c>
      <c r="P8" s="3">
        <v>3</v>
      </c>
      <c r="Q8" s="3">
        <v>1</v>
      </c>
      <c r="R8" s="4" t="s">
        <v>12</v>
      </c>
      <c r="S8" s="4" t="s">
        <v>14</v>
      </c>
      <c r="T8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9" spans="1:33" ht="18" x14ac:dyDescent="0.35">
      <c r="A9" s="3" t="s">
        <v>33</v>
      </c>
      <c r="B9" s="3" t="str">
        <f>IF(Table1[[#This Row],[Age]]&lt;25,"Under 25",IF(Table1[[#This Row],[Age]]&lt;35,"25-34",IF(Table1[[#This Row],[Age]]&lt;45,"35-44",IF(Table1[[#This Row],[Age]]&lt;55,"45-54","55+"))))</f>
        <v>45-54</v>
      </c>
      <c r="C9" s="3">
        <v>45</v>
      </c>
      <c r="D9" s="3" t="s">
        <v>22</v>
      </c>
      <c r="E9" s="3" t="s">
        <v>34</v>
      </c>
      <c r="F9" s="3" t="s">
        <v>35</v>
      </c>
      <c r="G9" s="3" t="s">
        <v>18</v>
      </c>
      <c r="H9" s="3" t="s">
        <v>11</v>
      </c>
      <c r="I9" s="3">
        <v>81225</v>
      </c>
      <c r="J9" s="3">
        <v>6</v>
      </c>
      <c r="K9" s="3">
        <v>5</v>
      </c>
      <c r="L9" s="3">
        <v>3</v>
      </c>
      <c r="M9" s="3">
        <v>2</v>
      </c>
      <c r="N9" s="3" t="s">
        <v>14</v>
      </c>
      <c r="O9" s="3" t="s">
        <v>20</v>
      </c>
      <c r="P9" s="3">
        <v>3</v>
      </c>
      <c r="Q9" s="3">
        <v>4</v>
      </c>
      <c r="R9" s="4" t="s">
        <v>14</v>
      </c>
      <c r="S9" s="4" t="s">
        <v>14</v>
      </c>
      <c r="T9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10" spans="1:33" ht="18" x14ac:dyDescent="0.35">
      <c r="A10" s="3" t="s">
        <v>36</v>
      </c>
      <c r="B10" s="3" t="str">
        <f>IF(Table1[[#This Row],[Age]]&lt;25,"Under 25",IF(Table1[[#This Row],[Age]]&lt;35,"25-34",IF(Table1[[#This Row],[Age]]&lt;45,"35-44",IF(Table1[[#This Row],[Age]]&lt;55,"45-54","55+"))))</f>
        <v>35-44</v>
      </c>
      <c r="C10" s="3">
        <v>36</v>
      </c>
      <c r="D10" s="3" t="s">
        <v>7</v>
      </c>
      <c r="E10" s="3" t="s">
        <v>8</v>
      </c>
      <c r="F10" s="3" t="s">
        <v>9</v>
      </c>
      <c r="G10" s="3" t="s">
        <v>25</v>
      </c>
      <c r="H10" s="3" t="s">
        <v>19</v>
      </c>
      <c r="I10" s="3">
        <v>100239</v>
      </c>
      <c r="J10" s="3">
        <v>13</v>
      </c>
      <c r="K10" s="3">
        <v>4</v>
      </c>
      <c r="L10" s="3">
        <v>3</v>
      </c>
      <c r="M10" s="3">
        <v>1</v>
      </c>
      <c r="N10" s="3" t="s">
        <v>14</v>
      </c>
      <c r="O10" s="3" t="s">
        <v>26</v>
      </c>
      <c r="P10" s="3">
        <v>3</v>
      </c>
      <c r="Q10" s="3">
        <v>4</v>
      </c>
      <c r="R10" s="4" t="s">
        <v>14</v>
      </c>
      <c r="S10" s="4" t="s">
        <v>14</v>
      </c>
      <c r="T10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11" spans="1:33" ht="18" x14ac:dyDescent="0.35">
      <c r="A11" s="3" t="s">
        <v>37</v>
      </c>
      <c r="B11" s="3" t="str">
        <f>IF(Table1[[#This Row],[Age]]&lt;25,"Under 25",IF(Table1[[#This Row],[Age]]&lt;35,"25-34",IF(Table1[[#This Row],[Age]]&lt;45,"35-44",IF(Table1[[#This Row],[Age]]&lt;55,"45-54","55+"))))</f>
        <v>25-34</v>
      </c>
      <c r="C11" s="3">
        <v>31</v>
      </c>
      <c r="D11" s="3" t="s">
        <v>22</v>
      </c>
      <c r="E11" s="3" t="s">
        <v>38</v>
      </c>
      <c r="F11" s="3" t="s">
        <v>39</v>
      </c>
      <c r="G11" s="3" t="s">
        <v>25</v>
      </c>
      <c r="H11" s="3" t="s">
        <v>11</v>
      </c>
      <c r="I11" s="3">
        <v>78973</v>
      </c>
      <c r="J11" s="3">
        <v>6</v>
      </c>
      <c r="K11" s="3">
        <v>2</v>
      </c>
      <c r="L11" s="3">
        <v>1</v>
      </c>
      <c r="M11" s="3">
        <v>4</v>
      </c>
      <c r="N11" s="3" t="s">
        <v>14</v>
      </c>
      <c r="O11" s="3" t="s">
        <v>20</v>
      </c>
      <c r="P11" s="3">
        <v>2</v>
      </c>
      <c r="Q11" s="3">
        <v>1</v>
      </c>
      <c r="R11" s="4" t="s">
        <v>14</v>
      </c>
      <c r="S11" s="4" t="s">
        <v>14</v>
      </c>
      <c r="T11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12" spans="1:33" ht="18" x14ac:dyDescent="0.35">
      <c r="A12" s="3" t="s">
        <v>40</v>
      </c>
      <c r="B12" s="3" t="str">
        <f>IF(Table1[[#This Row],[Age]]&lt;25,"Under 25",IF(Table1[[#This Row],[Age]]&lt;35,"25-34",IF(Table1[[#This Row],[Age]]&lt;45,"35-44",IF(Table1[[#This Row],[Age]]&lt;55,"45-54","55+"))))</f>
        <v>25-34</v>
      </c>
      <c r="C12" s="3">
        <v>31</v>
      </c>
      <c r="D12" s="3" t="s">
        <v>22</v>
      </c>
      <c r="E12" s="3" t="s">
        <v>34</v>
      </c>
      <c r="F12" s="3" t="s">
        <v>35</v>
      </c>
      <c r="G12" s="3" t="s">
        <v>10</v>
      </c>
      <c r="H12" s="3" t="s">
        <v>11</v>
      </c>
      <c r="I12" s="3">
        <v>61902</v>
      </c>
      <c r="J12" s="3">
        <v>4</v>
      </c>
      <c r="K12" s="3">
        <v>4</v>
      </c>
      <c r="L12" s="3">
        <v>4</v>
      </c>
      <c r="M12" s="3">
        <v>4</v>
      </c>
      <c r="N12" s="3" t="s">
        <v>14</v>
      </c>
      <c r="O12" s="3" t="s">
        <v>13</v>
      </c>
      <c r="P12" s="3">
        <v>2</v>
      </c>
      <c r="Q12" s="3">
        <v>3</v>
      </c>
      <c r="R12" s="4" t="s">
        <v>14</v>
      </c>
      <c r="S12" s="4" t="s">
        <v>14</v>
      </c>
      <c r="T12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  <c r="AE12" s="1"/>
    </row>
    <row r="13" spans="1:33" ht="18" x14ac:dyDescent="0.35">
      <c r="A13" s="3" t="s">
        <v>41</v>
      </c>
      <c r="B13" s="3" t="str">
        <f>IF(Table1[[#This Row],[Age]]&lt;25,"Under 25",IF(Table1[[#This Row],[Age]]&lt;35,"25-34",IF(Table1[[#This Row],[Age]]&lt;45,"35-44",IF(Table1[[#This Row],[Age]]&lt;55,"45-54","55+"))))</f>
        <v>25-34</v>
      </c>
      <c r="C13" s="3">
        <v>31</v>
      </c>
      <c r="D13" s="3" t="s">
        <v>7</v>
      </c>
      <c r="E13" s="3" t="s">
        <v>16</v>
      </c>
      <c r="F13" s="3" t="s">
        <v>17</v>
      </c>
      <c r="G13" s="3" t="s">
        <v>25</v>
      </c>
      <c r="H13" s="3" t="s">
        <v>42</v>
      </c>
      <c r="I13" s="3">
        <v>43767</v>
      </c>
      <c r="J13" s="3">
        <v>13</v>
      </c>
      <c r="K13" s="3">
        <v>2</v>
      </c>
      <c r="L13" s="3">
        <v>3</v>
      </c>
      <c r="M13" s="3">
        <v>3</v>
      </c>
      <c r="N13" s="3" t="s">
        <v>12</v>
      </c>
      <c r="O13" s="3" t="s">
        <v>20</v>
      </c>
      <c r="P13" s="3">
        <v>3</v>
      </c>
      <c r="Q13" s="3">
        <v>1</v>
      </c>
      <c r="R13" s="4" t="s">
        <v>14</v>
      </c>
      <c r="S13" s="4" t="s">
        <v>14</v>
      </c>
      <c r="T13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  <c r="AG13" s="1"/>
    </row>
    <row r="14" spans="1:33" ht="18" x14ac:dyDescent="0.35">
      <c r="A14" s="3" t="s">
        <v>43</v>
      </c>
      <c r="B14" s="3" t="str">
        <f>IF(Table1[[#This Row],[Age]]&lt;25,"Under 25",IF(Table1[[#This Row],[Age]]&lt;35,"25-34",IF(Table1[[#This Row],[Age]]&lt;45,"35-44",IF(Table1[[#This Row],[Age]]&lt;55,"45-54","55+"))))</f>
        <v>25-34</v>
      </c>
      <c r="C14" s="3">
        <v>25</v>
      </c>
      <c r="D14" s="3" t="s">
        <v>22</v>
      </c>
      <c r="E14" s="3" t="s">
        <v>16</v>
      </c>
      <c r="F14" s="3" t="s">
        <v>17</v>
      </c>
      <c r="G14" s="3" t="s">
        <v>25</v>
      </c>
      <c r="H14" s="3" t="s">
        <v>19</v>
      </c>
      <c r="I14" s="3">
        <v>36885</v>
      </c>
      <c r="J14" s="3">
        <v>0</v>
      </c>
      <c r="K14" s="3">
        <v>0</v>
      </c>
      <c r="L14" s="3">
        <v>4</v>
      </c>
      <c r="M14" s="3">
        <v>3</v>
      </c>
      <c r="N14" s="3" t="s">
        <v>12</v>
      </c>
      <c r="O14" s="3" t="s">
        <v>20</v>
      </c>
      <c r="P14" s="3">
        <v>3</v>
      </c>
      <c r="Q14" s="3">
        <v>3</v>
      </c>
      <c r="R14" s="4" t="s">
        <v>14</v>
      </c>
      <c r="S14" s="4" t="s">
        <v>14</v>
      </c>
      <c r="T14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Less than 1 Year</v>
      </c>
    </row>
    <row r="15" spans="1:33" ht="18" x14ac:dyDescent="0.35">
      <c r="A15" s="3" t="s">
        <v>44</v>
      </c>
      <c r="B15" s="3" t="str">
        <f>IF(Table1[[#This Row],[Age]]&lt;25,"Under 25",IF(Table1[[#This Row],[Age]]&lt;35,"25-34",IF(Table1[[#This Row],[Age]]&lt;45,"35-44",IF(Table1[[#This Row],[Age]]&lt;55,"45-54","55+"))))</f>
        <v>25-34</v>
      </c>
      <c r="C15" s="3">
        <v>25</v>
      </c>
      <c r="D15" s="3" t="s">
        <v>7</v>
      </c>
      <c r="E15" s="3" t="s">
        <v>8</v>
      </c>
      <c r="F15" s="3" t="s">
        <v>9</v>
      </c>
      <c r="G15" s="3" t="s">
        <v>45</v>
      </c>
      <c r="H15" s="3" t="s">
        <v>11</v>
      </c>
      <c r="I15" s="3">
        <v>101320</v>
      </c>
      <c r="J15" s="3">
        <v>2</v>
      </c>
      <c r="K15" s="3">
        <v>2</v>
      </c>
      <c r="L15" s="3">
        <v>4</v>
      </c>
      <c r="M15" s="3">
        <v>2</v>
      </c>
      <c r="N15" s="3" t="s">
        <v>14</v>
      </c>
      <c r="O15" s="3" t="s">
        <v>13</v>
      </c>
      <c r="P15" s="3">
        <v>4</v>
      </c>
      <c r="Q15" s="3">
        <v>1</v>
      </c>
      <c r="R15" s="4" t="s">
        <v>14</v>
      </c>
      <c r="S15" s="4" t="s">
        <v>14</v>
      </c>
      <c r="T15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16" spans="1:33" ht="18" x14ac:dyDescent="0.35">
      <c r="A16" s="3" t="s">
        <v>46</v>
      </c>
      <c r="B16" s="3" t="str">
        <f>IF(Table1[[#This Row],[Age]]&lt;25,"Under 25",IF(Table1[[#This Row],[Age]]&lt;35,"25-34",IF(Table1[[#This Row],[Age]]&lt;45,"35-44",IF(Table1[[#This Row],[Age]]&lt;55,"45-54","55+"))))</f>
        <v>35-44</v>
      </c>
      <c r="C16" s="3">
        <v>37</v>
      </c>
      <c r="D16" s="3" t="s">
        <v>22</v>
      </c>
      <c r="E16" s="3" t="s">
        <v>16</v>
      </c>
      <c r="F16" s="3" t="s">
        <v>47</v>
      </c>
      <c r="G16" s="3" t="s">
        <v>10</v>
      </c>
      <c r="H16" s="3" t="s">
        <v>19</v>
      </c>
      <c r="I16" s="3">
        <v>66992</v>
      </c>
      <c r="J16" s="3">
        <v>3</v>
      </c>
      <c r="K16" s="3">
        <v>0</v>
      </c>
      <c r="L16" s="3">
        <v>3</v>
      </c>
      <c r="M16" s="3">
        <v>2</v>
      </c>
      <c r="N16" s="3" t="s">
        <v>14</v>
      </c>
      <c r="O16" s="3" t="s">
        <v>13</v>
      </c>
      <c r="P16" s="3">
        <v>3</v>
      </c>
      <c r="Q16" s="3">
        <v>2</v>
      </c>
      <c r="R16" s="4" t="s">
        <v>14</v>
      </c>
      <c r="S16" s="4" t="s">
        <v>14</v>
      </c>
      <c r="T16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17" spans="1:20" ht="18" x14ac:dyDescent="0.35">
      <c r="A17" s="3" t="s">
        <v>48</v>
      </c>
      <c r="B17" s="3" t="str">
        <f>IF(Table1[[#This Row],[Age]]&lt;25,"Under 25",IF(Table1[[#This Row],[Age]]&lt;35,"25-34",IF(Table1[[#This Row],[Age]]&lt;45,"35-44",IF(Table1[[#This Row],[Age]]&lt;55,"45-54","55+"))))</f>
        <v>25-34</v>
      </c>
      <c r="C17" s="3">
        <v>31</v>
      </c>
      <c r="D17" s="3" t="s">
        <v>7</v>
      </c>
      <c r="E17" s="3" t="s">
        <v>16</v>
      </c>
      <c r="F17" s="3" t="s">
        <v>17</v>
      </c>
      <c r="G17" s="3" t="s">
        <v>18</v>
      </c>
      <c r="H17" s="3" t="s">
        <v>11</v>
      </c>
      <c r="I17" s="3">
        <v>87060</v>
      </c>
      <c r="J17" s="3">
        <v>12</v>
      </c>
      <c r="K17" s="3">
        <v>12</v>
      </c>
      <c r="L17" s="3">
        <v>3</v>
      </c>
      <c r="M17" s="3">
        <v>4</v>
      </c>
      <c r="N17" s="3" t="s">
        <v>14</v>
      </c>
      <c r="O17" s="3" t="s">
        <v>20</v>
      </c>
      <c r="P17" s="3">
        <v>2</v>
      </c>
      <c r="Q17" s="3">
        <v>2</v>
      </c>
      <c r="R17" s="4" t="s">
        <v>14</v>
      </c>
      <c r="S17" s="4" t="s">
        <v>14</v>
      </c>
      <c r="T17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18" spans="1:20" ht="18" x14ac:dyDescent="0.35">
      <c r="A18" s="3" t="s">
        <v>49</v>
      </c>
      <c r="B18" s="3" t="str">
        <f>IF(Table1[[#This Row],[Age]]&lt;25,"Under 25",IF(Table1[[#This Row],[Age]]&lt;35,"25-34",IF(Table1[[#This Row],[Age]]&lt;45,"35-44",IF(Table1[[#This Row],[Age]]&lt;55,"45-54","55+"))))</f>
        <v>45-54</v>
      </c>
      <c r="C18" s="3">
        <v>50</v>
      </c>
      <c r="D18" s="3" t="s">
        <v>7</v>
      </c>
      <c r="E18" s="3" t="s">
        <v>38</v>
      </c>
      <c r="F18" s="3" t="s">
        <v>39</v>
      </c>
      <c r="G18" s="3" t="s">
        <v>25</v>
      </c>
      <c r="H18" s="3" t="s">
        <v>11</v>
      </c>
      <c r="I18" s="3">
        <v>58677</v>
      </c>
      <c r="J18" s="3">
        <v>4</v>
      </c>
      <c r="K18" s="3">
        <v>4</v>
      </c>
      <c r="L18" s="3">
        <v>3</v>
      </c>
      <c r="M18" s="3">
        <v>4</v>
      </c>
      <c r="N18" s="3" t="s">
        <v>14</v>
      </c>
      <c r="O18" s="3" t="s">
        <v>26</v>
      </c>
      <c r="P18" s="3">
        <v>3</v>
      </c>
      <c r="Q18" s="3">
        <v>1</v>
      </c>
      <c r="R18" s="4" t="s">
        <v>14</v>
      </c>
      <c r="S18" s="4" t="s">
        <v>14</v>
      </c>
      <c r="T18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19" spans="1:20" ht="18" x14ac:dyDescent="0.35">
      <c r="A19" s="3" t="s">
        <v>50</v>
      </c>
      <c r="B19" s="3" t="str">
        <f>IF(Table1[[#This Row],[Age]]&lt;25,"Under 25",IF(Table1[[#This Row],[Age]]&lt;35,"25-34",IF(Table1[[#This Row],[Age]]&lt;45,"35-44",IF(Table1[[#This Row],[Age]]&lt;55,"45-54","55+"))))</f>
        <v>25-34</v>
      </c>
      <c r="C19" s="3">
        <v>27</v>
      </c>
      <c r="D19" s="3" t="s">
        <v>22</v>
      </c>
      <c r="E19" s="3" t="s">
        <v>51</v>
      </c>
      <c r="F19" s="3" t="s">
        <v>52</v>
      </c>
      <c r="G19" s="3" t="s">
        <v>1245</v>
      </c>
      <c r="H19" s="3" t="s">
        <v>11</v>
      </c>
      <c r="I19" s="3">
        <v>26329</v>
      </c>
      <c r="J19" s="3">
        <v>4</v>
      </c>
      <c r="K19" s="3">
        <v>0</v>
      </c>
      <c r="L19" s="3">
        <v>3</v>
      </c>
      <c r="M19" s="3">
        <v>2</v>
      </c>
      <c r="N19" s="3" t="s">
        <v>14</v>
      </c>
      <c r="O19" s="3" t="s">
        <v>13</v>
      </c>
      <c r="P19" s="3">
        <v>3</v>
      </c>
      <c r="Q19" s="3">
        <v>4</v>
      </c>
      <c r="R19" s="4" t="s">
        <v>12</v>
      </c>
      <c r="S19" s="4" t="s">
        <v>14</v>
      </c>
      <c r="T19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20" spans="1:20" ht="18" x14ac:dyDescent="0.35">
      <c r="A20" s="3" t="s">
        <v>53</v>
      </c>
      <c r="B20" s="3" t="str">
        <f>IF(Table1[[#This Row],[Age]]&lt;25,"Under 25",IF(Table1[[#This Row],[Age]]&lt;35,"25-34",IF(Table1[[#This Row],[Age]]&lt;45,"35-44",IF(Table1[[#This Row],[Age]]&lt;55,"45-54","55+"))))</f>
        <v>25-34</v>
      </c>
      <c r="C20" s="3">
        <v>33</v>
      </c>
      <c r="D20" s="3" t="s">
        <v>22</v>
      </c>
      <c r="E20" s="3" t="s">
        <v>34</v>
      </c>
      <c r="F20" s="3" t="s">
        <v>54</v>
      </c>
      <c r="G20" s="3" t="s">
        <v>10</v>
      </c>
      <c r="H20" s="3" t="s">
        <v>11</v>
      </c>
      <c r="I20" s="3">
        <v>74564</v>
      </c>
      <c r="J20" s="3">
        <v>14</v>
      </c>
      <c r="K20" s="3">
        <v>11</v>
      </c>
      <c r="L20" s="3">
        <v>2</v>
      </c>
      <c r="M20" s="3">
        <v>2</v>
      </c>
      <c r="N20" s="3" t="s">
        <v>14</v>
      </c>
      <c r="O20" s="3" t="s">
        <v>26</v>
      </c>
      <c r="P20" s="3">
        <v>2</v>
      </c>
      <c r="Q20" s="3">
        <v>1</v>
      </c>
      <c r="R20" s="4" t="s">
        <v>12</v>
      </c>
      <c r="S20" s="4" t="s">
        <v>14</v>
      </c>
      <c r="T20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21" spans="1:20" ht="18" x14ac:dyDescent="0.35">
      <c r="A21" s="3" t="s">
        <v>55</v>
      </c>
      <c r="B21" s="3" t="str">
        <f>IF(Table1[[#This Row],[Age]]&lt;25,"Under 25",IF(Table1[[#This Row],[Age]]&lt;35,"25-34",IF(Table1[[#This Row],[Age]]&lt;45,"35-44",IF(Table1[[#This Row],[Age]]&lt;55,"45-54","55+"))))</f>
        <v>35-44</v>
      </c>
      <c r="C21" s="3">
        <v>35</v>
      </c>
      <c r="D21" s="3" t="s">
        <v>7</v>
      </c>
      <c r="E21" s="3" t="s">
        <v>34</v>
      </c>
      <c r="F21" s="3" t="s">
        <v>35</v>
      </c>
      <c r="G21" s="3" t="s">
        <v>18</v>
      </c>
      <c r="H21" s="3" t="s">
        <v>11</v>
      </c>
      <c r="I21" s="3">
        <v>71962</v>
      </c>
      <c r="J21" s="3">
        <v>9</v>
      </c>
      <c r="K21" s="3">
        <v>7</v>
      </c>
      <c r="L21" s="3">
        <v>2</v>
      </c>
      <c r="M21" s="3">
        <v>2</v>
      </c>
      <c r="N21" s="3" t="s">
        <v>14</v>
      </c>
      <c r="O21" s="3" t="s">
        <v>13</v>
      </c>
      <c r="P21" s="3">
        <v>3</v>
      </c>
      <c r="Q21" s="3">
        <v>5</v>
      </c>
      <c r="R21" s="4" t="s">
        <v>12</v>
      </c>
      <c r="S21" s="4" t="s">
        <v>14</v>
      </c>
      <c r="T21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22" spans="1:20" ht="18" x14ac:dyDescent="0.35">
      <c r="A22" s="3" t="s">
        <v>56</v>
      </c>
      <c r="B22" s="3" t="str">
        <f>IF(Table1[[#This Row],[Age]]&lt;25,"Under 25",IF(Table1[[#This Row],[Age]]&lt;35,"25-34",IF(Table1[[#This Row],[Age]]&lt;45,"35-44",IF(Table1[[#This Row],[Age]]&lt;55,"45-54","55+"))))</f>
        <v>35-44</v>
      </c>
      <c r="C22" s="3">
        <v>38</v>
      </c>
      <c r="D22" s="3" t="s">
        <v>7</v>
      </c>
      <c r="E22" s="3" t="s">
        <v>16</v>
      </c>
      <c r="F22" s="3" t="s">
        <v>17</v>
      </c>
      <c r="G22" s="3" t="s">
        <v>25</v>
      </c>
      <c r="H22" s="3" t="s">
        <v>11</v>
      </c>
      <c r="I22" s="3">
        <v>85403</v>
      </c>
      <c r="J22" s="3">
        <v>14</v>
      </c>
      <c r="K22" s="3">
        <v>1</v>
      </c>
      <c r="L22" s="3">
        <v>4</v>
      </c>
      <c r="M22" s="3">
        <v>4</v>
      </c>
      <c r="N22" s="3" t="s">
        <v>12</v>
      </c>
      <c r="O22" s="3" t="s">
        <v>13</v>
      </c>
      <c r="P22" s="3">
        <v>3</v>
      </c>
      <c r="Q22" s="3">
        <v>4</v>
      </c>
      <c r="R22" s="4" t="s">
        <v>12</v>
      </c>
      <c r="S22" s="4" t="s">
        <v>14</v>
      </c>
      <c r="T22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23" spans="1:20" ht="18" x14ac:dyDescent="0.35">
      <c r="A23" s="3" t="s">
        <v>57</v>
      </c>
      <c r="B23" s="3" t="str">
        <f>IF(Table1[[#This Row],[Age]]&lt;25,"Under 25",IF(Table1[[#This Row],[Age]]&lt;35,"25-34",IF(Table1[[#This Row],[Age]]&lt;45,"35-44",IF(Table1[[#This Row],[Age]]&lt;55,"45-54","55+"))))</f>
        <v>35-44</v>
      </c>
      <c r="C23" s="3">
        <v>36</v>
      </c>
      <c r="D23" s="3" t="s">
        <v>22</v>
      </c>
      <c r="E23" s="3" t="s">
        <v>31</v>
      </c>
      <c r="F23" s="3" t="s">
        <v>32</v>
      </c>
      <c r="G23" s="3" t="s">
        <v>25</v>
      </c>
      <c r="H23" s="3" t="s">
        <v>42</v>
      </c>
      <c r="I23" s="3">
        <v>56817</v>
      </c>
      <c r="J23" s="3">
        <v>7</v>
      </c>
      <c r="K23" s="3">
        <v>1</v>
      </c>
      <c r="L23" s="3">
        <v>3</v>
      </c>
      <c r="M23" s="3">
        <v>3</v>
      </c>
      <c r="N23" s="3" t="s">
        <v>14</v>
      </c>
      <c r="O23" s="3" t="s">
        <v>13</v>
      </c>
      <c r="P23" s="3">
        <v>3</v>
      </c>
      <c r="Q23" s="3">
        <v>1</v>
      </c>
      <c r="R23" s="4" t="s">
        <v>14</v>
      </c>
      <c r="S23" s="4" t="s">
        <v>14</v>
      </c>
      <c r="T23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24" spans="1:20" ht="18" x14ac:dyDescent="0.35">
      <c r="A24" s="3" t="s">
        <v>58</v>
      </c>
      <c r="B24" s="3" t="str">
        <f>IF(Table1[[#This Row],[Age]]&lt;25,"Under 25",IF(Table1[[#This Row],[Age]]&lt;35,"25-34",IF(Table1[[#This Row],[Age]]&lt;45,"35-44",IF(Table1[[#This Row],[Age]]&lt;55,"45-54","55+"))))</f>
        <v>45-54</v>
      </c>
      <c r="C24" s="3">
        <v>48</v>
      </c>
      <c r="D24" s="3" t="s">
        <v>22</v>
      </c>
      <c r="E24" s="3" t="s">
        <v>38</v>
      </c>
      <c r="F24" s="3" t="s">
        <v>59</v>
      </c>
      <c r="G24" s="3" t="s">
        <v>10</v>
      </c>
      <c r="H24" s="3" t="s">
        <v>11</v>
      </c>
      <c r="I24" s="3">
        <v>74659</v>
      </c>
      <c r="J24" s="3">
        <v>20</v>
      </c>
      <c r="K24" s="3">
        <v>4</v>
      </c>
      <c r="L24" s="3">
        <v>4</v>
      </c>
      <c r="M24" s="3">
        <v>3</v>
      </c>
      <c r="N24" s="3" t="s">
        <v>12</v>
      </c>
      <c r="O24" s="3" t="s">
        <v>13</v>
      </c>
      <c r="P24" s="3">
        <v>3</v>
      </c>
      <c r="Q24" s="3">
        <v>0</v>
      </c>
      <c r="R24" s="4" t="s">
        <v>14</v>
      </c>
      <c r="S24" s="4" t="s">
        <v>14</v>
      </c>
      <c r="T24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25" spans="1:20" ht="18" x14ac:dyDescent="0.35">
      <c r="A25" s="3" t="s">
        <v>60</v>
      </c>
      <c r="B25" s="3" t="str">
        <f>IF(Table1[[#This Row],[Age]]&lt;25,"Under 25",IF(Table1[[#This Row],[Age]]&lt;35,"25-34",IF(Table1[[#This Row],[Age]]&lt;45,"35-44",IF(Table1[[#This Row],[Age]]&lt;55,"45-54","55+"))))</f>
        <v>35-44</v>
      </c>
      <c r="C25" s="3">
        <v>41</v>
      </c>
      <c r="D25" s="3" t="s">
        <v>7</v>
      </c>
      <c r="E25" s="3" t="s">
        <v>16</v>
      </c>
      <c r="F25" s="3" t="s">
        <v>47</v>
      </c>
      <c r="G25" s="3" t="s">
        <v>25</v>
      </c>
      <c r="H25" s="3" t="s">
        <v>11</v>
      </c>
      <c r="I25" s="3">
        <v>81077</v>
      </c>
      <c r="J25" s="3">
        <v>14</v>
      </c>
      <c r="K25" s="3">
        <v>8</v>
      </c>
      <c r="L25" s="3">
        <v>4</v>
      </c>
      <c r="M25" s="3">
        <v>2</v>
      </c>
      <c r="N25" s="3" t="s">
        <v>12</v>
      </c>
      <c r="O25" s="3" t="s">
        <v>20</v>
      </c>
      <c r="P25" s="3">
        <v>3</v>
      </c>
      <c r="Q25" s="3">
        <v>5</v>
      </c>
      <c r="R25" s="4" t="s">
        <v>14</v>
      </c>
      <c r="S25" s="4" t="s">
        <v>14</v>
      </c>
      <c r="T25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26" spans="1:20" ht="18" x14ac:dyDescent="0.35">
      <c r="A26" s="3" t="s">
        <v>61</v>
      </c>
      <c r="B26" s="3" t="str">
        <f>IF(Table1[[#This Row],[Age]]&lt;25,"Under 25",IF(Table1[[#This Row],[Age]]&lt;35,"25-34",IF(Table1[[#This Row],[Age]]&lt;45,"35-44",IF(Table1[[#This Row],[Age]]&lt;55,"45-54","55+"))))</f>
        <v>35-44</v>
      </c>
      <c r="C26" s="3">
        <v>37</v>
      </c>
      <c r="D26" s="3" t="s">
        <v>7</v>
      </c>
      <c r="E26" s="3" t="s">
        <v>16</v>
      </c>
      <c r="F26" s="3" t="s">
        <v>47</v>
      </c>
      <c r="G26" s="3" t="s">
        <v>18</v>
      </c>
      <c r="H26" s="3" t="s">
        <v>19</v>
      </c>
      <c r="I26" s="3">
        <v>78392</v>
      </c>
      <c r="J26" s="3">
        <v>2</v>
      </c>
      <c r="K26" s="3">
        <v>1</v>
      </c>
      <c r="L26" s="3">
        <v>3</v>
      </c>
      <c r="M26" s="3">
        <v>3</v>
      </c>
      <c r="N26" s="3" t="s">
        <v>12</v>
      </c>
      <c r="O26" s="3" t="s">
        <v>20</v>
      </c>
      <c r="P26" s="3">
        <v>3</v>
      </c>
      <c r="Q26" s="3">
        <v>1</v>
      </c>
      <c r="R26" s="4" t="s">
        <v>14</v>
      </c>
      <c r="S26" s="4" t="s">
        <v>12</v>
      </c>
      <c r="T26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27" spans="1:20" ht="18" x14ac:dyDescent="0.35">
      <c r="A27" s="3" t="s">
        <v>62</v>
      </c>
      <c r="B27" s="3" t="str">
        <f>IF(Table1[[#This Row],[Age]]&lt;25,"Under 25",IF(Table1[[#This Row],[Age]]&lt;35,"25-34",IF(Table1[[#This Row],[Age]]&lt;45,"35-44",IF(Table1[[#This Row],[Age]]&lt;55,"45-54","55+"))))</f>
        <v>25-34</v>
      </c>
      <c r="C27" s="3">
        <v>30</v>
      </c>
      <c r="D27" s="3" t="s">
        <v>22</v>
      </c>
      <c r="E27" s="3" t="s">
        <v>8</v>
      </c>
      <c r="F27" s="3" t="s">
        <v>23</v>
      </c>
      <c r="G27" s="3" t="s">
        <v>25</v>
      </c>
      <c r="H27" s="3" t="s">
        <v>11</v>
      </c>
      <c r="I27" s="3">
        <v>88506</v>
      </c>
      <c r="J27" s="3">
        <v>5</v>
      </c>
      <c r="K27" s="3">
        <v>1</v>
      </c>
      <c r="L27" s="3">
        <v>4</v>
      </c>
      <c r="M27" s="3">
        <v>3</v>
      </c>
      <c r="N27" s="3" t="s">
        <v>14</v>
      </c>
      <c r="O27" s="3" t="s">
        <v>13</v>
      </c>
      <c r="P27" s="3">
        <v>3</v>
      </c>
      <c r="Q27" s="3">
        <v>4</v>
      </c>
      <c r="R27" s="4" t="s">
        <v>12</v>
      </c>
      <c r="S27" s="4" t="s">
        <v>14</v>
      </c>
      <c r="T27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28" spans="1:20" ht="18" x14ac:dyDescent="0.35">
      <c r="A28" s="3" t="s">
        <v>63</v>
      </c>
      <c r="B28" s="3" t="str">
        <f>IF(Table1[[#This Row],[Age]]&lt;25,"Under 25",IF(Table1[[#This Row],[Age]]&lt;35,"25-34",IF(Table1[[#This Row],[Age]]&lt;45,"35-44",IF(Table1[[#This Row],[Age]]&lt;55,"45-54","55+"))))</f>
        <v>25-34</v>
      </c>
      <c r="C28" s="3">
        <v>29</v>
      </c>
      <c r="D28" s="3" t="s">
        <v>22</v>
      </c>
      <c r="E28" s="3" t="s">
        <v>8</v>
      </c>
      <c r="F28" s="3" t="s">
        <v>23</v>
      </c>
      <c r="G28" s="3" t="s">
        <v>18</v>
      </c>
      <c r="H28" s="3" t="s">
        <v>11</v>
      </c>
      <c r="I28" s="3">
        <v>69450</v>
      </c>
      <c r="J28" s="3">
        <v>11</v>
      </c>
      <c r="K28" s="3">
        <v>11</v>
      </c>
      <c r="L28" s="3">
        <v>3</v>
      </c>
      <c r="M28" s="3">
        <v>3</v>
      </c>
      <c r="N28" s="3" t="s">
        <v>12</v>
      </c>
      <c r="O28" s="3" t="s">
        <v>13</v>
      </c>
      <c r="P28" s="3">
        <v>4</v>
      </c>
      <c r="Q28" s="3">
        <v>2</v>
      </c>
      <c r="R28" s="4" t="s">
        <v>14</v>
      </c>
      <c r="S28" s="4" t="s">
        <v>14</v>
      </c>
      <c r="T28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29" spans="1:20" ht="18" x14ac:dyDescent="0.35">
      <c r="A29" s="3" t="s">
        <v>64</v>
      </c>
      <c r="B29" s="3" t="str">
        <f>IF(Table1[[#This Row],[Age]]&lt;25,"Under 25",IF(Table1[[#This Row],[Age]]&lt;35,"25-34",IF(Table1[[#This Row],[Age]]&lt;45,"35-44",IF(Table1[[#This Row],[Age]]&lt;55,"45-54","55+"))))</f>
        <v>45-54</v>
      </c>
      <c r="C29" s="3">
        <v>45</v>
      </c>
      <c r="D29" s="3" t="s">
        <v>7</v>
      </c>
      <c r="E29" s="3" t="s">
        <v>8</v>
      </c>
      <c r="F29" s="3" t="s">
        <v>9</v>
      </c>
      <c r="G29" s="3" t="s">
        <v>10</v>
      </c>
      <c r="H29" s="3" t="s">
        <v>19</v>
      </c>
      <c r="I29" s="3">
        <v>29750</v>
      </c>
      <c r="J29" s="3">
        <v>0</v>
      </c>
      <c r="K29" s="3">
        <v>0</v>
      </c>
      <c r="L29" s="3">
        <v>2</v>
      </c>
      <c r="M29" s="3">
        <v>3</v>
      </c>
      <c r="N29" s="3" t="s">
        <v>14</v>
      </c>
      <c r="O29" s="3" t="s">
        <v>13</v>
      </c>
      <c r="P29" s="3">
        <v>4</v>
      </c>
      <c r="Q29" s="3">
        <v>5</v>
      </c>
      <c r="R29" s="4" t="s">
        <v>12</v>
      </c>
      <c r="S29" s="4" t="s">
        <v>14</v>
      </c>
      <c r="T29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Less than 1 Year</v>
      </c>
    </row>
    <row r="30" spans="1:20" ht="18" x14ac:dyDescent="0.35">
      <c r="A30" s="3" t="s">
        <v>65</v>
      </c>
      <c r="B30" s="3" t="str">
        <f>IF(Table1[[#This Row],[Age]]&lt;25,"Under 25",IF(Table1[[#This Row],[Age]]&lt;35,"25-34",IF(Table1[[#This Row],[Age]]&lt;45,"35-44",IF(Table1[[#This Row],[Age]]&lt;55,"45-54","55+"))))</f>
        <v>35-44</v>
      </c>
      <c r="C30" s="3">
        <v>36</v>
      </c>
      <c r="D30" s="3" t="s">
        <v>7</v>
      </c>
      <c r="E30" s="3" t="s">
        <v>8</v>
      </c>
      <c r="F30" s="3" t="s">
        <v>66</v>
      </c>
      <c r="G30" s="3" t="s">
        <v>18</v>
      </c>
      <c r="H30" s="3" t="s">
        <v>19</v>
      </c>
      <c r="I30" s="3">
        <v>70042</v>
      </c>
      <c r="J30" s="3">
        <v>2</v>
      </c>
      <c r="K30" s="3">
        <v>1</v>
      </c>
      <c r="L30" s="3">
        <v>1</v>
      </c>
      <c r="M30" s="3">
        <v>2</v>
      </c>
      <c r="N30" s="3" t="s">
        <v>14</v>
      </c>
      <c r="O30" s="3" t="s">
        <v>13</v>
      </c>
      <c r="P30" s="3">
        <v>3</v>
      </c>
      <c r="Q30" s="3">
        <v>0</v>
      </c>
      <c r="R30" s="4" t="s">
        <v>14</v>
      </c>
      <c r="S30" s="4" t="s">
        <v>14</v>
      </c>
      <c r="T30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31" spans="1:20" ht="18" x14ac:dyDescent="0.35">
      <c r="A31" s="3" t="s">
        <v>67</v>
      </c>
      <c r="B31" s="3" t="str">
        <f>IF(Table1[[#This Row],[Age]]&lt;25,"Under 25",IF(Table1[[#This Row],[Age]]&lt;35,"25-34",IF(Table1[[#This Row],[Age]]&lt;45,"35-44",IF(Table1[[#This Row],[Age]]&lt;55,"45-54","55+"))))</f>
        <v>Under 25</v>
      </c>
      <c r="C31" s="3">
        <v>24</v>
      </c>
      <c r="D31" s="3" t="s">
        <v>7</v>
      </c>
      <c r="E31" s="3" t="s">
        <v>51</v>
      </c>
      <c r="F31" s="3" t="s">
        <v>52</v>
      </c>
      <c r="G31" s="3" t="s">
        <v>18</v>
      </c>
      <c r="H31" s="3" t="s">
        <v>11</v>
      </c>
      <c r="I31" s="3">
        <v>22000</v>
      </c>
      <c r="J31" s="3">
        <v>6</v>
      </c>
      <c r="K31" s="3">
        <v>1</v>
      </c>
      <c r="L31" s="3">
        <v>1</v>
      </c>
      <c r="M31" s="3">
        <v>4</v>
      </c>
      <c r="N31" s="3" t="s">
        <v>12</v>
      </c>
      <c r="O31" s="3" t="s">
        <v>13</v>
      </c>
      <c r="P31" s="3">
        <v>3</v>
      </c>
      <c r="Q31" s="3">
        <v>5</v>
      </c>
      <c r="R31" s="4" t="s">
        <v>12</v>
      </c>
      <c r="S31" s="4" t="s">
        <v>14</v>
      </c>
      <c r="T31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32" spans="1:20" ht="18" x14ac:dyDescent="0.35">
      <c r="A32" s="3" t="s">
        <v>68</v>
      </c>
      <c r="B32" s="3" t="str">
        <f>IF(Table1[[#This Row],[Age]]&lt;25,"Under 25",IF(Table1[[#This Row],[Age]]&lt;35,"25-34",IF(Table1[[#This Row],[Age]]&lt;45,"35-44",IF(Table1[[#This Row],[Age]]&lt;55,"45-54","55+"))))</f>
        <v>25-34</v>
      </c>
      <c r="C32" s="3">
        <v>28</v>
      </c>
      <c r="D32" s="3" t="s">
        <v>22</v>
      </c>
      <c r="E32" s="3" t="s">
        <v>8</v>
      </c>
      <c r="F32" s="3" t="s">
        <v>9</v>
      </c>
      <c r="G32" s="3" t="s">
        <v>10</v>
      </c>
      <c r="H32" s="3" t="s">
        <v>11</v>
      </c>
      <c r="I32" s="3">
        <v>32428</v>
      </c>
      <c r="J32" s="3">
        <v>6</v>
      </c>
      <c r="K32" s="3">
        <v>3</v>
      </c>
      <c r="L32" s="3">
        <v>2</v>
      </c>
      <c r="M32" s="3">
        <v>2</v>
      </c>
      <c r="N32" s="3" t="s">
        <v>14</v>
      </c>
      <c r="O32" s="3" t="s">
        <v>20</v>
      </c>
      <c r="P32" s="3">
        <v>3</v>
      </c>
      <c r="Q32" s="3">
        <v>1</v>
      </c>
      <c r="R32" s="4" t="s">
        <v>12</v>
      </c>
      <c r="S32" s="4" t="s">
        <v>14</v>
      </c>
      <c r="T32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33" spans="1:20" ht="18" x14ac:dyDescent="0.35">
      <c r="A33" s="3" t="s">
        <v>69</v>
      </c>
      <c r="B33" s="3" t="str">
        <f>IF(Table1[[#This Row],[Age]]&lt;25,"Under 25",IF(Table1[[#This Row],[Age]]&lt;35,"25-34",IF(Table1[[#This Row],[Age]]&lt;45,"35-44",IF(Table1[[#This Row],[Age]]&lt;55,"45-54","55+"))))</f>
        <v>25-34</v>
      </c>
      <c r="C33" s="3">
        <v>30</v>
      </c>
      <c r="D33" s="3" t="s">
        <v>7</v>
      </c>
      <c r="E33" s="3" t="s">
        <v>16</v>
      </c>
      <c r="F33" s="3" t="s">
        <v>28</v>
      </c>
      <c r="G33" s="3" t="s">
        <v>10</v>
      </c>
      <c r="H33" s="3" t="s">
        <v>11</v>
      </c>
      <c r="I33" s="3">
        <v>41465</v>
      </c>
      <c r="J33" s="3">
        <v>10</v>
      </c>
      <c r="K33" s="3">
        <v>2</v>
      </c>
      <c r="L33" s="3">
        <v>3</v>
      </c>
      <c r="M33" s="3">
        <v>4</v>
      </c>
      <c r="N33" s="3" t="s">
        <v>14</v>
      </c>
      <c r="O33" s="3" t="s">
        <v>13</v>
      </c>
      <c r="P33" s="3">
        <v>3</v>
      </c>
      <c r="Q33" s="3">
        <v>1</v>
      </c>
      <c r="R33" s="4" t="s">
        <v>14</v>
      </c>
      <c r="S33" s="4" t="s">
        <v>14</v>
      </c>
      <c r="T33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34" spans="1:20" ht="18" x14ac:dyDescent="0.35">
      <c r="A34" s="3" t="s">
        <v>70</v>
      </c>
      <c r="B34" s="3" t="str">
        <f>IF(Table1[[#This Row],[Age]]&lt;25,"Under 25",IF(Table1[[#This Row],[Age]]&lt;35,"25-34",IF(Table1[[#This Row],[Age]]&lt;45,"35-44",IF(Table1[[#This Row],[Age]]&lt;55,"45-54","55+"))))</f>
        <v>25-34</v>
      </c>
      <c r="C34" s="3">
        <v>33</v>
      </c>
      <c r="D34" s="3" t="s">
        <v>7</v>
      </c>
      <c r="E34" s="3" t="s">
        <v>38</v>
      </c>
      <c r="F34" s="3" t="s">
        <v>39</v>
      </c>
      <c r="G34" s="3" t="s">
        <v>25</v>
      </c>
      <c r="H34" s="3" t="s">
        <v>19</v>
      </c>
      <c r="I34" s="3">
        <v>107922</v>
      </c>
      <c r="J34" s="3">
        <v>2</v>
      </c>
      <c r="K34" s="3">
        <v>2</v>
      </c>
      <c r="L34" s="3">
        <v>1</v>
      </c>
      <c r="M34" s="3">
        <v>2</v>
      </c>
      <c r="N34" s="3" t="s">
        <v>14</v>
      </c>
      <c r="O34" s="3" t="s">
        <v>13</v>
      </c>
      <c r="P34" s="3">
        <v>3</v>
      </c>
      <c r="Q34" s="3">
        <v>2</v>
      </c>
      <c r="R34" s="4" t="s">
        <v>14</v>
      </c>
      <c r="S34" s="4" t="s">
        <v>14</v>
      </c>
      <c r="T34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35" spans="1:20" ht="18" x14ac:dyDescent="0.35">
      <c r="A35" s="3" t="s">
        <v>71</v>
      </c>
      <c r="B35" s="3" t="str">
        <f>IF(Table1[[#This Row],[Age]]&lt;25,"Under 25",IF(Table1[[#This Row],[Age]]&lt;35,"25-34",IF(Table1[[#This Row],[Age]]&lt;45,"35-44",IF(Table1[[#This Row],[Age]]&lt;55,"45-54","55+"))))</f>
        <v>25-34</v>
      </c>
      <c r="C35" s="3">
        <v>26</v>
      </c>
      <c r="D35" s="3" t="s">
        <v>7</v>
      </c>
      <c r="E35" s="3" t="s">
        <v>51</v>
      </c>
      <c r="F35" s="3" t="s">
        <v>72</v>
      </c>
      <c r="G35" s="3" t="s">
        <v>10</v>
      </c>
      <c r="H35" s="3" t="s">
        <v>11</v>
      </c>
      <c r="I35" s="3">
        <v>58549</v>
      </c>
      <c r="J35" s="3">
        <v>8</v>
      </c>
      <c r="K35" s="3">
        <v>0</v>
      </c>
      <c r="L35" s="3">
        <v>3</v>
      </c>
      <c r="M35" s="3">
        <v>2</v>
      </c>
      <c r="N35" s="3" t="s">
        <v>14</v>
      </c>
      <c r="O35" s="3" t="s">
        <v>13</v>
      </c>
      <c r="P35" s="3">
        <v>3</v>
      </c>
      <c r="Q35" s="3">
        <v>3</v>
      </c>
      <c r="R35" s="4" t="s">
        <v>14</v>
      </c>
      <c r="S35" s="4" t="s">
        <v>14</v>
      </c>
      <c r="T35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36" spans="1:20" ht="18" x14ac:dyDescent="0.35">
      <c r="A36" s="3" t="s">
        <v>73</v>
      </c>
      <c r="B36" s="3" t="str">
        <f>IF(Table1[[#This Row],[Age]]&lt;25,"Under 25",IF(Table1[[#This Row],[Age]]&lt;35,"25-34",IF(Table1[[#This Row],[Age]]&lt;45,"35-44",IF(Table1[[#This Row],[Age]]&lt;55,"45-54","55+"))))</f>
        <v>55+</v>
      </c>
      <c r="C36" s="3">
        <v>55</v>
      </c>
      <c r="D36" s="3" t="s">
        <v>22</v>
      </c>
      <c r="E36" s="3" t="s">
        <v>31</v>
      </c>
      <c r="F36" s="3" t="s">
        <v>74</v>
      </c>
      <c r="G36" s="3" t="s">
        <v>18</v>
      </c>
      <c r="H36" s="3" t="s">
        <v>19</v>
      </c>
      <c r="I36" s="3">
        <v>96530</v>
      </c>
      <c r="J36" s="3">
        <v>16</v>
      </c>
      <c r="K36" s="3">
        <v>12</v>
      </c>
      <c r="L36" s="3">
        <v>4</v>
      </c>
      <c r="M36" s="3">
        <v>4</v>
      </c>
      <c r="N36" s="3" t="s">
        <v>14</v>
      </c>
      <c r="O36" s="3" t="s">
        <v>13</v>
      </c>
      <c r="P36" s="3">
        <v>3</v>
      </c>
      <c r="Q36" s="3">
        <v>3</v>
      </c>
      <c r="R36" s="4" t="s">
        <v>14</v>
      </c>
      <c r="S36" s="4" t="s">
        <v>14</v>
      </c>
      <c r="T36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37" spans="1:20" ht="18" x14ac:dyDescent="0.35">
      <c r="A37" s="3" t="s">
        <v>75</v>
      </c>
      <c r="B37" s="3" t="str">
        <f>IF(Table1[[#This Row],[Age]]&lt;25,"Under 25",IF(Table1[[#This Row],[Age]]&lt;35,"25-34",IF(Table1[[#This Row],[Age]]&lt;45,"35-44",IF(Table1[[#This Row],[Age]]&lt;55,"45-54","55+"))))</f>
        <v>35-44</v>
      </c>
      <c r="C37" s="3">
        <v>37</v>
      </c>
      <c r="D37" s="3" t="s">
        <v>7</v>
      </c>
      <c r="E37" s="3" t="s">
        <v>8</v>
      </c>
      <c r="F37" s="3" t="s">
        <v>9</v>
      </c>
      <c r="G37" s="3" t="s">
        <v>25</v>
      </c>
      <c r="H37" s="3" t="s">
        <v>19</v>
      </c>
      <c r="I37" s="3">
        <v>74987</v>
      </c>
      <c r="J37" s="3">
        <v>1</v>
      </c>
      <c r="K37" s="3">
        <v>0</v>
      </c>
      <c r="L37" s="3">
        <v>2</v>
      </c>
      <c r="M37" s="3">
        <v>2</v>
      </c>
      <c r="N37" s="3" t="s">
        <v>12</v>
      </c>
      <c r="O37" s="3" t="s">
        <v>26</v>
      </c>
      <c r="P37" s="3">
        <v>3</v>
      </c>
      <c r="Q37" s="3">
        <v>4</v>
      </c>
      <c r="R37" s="4" t="s">
        <v>14</v>
      </c>
      <c r="S37" s="4" t="s">
        <v>12</v>
      </c>
      <c r="T37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38" spans="1:20" ht="18" x14ac:dyDescent="0.35">
      <c r="A38" s="3" t="s">
        <v>76</v>
      </c>
      <c r="B38" s="3" t="str">
        <f>IF(Table1[[#This Row],[Age]]&lt;25,"Under 25",IF(Table1[[#This Row],[Age]]&lt;35,"25-34",IF(Table1[[#This Row],[Age]]&lt;45,"35-44",IF(Table1[[#This Row],[Age]]&lt;55,"45-54","55+"))))</f>
        <v>45-54</v>
      </c>
      <c r="C38" s="3">
        <v>54</v>
      </c>
      <c r="D38" s="3" t="s">
        <v>22</v>
      </c>
      <c r="E38" s="3" t="s">
        <v>34</v>
      </c>
      <c r="F38" s="3" t="s">
        <v>54</v>
      </c>
      <c r="G38" s="3" t="s">
        <v>18</v>
      </c>
      <c r="H38" s="3" t="s">
        <v>11</v>
      </c>
      <c r="I38" s="3">
        <v>52689</v>
      </c>
      <c r="J38" s="3">
        <v>24</v>
      </c>
      <c r="K38" s="3">
        <v>5</v>
      </c>
      <c r="L38" s="3">
        <v>3</v>
      </c>
      <c r="M38" s="3">
        <v>3</v>
      </c>
      <c r="N38" s="3" t="s">
        <v>14</v>
      </c>
      <c r="O38" s="3" t="s">
        <v>13</v>
      </c>
      <c r="P38" s="3">
        <v>2</v>
      </c>
      <c r="Q38" s="3">
        <v>5</v>
      </c>
      <c r="R38" s="4" t="s">
        <v>14</v>
      </c>
      <c r="S38" s="4" t="s">
        <v>14</v>
      </c>
      <c r="T38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39" spans="1:20" ht="18" x14ac:dyDescent="0.35">
      <c r="A39" s="3" t="s">
        <v>77</v>
      </c>
      <c r="B39" s="3" t="str">
        <f>IF(Table1[[#This Row],[Age]]&lt;25,"Under 25",IF(Table1[[#This Row],[Age]]&lt;35,"25-34",IF(Table1[[#This Row],[Age]]&lt;45,"35-44",IF(Table1[[#This Row],[Age]]&lt;55,"45-54","55+"))))</f>
        <v>25-34</v>
      </c>
      <c r="C39" s="3">
        <v>27</v>
      </c>
      <c r="D39" s="3" t="s">
        <v>22</v>
      </c>
      <c r="E39" s="3" t="s">
        <v>38</v>
      </c>
      <c r="F39" s="3" t="s">
        <v>39</v>
      </c>
      <c r="G39" s="3" t="s">
        <v>25</v>
      </c>
      <c r="H39" s="3" t="s">
        <v>42</v>
      </c>
      <c r="I39" s="3">
        <v>94387</v>
      </c>
      <c r="J39" s="3">
        <v>2</v>
      </c>
      <c r="K39" s="3">
        <v>2</v>
      </c>
      <c r="L39" s="3">
        <v>2</v>
      </c>
      <c r="M39" s="3">
        <v>3</v>
      </c>
      <c r="N39" s="3" t="s">
        <v>14</v>
      </c>
      <c r="O39" s="3" t="s">
        <v>26</v>
      </c>
      <c r="P39" s="3">
        <v>3</v>
      </c>
      <c r="Q39" s="3">
        <v>0</v>
      </c>
      <c r="R39" s="4" t="s">
        <v>14</v>
      </c>
      <c r="S39" s="4" t="s">
        <v>14</v>
      </c>
      <c r="T39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40" spans="1:20" ht="18" x14ac:dyDescent="0.35">
      <c r="A40" s="3" t="s">
        <v>78</v>
      </c>
      <c r="B40" s="3" t="str">
        <f>IF(Table1[[#This Row],[Age]]&lt;25,"Under 25",IF(Table1[[#This Row],[Age]]&lt;35,"25-34",IF(Table1[[#This Row],[Age]]&lt;45,"35-44",IF(Table1[[#This Row],[Age]]&lt;55,"45-54","55+"))))</f>
        <v>35-44</v>
      </c>
      <c r="C40" s="3">
        <v>40</v>
      </c>
      <c r="D40" s="3" t="s">
        <v>7</v>
      </c>
      <c r="E40" s="3" t="s">
        <v>16</v>
      </c>
      <c r="F40" s="3" t="s">
        <v>17</v>
      </c>
      <c r="G40" s="3" t="s">
        <v>18</v>
      </c>
      <c r="H40" s="3" t="s">
        <v>19</v>
      </c>
      <c r="I40" s="3">
        <v>90251</v>
      </c>
      <c r="J40" s="3">
        <v>5</v>
      </c>
      <c r="K40" s="3">
        <v>1</v>
      </c>
      <c r="L40" s="3">
        <v>3</v>
      </c>
      <c r="M40" s="3">
        <v>1</v>
      </c>
      <c r="N40" s="3" t="s">
        <v>14</v>
      </c>
      <c r="O40" s="3" t="s">
        <v>20</v>
      </c>
      <c r="P40" s="3">
        <v>3</v>
      </c>
      <c r="Q40" s="3">
        <v>3</v>
      </c>
      <c r="R40" s="4" t="s">
        <v>14</v>
      </c>
      <c r="S40" s="4" t="s">
        <v>14</v>
      </c>
      <c r="T40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41" spans="1:20" ht="18" x14ac:dyDescent="0.35">
      <c r="A41" s="3" t="s">
        <v>79</v>
      </c>
      <c r="B41" s="3" t="str">
        <f>IF(Table1[[#This Row],[Age]]&lt;25,"Under 25",IF(Table1[[#This Row],[Age]]&lt;35,"25-34",IF(Table1[[#This Row],[Age]]&lt;45,"35-44",IF(Table1[[#This Row],[Age]]&lt;55,"45-54","55+"))))</f>
        <v>35-44</v>
      </c>
      <c r="C41" s="3">
        <v>40</v>
      </c>
      <c r="D41" s="3" t="s">
        <v>7</v>
      </c>
      <c r="E41" s="3" t="s">
        <v>51</v>
      </c>
      <c r="F41" s="3" t="s">
        <v>80</v>
      </c>
      <c r="G41" s="3" t="s">
        <v>25</v>
      </c>
      <c r="H41" s="3" t="s">
        <v>19</v>
      </c>
      <c r="I41" s="3">
        <v>70081</v>
      </c>
      <c r="J41" s="3">
        <v>21</v>
      </c>
      <c r="K41" s="3">
        <v>10</v>
      </c>
      <c r="L41" s="3">
        <v>4</v>
      </c>
      <c r="M41" s="3">
        <v>4</v>
      </c>
      <c r="N41" s="3" t="s">
        <v>14</v>
      </c>
      <c r="O41" s="3" t="s">
        <v>20</v>
      </c>
      <c r="P41" s="3">
        <v>3</v>
      </c>
      <c r="Q41" s="3">
        <v>0</v>
      </c>
      <c r="R41" s="4" t="s">
        <v>14</v>
      </c>
      <c r="S41" s="4" t="s">
        <v>14</v>
      </c>
      <c r="T41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42" spans="1:20" ht="18" x14ac:dyDescent="0.35">
      <c r="A42" s="3" t="s">
        <v>81</v>
      </c>
      <c r="B42" s="3" t="str">
        <f>IF(Table1[[#This Row],[Age]]&lt;25,"Under 25",IF(Table1[[#This Row],[Age]]&lt;35,"25-34",IF(Table1[[#This Row],[Age]]&lt;45,"35-44",IF(Table1[[#This Row],[Age]]&lt;55,"45-54","55+"))))</f>
        <v>35-44</v>
      </c>
      <c r="C42" s="3">
        <v>35</v>
      </c>
      <c r="D42" s="3" t="s">
        <v>22</v>
      </c>
      <c r="E42" s="3" t="s">
        <v>34</v>
      </c>
      <c r="F42" s="3" t="s">
        <v>35</v>
      </c>
      <c r="G42" s="3" t="s">
        <v>10</v>
      </c>
      <c r="H42" s="3" t="s">
        <v>11</v>
      </c>
      <c r="I42" s="3">
        <v>84804</v>
      </c>
      <c r="J42" s="3">
        <v>16</v>
      </c>
      <c r="K42" s="3">
        <v>5</v>
      </c>
      <c r="L42" s="3">
        <v>2</v>
      </c>
      <c r="M42" s="3">
        <v>1</v>
      </c>
      <c r="N42" s="3" t="s">
        <v>12</v>
      </c>
      <c r="O42" s="3" t="s">
        <v>13</v>
      </c>
      <c r="P42" s="3">
        <v>3</v>
      </c>
      <c r="Q42" s="3">
        <v>1</v>
      </c>
      <c r="R42" s="4" t="s">
        <v>14</v>
      </c>
      <c r="S42" s="4" t="s">
        <v>12</v>
      </c>
      <c r="T42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43" spans="1:20" ht="18" x14ac:dyDescent="0.35">
      <c r="A43" s="3" t="s">
        <v>82</v>
      </c>
      <c r="B43" s="3" t="str">
        <f>IF(Table1[[#This Row],[Age]]&lt;25,"Under 25",IF(Table1[[#This Row],[Age]]&lt;35,"25-34",IF(Table1[[#This Row],[Age]]&lt;45,"35-44",IF(Table1[[#This Row],[Age]]&lt;55,"45-54","55+"))))</f>
        <v>45-54</v>
      </c>
      <c r="C43" s="3">
        <v>45</v>
      </c>
      <c r="D43" s="3" t="s">
        <v>22</v>
      </c>
      <c r="E43" s="3" t="s">
        <v>38</v>
      </c>
      <c r="F43" s="3" t="s">
        <v>39</v>
      </c>
      <c r="G43" s="3" t="s">
        <v>25</v>
      </c>
      <c r="H43" s="3" t="s">
        <v>11</v>
      </c>
      <c r="I43" s="3">
        <v>59444</v>
      </c>
      <c r="J43" s="3">
        <v>22</v>
      </c>
      <c r="K43" s="3">
        <v>6</v>
      </c>
      <c r="L43" s="3">
        <v>4</v>
      </c>
      <c r="M43" s="3">
        <v>3</v>
      </c>
      <c r="N43" s="3" t="s">
        <v>12</v>
      </c>
      <c r="O43" s="3" t="s">
        <v>20</v>
      </c>
      <c r="P43" s="3">
        <v>4</v>
      </c>
      <c r="Q43" s="3">
        <v>0</v>
      </c>
      <c r="R43" s="4" t="s">
        <v>14</v>
      </c>
      <c r="S43" s="4" t="s">
        <v>14</v>
      </c>
      <c r="T43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44" spans="1:20" ht="18" x14ac:dyDescent="0.35">
      <c r="A44" s="3" t="s">
        <v>83</v>
      </c>
      <c r="B44" s="3" t="str">
        <f>IF(Table1[[#This Row],[Age]]&lt;25,"Under 25",IF(Table1[[#This Row],[Age]]&lt;35,"25-34",IF(Table1[[#This Row],[Age]]&lt;45,"35-44",IF(Table1[[#This Row],[Age]]&lt;55,"45-54","55+"))))</f>
        <v>35-44</v>
      </c>
      <c r="C44" s="3">
        <v>36</v>
      </c>
      <c r="D44" s="3" t="s">
        <v>22</v>
      </c>
      <c r="E44" s="3" t="s">
        <v>38</v>
      </c>
      <c r="F44" s="3" t="s">
        <v>39</v>
      </c>
      <c r="G44" s="3" t="s">
        <v>18</v>
      </c>
      <c r="H44" s="3" t="s">
        <v>11</v>
      </c>
      <c r="I44" s="3">
        <v>28661</v>
      </c>
      <c r="J44" s="3">
        <v>18</v>
      </c>
      <c r="K44" s="3">
        <v>10</v>
      </c>
      <c r="L44" s="3">
        <v>1</v>
      </c>
      <c r="M44" s="3">
        <v>4</v>
      </c>
      <c r="N44" s="3" t="s">
        <v>14</v>
      </c>
      <c r="O44" s="3" t="s">
        <v>20</v>
      </c>
      <c r="P44" s="3">
        <v>3</v>
      </c>
      <c r="Q44" s="3">
        <v>5</v>
      </c>
      <c r="R44" s="4" t="s">
        <v>14</v>
      </c>
      <c r="S44" s="4" t="s">
        <v>14</v>
      </c>
      <c r="T44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45" spans="1:20" ht="18" x14ac:dyDescent="0.35">
      <c r="A45" s="3" t="s">
        <v>84</v>
      </c>
      <c r="B45" s="3" t="str">
        <f>IF(Table1[[#This Row],[Age]]&lt;25,"Under 25",IF(Table1[[#This Row],[Age]]&lt;35,"25-34",IF(Table1[[#This Row],[Age]]&lt;45,"35-44",IF(Table1[[#This Row],[Age]]&lt;55,"45-54","55+"))))</f>
        <v>35-44</v>
      </c>
      <c r="C45" s="3">
        <v>39</v>
      </c>
      <c r="D45" s="3" t="s">
        <v>7</v>
      </c>
      <c r="E45" s="3" t="s">
        <v>8</v>
      </c>
      <c r="F45" s="3" t="s">
        <v>23</v>
      </c>
      <c r="G45" s="3" t="s">
        <v>10</v>
      </c>
      <c r="H45" s="3" t="s">
        <v>19</v>
      </c>
      <c r="I45" s="3">
        <v>74858</v>
      </c>
      <c r="J45" s="3">
        <v>9</v>
      </c>
      <c r="K45" s="3">
        <v>8</v>
      </c>
      <c r="L45" s="3">
        <v>3</v>
      </c>
      <c r="M45" s="3">
        <v>1</v>
      </c>
      <c r="N45" s="3" t="s">
        <v>14</v>
      </c>
      <c r="O45" s="3" t="s">
        <v>13</v>
      </c>
      <c r="P45" s="3">
        <v>3</v>
      </c>
      <c r="Q45" s="3">
        <v>4</v>
      </c>
      <c r="R45" s="4" t="s">
        <v>14</v>
      </c>
      <c r="S45" s="4" t="s">
        <v>14</v>
      </c>
      <c r="T45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46" spans="1:20" ht="18" x14ac:dyDescent="0.35">
      <c r="A46" s="3" t="s">
        <v>85</v>
      </c>
      <c r="B46" s="3" t="str">
        <f>IF(Table1[[#This Row],[Age]]&lt;25,"Under 25",IF(Table1[[#This Row],[Age]]&lt;35,"25-34",IF(Table1[[#This Row],[Age]]&lt;45,"35-44",IF(Table1[[#This Row],[Age]]&lt;55,"45-54","55+"))))</f>
        <v>25-34</v>
      </c>
      <c r="C46" s="3">
        <v>31</v>
      </c>
      <c r="D46" s="3" t="s">
        <v>7</v>
      </c>
      <c r="E46" s="3" t="s">
        <v>16</v>
      </c>
      <c r="F46" s="3" t="s">
        <v>28</v>
      </c>
      <c r="G46" s="3" t="s">
        <v>10</v>
      </c>
      <c r="H46" s="3" t="s">
        <v>19</v>
      </c>
      <c r="I46" s="3">
        <v>70916</v>
      </c>
      <c r="J46" s="3">
        <v>8</v>
      </c>
      <c r="K46" s="3">
        <v>3</v>
      </c>
      <c r="L46" s="3">
        <v>3</v>
      </c>
      <c r="M46" s="3">
        <v>1</v>
      </c>
      <c r="N46" s="3" t="s">
        <v>14</v>
      </c>
      <c r="O46" s="3" t="s">
        <v>20</v>
      </c>
      <c r="P46" s="3">
        <v>3</v>
      </c>
      <c r="Q46" s="3">
        <v>0</v>
      </c>
      <c r="R46" s="4" t="s">
        <v>14</v>
      </c>
      <c r="S46" s="4" t="s">
        <v>14</v>
      </c>
      <c r="T46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47" spans="1:20" ht="18" x14ac:dyDescent="0.35">
      <c r="A47" s="3" t="s">
        <v>86</v>
      </c>
      <c r="B47" s="3" t="str">
        <f>IF(Table1[[#This Row],[Age]]&lt;25,"Under 25",IF(Table1[[#This Row],[Age]]&lt;35,"25-34",IF(Table1[[#This Row],[Age]]&lt;45,"35-44",IF(Table1[[#This Row],[Age]]&lt;55,"45-54","55+"))))</f>
        <v>25-34</v>
      </c>
      <c r="C47" s="3">
        <v>32</v>
      </c>
      <c r="D47" s="3" t="s">
        <v>7</v>
      </c>
      <c r="E47" s="3" t="s">
        <v>51</v>
      </c>
      <c r="F47" s="3" t="s">
        <v>72</v>
      </c>
      <c r="G47" s="3" t="s">
        <v>18</v>
      </c>
      <c r="H47" s="3" t="s">
        <v>11</v>
      </c>
      <c r="I47" s="3">
        <v>60821</v>
      </c>
      <c r="J47" s="3">
        <v>1</v>
      </c>
      <c r="K47" s="3">
        <v>0</v>
      </c>
      <c r="L47" s="3">
        <v>2</v>
      </c>
      <c r="M47" s="3">
        <v>1</v>
      </c>
      <c r="N47" s="3" t="s">
        <v>14</v>
      </c>
      <c r="O47" s="3" t="s">
        <v>13</v>
      </c>
      <c r="P47" s="3">
        <v>3</v>
      </c>
      <c r="Q47" s="3">
        <v>3</v>
      </c>
      <c r="R47" s="4" t="s">
        <v>14</v>
      </c>
      <c r="S47" s="4" t="s">
        <v>14</v>
      </c>
      <c r="T47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48" spans="1:20" ht="18" x14ac:dyDescent="0.35">
      <c r="A48" s="3" t="s">
        <v>87</v>
      </c>
      <c r="B48" s="3" t="str">
        <f>IF(Table1[[#This Row],[Age]]&lt;25,"Under 25",IF(Table1[[#This Row],[Age]]&lt;35,"25-34",IF(Table1[[#This Row],[Age]]&lt;45,"35-44",IF(Table1[[#This Row],[Age]]&lt;55,"45-54","55+"))))</f>
        <v>Under 25</v>
      </c>
      <c r="C48" s="3">
        <v>21</v>
      </c>
      <c r="D48" s="3" t="s">
        <v>7</v>
      </c>
      <c r="E48" s="3" t="s">
        <v>38</v>
      </c>
      <c r="F48" s="3" t="s">
        <v>59</v>
      </c>
      <c r="G48" s="3" t="s">
        <v>25</v>
      </c>
      <c r="H48" s="3" t="s">
        <v>11</v>
      </c>
      <c r="I48" s="3">
        <v>56409</v>
      </c>
      <c r="J48" s="3">
        <v>2</v>
      </c>
      <c r="K48" s="3">
        <v>0</v>
      </c>
      <c r="L48" s="3">
        <v>3</v>
      </c>
      <c r="M48" s="3">
        <v>2</v>
      </c>
      <c r="N48" s="3" t="s">
        <v>14</v>
      </c>
      <c r="O48" s="3" t="s">
        <v>26</v>
      </c>
      <c r="P48" s="3">
        <v>3</v>
      </c>
      <c r="Q48" s="3">
        <v>2</v>
      </c>
      <c r="R48" s="4" t="s">
        <v>12</v>
      </c>
      <c r="S48" s="4" t="s">
        <v>14</v>
      </c>
      <c r="T48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49" spans="1:20" ht="18" x14ac:dyDescent="0.35">
      <c r="A49" s="3" t="s">
        <v>88</v>
      </c>
      <c r="B49" s="3" t="str">
        <f>IF(Table1[[#This Row],[Age]]&lt;25,"Under 25",IF(Table1[[#This Row],[Age]]&lt;35,"25-34",IF(Table1[[#This Row],[Age]]&lt;45,"35-44",IF(Table1[[#This Row],[Age]]&lt;55,"45-54","55+"))))</f>
        <v>25-34</v>
      </c>
      <c r="C49" s="3">
        <v>34</v>
      </c>
      <c r="D49" s="3" t="s">
        <v>7</v>
      </c>
      <c r="E49" s="3" t="s">
        <v>38</v>
      </c>
      <c r="F49" s="3" t="s">
        <v>89</v>
      </c>
      <c r="G49" s="3" t="s">
        <v>25</v>
      </c>
      <c r="H49" s="3" t="s">
        <v>19</v>
      </c>
      <c r="I49" s="3">
        <v>57468</v>
      </c>
      <c r="J49" s="3">
        <v>8</v>
      </c>
      <c r="K49" s="3">
        <v>4</v>
      </c>
      <c r="L49" s="3">
        <v>4</v>
      </c>
      <c r="M49" s="3">
        <v>2</v>
      </c>
      <c r="N49" s="3" t="s">
        <v>14</v>
      </c>
      <c r="O49" s="3" t="s">
        <v>20</v>
      </c>
      <c r="P49" s="3">
        <v>3</v>
      </c>
      <c r="Q49" s="3">
        <v>6</v>
      </c>
      <c r="R49" s="4" t="s">
        <v>14</v>
      </c>
      <c r="S49" s="4" t="s">
        <v>14</v>
      </c>
      <c r="T49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50" spans="1:20" ht="18" x14ac:dyDescent="0.35">
      <c r="A50" s="3" t="s">
        <v>90</v>
      </c>
      <c r="B50" s="3" t="str">
        <f>IF(Table1[[#This Row],[Age]]&lt;25,"Under 25",IF(Table1[[#This Row],[Age]]&lt;35,"25-34",IF(Table1[[#This Row],[Age]]&lt;45,"35-44",IF(Table1[[#This Row],[Age]]&lt;55,"45-54","55+"))))</f>
        <v>45-54</v>
      </c>
      <c r="C50" s="3">
        <v>54</v>
      </c>
      <c r="D50" s="3" t="s">
        <v>22</v>
      </c>
      <c r="E50" s="3" t="s">
        <v>34</v>
      </c>
      <c r="F50" s="3" t="s">
        <v>91</v>
      </c>
      <c r="G50" s="3" t="s">
        <v>25</v>
      </c>
      <c r="H50" s="3" t="s">
        <v>11</v>
      </c>
      <c r="I50" s="3">
        <v>73529</v>
      </c>
      <c r="J50" s="3">
        <v>4</v>
      </c>
      <c r="K50" s="3">
        <v>0</v>
      </c>
      <c r="L50" s="3">
        <v>4</v>
      </c>
      <c r="M50" s="3">
        <v>3</v>
      </c>
      <c r="N50" s="3" t="s">
        <v>14</v>
      </c>
      <c r="O50" s="3" t="s">
        <v>20</v>
      </c>
      <c r="P50" s="3">
        <v>3</v>
      </c>
      <c r="Q50" s="3">
        <v>3</v>
      </c>
      <c r="R50" s="4" t="s">
        <v>14</v>
      </c>
      <c r="S50" s="4" t="s">
        <v>14</v>
      </c>
      <c r="T50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51" spans="1:20" ht="18" x14ac:dyDescent="0.35">
      <c r="A51" s="3" t="s">
        <v>92</v>
      </c>
      <c r="B51" s="3" t="str">
        <f>IF(Table1[[#This Row],[Age]]&lt;25,"Under 25",IF(Table1[[#This Row],[Age]]&lt;35,"25-34",IF(Table1[[#This Row],[Age]]&lt;45,"35-44",IF(Table1[[#This Row],[Age]]&lt;55,"45-54","55+"))))</f>
        <v>25-34</v>
      </c>
      <c r="C51" s="3">
        <v>31</v>
      </c>
      <c r="D51" s="3" t="s">
        <v>22</v>
      </c>
      <c r="E51" s="3" t="s">
        <v>16</v>
      </c>
      <c r="F51" s="3" t="s">
        <v>47</v>
      </c>
      <c r="G51" s="3" t="s">
        <v>25</v>
      </c>
      <c r="H51" s="3" t="s">
        <v>19</v>
      </c>
      <c r="I51" s="3">
        <v>71909</v>
      </c>
      <c r="J51" s="3">
        <v>4</v>
      </c>
      <c r="K51" s="3">
        <v>4</v>
      </c>
      <c r="L51" s="3">
        <v>3</v>
      </c>
      <c r="M51" s="3">
        <v>1</v>
      </c>
      <c r="N51" s="3" t="s">
        <v>12</v>
      </c>
      <c r="O51" s="3" t="s">
        <v>26</v>
      </c>
      <c r="P51" s="3">
        <v>2</v>
      </c>
      <c r="Q51" s="3">
        <v>0</v>
      </c>
      <c r="R51" s="4" t="s">
        <v>12</v>
      </c>
      <c r="S51" s="4" t="s">
        <v>14</v>
      </c>
      <c r="T51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52" spans="1:20" ht="18" x14ac:dyDescent="0.35">
      <c r="A52" s="3" t="s">
        <v>93</v>
      </c>
      <c r="B52" s="3" t="str">
        <f>IF(Table1[[#This Row],[Age]]&lt;25,"Under 25",IF(Table1[[#This Row],[Age]]&lt;35,"25-34",IF(Table1[[#This Row],[Age]]&lt;45,"35-44",IF(Table1[[#This Row],[Age]]&lt;55,"45-54","55+"))))</f>
        <v>25-34</v>
      </c>
      <c r="C52" s="3">
        <v>34</v>
      </c>
      <c r="D52" s="3" t="s">
        <v>22</v>
      </c>
      <c r="E52" s="3" t="s">
        <v>16</v>
      </c>
      <c r="F52" s="3" t="s">
        <v>47</v>
      </c>
      <c r="G52" s="3" t="s">
        <v>25</v>
      </c>
      <c r="H52" s="3" t="s">
        <v>11</v>
      </c>
      <c r="I52" s="3">
        <v>43528</v>
      </c>
      <c r="J52" s="3">
        <v>1</v>
      </c>
      <c r="K52" s="3">
        <v>1</v>
      </c>
      <c r="L52" s="3">
        <v>2</v>
      </c>
      <c r="M52" s="3">
        <v>2</v>
      </c>
      <c r="N52" s="3" t="s">
        <v>14</v>
      </c>
      <c r="O52" s="3" t="s">
        <v>13</v>
      </c>
      <c r="P52" s="3">
        <v>2</v>
      </c>
      <c r="Q52" s="3">
        <v>0</v>
      </c>
      <c r="R52" s="4" t="s">
        <v>12</v>
      </c>
      <c r="S52" s="4" t="s">
        <v>14</v>
      </c>
      <c r="T52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53" spans="1:20" ht="18" x14ac:dyDescent="0.35">
      <c r="A53" s="3" t="s">
        <v>94</v>
      </c>
      <c r="B53" s="3" t="str">
        <f>IF(Table1[[#This Row],[Age]]&lt;25,"Under 25",IF(Table1[[#This Row],[Age]]&lt;35,"25-34",IF(Table1[[#This Row],[Age]]&lt;45,"35-44",IF(Table1[[#This Row],[Age]]&lt;55,"45-54","55+"))))</f>
        <v>35-44</v>
      </c>
      <c r="C53" s="3">
        <v>40</v>
      </c>
      <c r="D53" s="3" t="s">
        <v>22</v>
      </c>
      <c r="E53" s="3" t="s">
        <v>34</v>
      </c>
      <c r="F53" s="3" t="s">
        <v>91</v>
      </c>
      <c r="G53" s="3" t="s">
        <v>18</v>
      </c>
      <c r="H53" s="3" t="s">
        <v>11</v>
      </c>
      <c r="I53" s="3">
        <v>42509</v>
      </c>
      <c r="J53" s="3">
        <v>12</v>
      </c>
      <c r="K53" s="3">
        <v>10</v>
      </c>
      <c r="L53" s="3">
        <v>2</v>
      </c>
      <c r="M53" s="3">
        <v>2</v>
      </c>
      <c r="N53" s="3" t="s">
        <v>14</v>
      </c>
      <c r="O53" s="3" t="s">
        <v>13</v>
      </c>
      <c r="P53" s="3">
        <v>3</v>
      </c>
      <c r="Q53" s="3">
        <v>2</v>
      </c>
      <c r="R53" s="4" t="s">
        <v>14</v>
      </c>
      <c r="S53" s="4" t="s">
        <v>14</v>
      </c>
      <c r="T53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54" spans="1:20" ht="18" x14ac:dyDescent="0.35">
      <c r="A54" s="3" t="s">
        <v>95</v>
      </c>
      <c r="B54" s="3" t="str">
        <f>IF(Table1[[#This Row],[Age]]&lt;25,"Under 25",IF(Table1[[#This Row],[Age]]&lt;35,"25-34",IF(Table1[[#This Row],[Age]]&lt;45,"35-44",IF(Table1[[#This Row],[Age]]&lt;55,"45-54","55+"))))</f>
        <v>35-44</v>
      </c>
      <c r="C54" s="3">
        <v>39</v>
      </c>
      <c r="D54" s="3" t="s">
        <v>22</v>
      </c>
      <c r="E54" s="3" t="s">
        <v>8</v>
      </c>
      <c r="F54" s="3" t="s">
        <v>66</v>
      </c>
      <c r="G54" s="3" t="s">
        <v>10</v>
      </c>
      <c r="H54" s="3" t="s">
        <v>19</v>
      </c>
      <c r="I54" s="3">
        <v>71119</v>
      </c>
      <c r="J54" s="3">
        <v>3</v>
      </c>
      <c r="K54" s="3">
        <v>1</v>
      </c>
      <c r="L54" s="3">
        <v>1</v>
      </c>
      <c r="M54" s="3">
        <v>2</v>
      </c>
      <c r="N54" s="3" t="s">
        <v>14</v>
      </c>
      <c r="O54" s="3" t="s">
        <v>26</v>
      </c>
      <c r="P54" s="3">
        <v>3</v>
      </c>
      <c r="Q54" s="3">
        <v>0</v>
      </c>
      <c r="R54" s="4" t="s">
        <v>14</v>
      </c>
      <c r="S54" s="4" t="s">
        <v>14</v>
      </c>
      <c r="T54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55" spans="1:20" ht="18" x14ac:dyDescent="0.35">
      <c r="A55" s="3" t="s">
        <v>96</v>
      </c>
      <c r="B55" s="3" t="str">
        <f>IF(Table1[[#This Row],[Age]]&lt;25,"Under 25",IF(Table1[[#This Row],[Age]]&lt;35,"25-34",IF(Table1[[#This Row],[Age]]&lt;45,"35-44",IF(Table1[[#This Row],[Age]]&lt;55,"45-54","55+"))))</f>
        <v>45-54</v>
      </c>
      <c r="C55" s="3">
        <v>49</v>
      </c>
      <c r="D55" s="3" t="s">
        <v>7</v>
      </c>
      <c r="E55" s="3" t="s">
        <v>8</v>
      </c>
      <c r="F55" s="3" t="s">
        <v>9</v>
      </c>
      <c r="G55" s="3" t="s">
        <v>25</v>
      </c>
      <c r="H55" s="3" t="s">
        <v>11</v>
      </c>
      <c r="I55" s="3">
        <v>56822</v>
      </c>
      <c r="J55" s="3">
        <v>11</v>
      </c>
      <c r="K55" s="3">
        <v>1</v>
      </c>
      <c r="L55" s="3">
        <v>4</v>
      </c>
      <c r="M55" s="3">
        <v>2</v>
      </c>
      <c r="N55" s="3" t="s">
        <v>12</v>
      </c>
      <c r="O55" s="3" t="s">
        <v>13</v>
      </c>
      <c r="P55" s="3">
        <v>3</v>
      </c>
      <c r="Q55" s="3">
        <v>6</v>
      </c>
      <c r="R55" s="4" t="s">
        <v>14</v>
      </c>
      <c r="S55" s="4" t="s">
        <v>14</v>
      </c>
      <c r="T55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56" spans="1:20" ht="18" x14ac:dyDescent="0.35">
      <c r="A56" s="3" t="s">
        <v>97</v>
      </c>
      <c r="B56" s="3" t="str">
        <f>IF(Table1[[#This Row],[Age]]&lt;25,"Under 25",IF(Table1[[#This Row],[Age]]&lt;35,"25-34",IF(Table1[[#This Row],[Age]]&lt;45,"35-44",IF(Table1[[#This Row],[Age]]&lt;55,"45-54","55+"))))</f>
        <v>35-44</v>
      </c>
      <c r="C56" s="3">
        <v>40</v>
      </c>
      <c r="D56" s="3" t="s">
        <v>7</v>
      </c>
      <c r="E56" s="3" t="s">
        <v>51</v>
      </c>
      <c r="F56" s="3" t="s">
        <v>52</v>
      </c>
      <c r="G56" s="3" t="s">
        <v>10</v>
      </c>
      <c r="H56" s="3" t="s">
        <v>11</v>
      </c>
      <c r="I56" s="3">
        <v>79011</v>
      </c>
      <c r="J56" s="3">
        <v>4</v>
      </c>
      <c r="K56" s="3">
        <v>3</v>
      </c>
      <c r="L56" s="3">
        <v>1</v>
      </c>
      <c r="M56" s="3">
        <v>2</v>
      </c>
      <c r="N56" s="3" t="s">
        <v>14</v>
      </c>
      <c r="O56" s="3" t="s">
        <v>13</v>
      </c>
      <c r="P56" s="3">
        <v>3</v>
      </c>
      <c r="Q56" s="3">
        <v>2</v>
      </c>
      <c r="R56" s="4" t="s">
        <v>14</v>
      </c>
      <c r="S56" s="4" t="s">
        <v>14</v>
      </c>
      <c r="T56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57" spans="1:20" ht="18" x14ac:dyDescent="0.35">
      <c r="A57" s="3" t="s">
        <v>98</v>
      </c>
      <c r="B57" s="3" t="str">
        <f>IF(Table1[[#This Row],[Age]]&lt;25,"Under 25",IF(Table1[[#This Row],[Age]]&lt;35,"25-34",IF(Table1[[#This Row],[Age]]&lt;45,"35-44",IF(Table1[[#This Row],[Age]]&lt;55,"45-54","55+"))))</f>
        <v>35-44</v>
      </c>
      <c r="C57" s="3">
        <v>36</v>
      </c>
      <c r="D57" s="3" t="s">
        <v>7</v>
      </c>
      <c r="E57" s="3" t="s">
        <v>16</v>
      </c>
      <c r="F57" s="3" t="s">
        <v>28</v>
      </c>
      <c r="G57" s="3" t="s">
        <v>10</v>
      </c>
      <c r="H57" s="3" t="s">
        <v>11</v>
      </c>
      <c r="I57" s="3">
        <v>73733</v>
      </c>
      <c r="J57" s="3">
        <v>12</v>
      </c>
      <c r="K57" s="3">
        <v>9</v>
      </c>
      <c r="L57" s="3">
        <v>3</v>
      </c>
      <c r="M57" s="3">
        <v>4</v>
      </c>
      <c r="N57" s="3" t="s">
        <v>14</v>
      </c>
      <c r="O57" s="3" t="s">
        <v>26</v>
      </c>
      <c r="P57" s="3">
        <v>4</v>
      </c>
      <c r="Q57" s="3">
        <v>4</v>
      </c>
      <c r="R57" s="4" t="s">
        <v>12</v>
      </c>
      <c r="S57" s="4" t="s">
        <v>14</v>
      </c>
      <c r="T57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58" spans="1:20" ht="18" x14ac:dyDescent="0.35">
      <c r="A58" s="3" t="s">
        <v>99</v>
      </c>
      <c r="B58" s="3" t="str">
        <f>IF(Table1[[#This Row],[Age]]&lt;25,"Under 25",IF(Table1[[#This Row],[Age]]&lt;35,"25-34",IF(Table1[[#This Row],[Age]]&lt;45,"35-44",IF(Table1[[#This Row],[Age]]&lt;55,"45-54","55+"))))</f>
        <v>25-34</v>
      </c>
      <c r="C58" s="3">
        <v>29</v>
      </c>
      <c r="D58" s="3" t="s">
        <v>7</v>
      </c>
      <c r="E58" s="3" t="s">
        <v>51</v>
      </c>
      <c r="F58" s="3" t="s">
        <v>52</v>
      </c>
      <c r="G58" s="3" t="s">
        <v>25</v>
      </c>
      <c r="H58" s="3" t="s">
        <v>11</v>
      </c>
      <c r="I58" s="3">
        <v>76246</v>
      </c>
      <c r="J58" s="3">
        <v>3</v>
      </c>
      <c r="K58" s="3">
        <v>1</v>
      </c>
      <c r="L58" s="3">
        <v>3</v>
      </c>
      <c r="M58" s="3">
        <v>4</v>
      </c>
      <c r="N58" s="3" t="s">
        <v>14</v>
      </c>
      <c r="O58" s="3" t="s">
        <v>13</v>
      </c>
      <c r="P58" s="3">
        <v>3</v>
      </c>
      <c r="Q58" s="3">
        <v>4</v>
      </c>
      <c r="R58" s="4" t="s">
        <v>14</v>
      </c>
      <c r="S58" s="4" t="s">
        <v>14</v>
      </c>
      <c r="T58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59" spans="1:20" ht="18" x14ac:dyDescent="0.35">
      <c r="A59" s="3" t="s">
        <v>100</v>
      </c>
      <c r="B59" s="3" t="str">
        <f>IF(Table1[[#This Row],[Age]]&lt;25,"Under 25",IF(Table1[[#This Row],[Age]]&lt;35,"25-34",IF(Table1[[#This Row],[Age]]&lt;45,"35-44",IF(Table1[[#This Row],[Age]]&lt;55,"45-54","55+"))))</f>
        <v>45-54</v>
      </c>
      <c r="C59" s="3">
        <v>45</v>
      </c>
      <c r="D59" s="3" t="s">
        <v>7</v>
      </c>
      <c r="E59" s="3" t="s">
        <v>8</v>
      </c>
      <c r="F59" s="3" t="s">
        <v>9</v>
      </c>
      <c r="G59" s="3" t="s">
        <v>10</v>
      </c>
      <c r="H59" s="3" t="s">
        <v>11</v>
      </c>
      <c r="I59" s="3">
        <v>62090</v>
      </c>
      <c r="J59" s="3">
        <v>19</v>
      </c>
      <c r="K59" s="3">
        <v>7</v>
      </c>
      <c r="L59" s="3">
        <v>4</v>
      </c>
      <c r="M59" s="3">
        <v>3</v>
      </c>
      <c r="N59" s="3" t="s">
        <v>14</v>
      </c>
      <c r="O59" s="3" t="s">
        <v>26</v>
      </c>
      <c r="P59" s="3">
        <v>3</v>
      </c>
      <c r="Q59" s="3">
        <v>2</v>
      </c>
      <c r="R59" s="4" t="s">
        <v>14</v>
      </c>
      <c r="S59" s="4" t="s">
        <v>14</v>
      </c>
      <c r="T59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60" spans="1:20" ht="18" x14ac:dyDescent="0.35">
      <c r="A60" s="3" t="s">
        <v>101</v>
      </c>
      <c r="B60" s="3" t="str">
        <f>IF(Table1[[#This Row],[Age]]&lt;25,"Under 25",IF(Table1[[#This Row],[Age]]&lt;35,"25-34",IF(Table1[[#This Row],[Age]]&lt;45,"35-44",IF(Table1[[#This Row],[Age]]&lt;55,"45-54","55+"))))</f>
        <v>25-34</v>
      </c>
      <c r="C60" s="3">
        <v>25</v>
      </c>
      <c r="D60" s="3" t="s">
        <v>22</v>
      </c>
      <c r="E60" s="3" t="s">
        <v>8</v>
      </c>
      <c r="F60" s="3" t="s">
        <v>9</v>
      </c>
      <c r="G60" s="3" t="s">
        <v>10</v>
      </c>
      <c r="H60" s="3" t="s">
        <v>11</v>
      </c>
      <c r="I60" s="3">
        <v>96631</v>
      </c>
      <c r="J60" s="3">
        <v>1</v>
      </c>
      <c r="K60" s="3">
        <v>0</v>
      </c>
      <c r="L60" s="3">
        <v>4</v>
      </c>
      <c r="M60" s="3">
        <v>4</v>
      </c>
      <c r="N60" s="3" t="s">
        <v>14</v>
      </c>
      <c r="O60" s="3" t="s">
        <v>13</v>
      </c>
      <c r="P60" s="3">
        <v>3</v>
      </c>
      <c r="Q60" s="3">
        <v>1</v>
      </c>
      <c r="R60" s="4" t="s">
        <v>14</v>
      </c>
      <c r="S60" s="4" t="s">
        <v>14</v>
      </c>
      <c r="T60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61" spans="1:20" ht="18" x14ac:dyDescent="0.35">
      <c r="A61" s="3" t="s">
        <v>102</v>
      </c>
      <c r="B61" s="3" t="str">
        <f>IF(Table1[[#This Row],[Age]]&lt;25,"Under 25",IF(Table1[[#This Row],[Age]]&lt;35,"25-34",IF(Table1[[#This Row],[Age]]&lt;45,"35-44",IF(Table1[[#This Row],[Age]]&lt;55,"45-54","55+"))))</f>
        <v>45-54</v>
      </c>
      <c r="C61" s="3">
        <v>47</v>
      </c>
      <c r="D61" s="3" t="s">
        <v>22</v>
      </c>
      <c r="E61" s="3" t="s">
        <v>8</v>
      </c>
      <c r="F61" s="3" t="s">
        <v>9</v>
      </c>
      <c r="G61" s="3" t="s">
        <v>10</v>
      </c>
      <c r="H61" s="3" t="s">
        <v>11</v>
      </c>
      <c r="I61" s="3">
        <v>56644</v>
      </c>
      <c r="J61" s="3">
        <v>11</v>
      </c>
      <c r="K61" s="3">
        <v>1</v>
      </c>
      <c r="L61" s="3">
        <v>4</v>
      </c>
      <c r="M61" s="3">
        <v>4</v>
      </c>
      <c r="N61" s="3" t="s">
        <v>14</v>
      </c>
      <c r="O61" s="3" t="s">
        <v>13</v>
      </c>
      <c r="P61" s="3">
        <v>3</v>
      </c>
      <c r="Q61" s="3">
        <v>3</v>
      </c>
      <c r="R61" s="4" t="s">
        <v>14</v>
      </c>
      <c r="S61" s="4" t="s">
        <v>14</v>
      </c>
      <c r="T61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62" spans="1:20" ht="18" x14ac:dyDescent="0.35">
      <c r="A62" s="3" t="s">
        <v>103</v>
      </c>
      <c r="B62" s="3" t="str">
        <f>IF(Table1[[#This Row],[Age]]&lt;25,"Under 25",IF(Table1[[#This Row],[Age]]&lt;35,"25-34",IF(Table1[[#This Row],[Age]]&lt;45,"35-44",IF(Table1[[#This Row],[Age]]&lt;55,"45-54","55+"))))</f>
        <v>55+</v>
      </c>
      <c r="C62" s="3">
        <v>60</v>
      </c>
      <c r="D62" s="3" t="s">
        <v>22</v>
      </c>
      <c r="E62" s="3" t="s">
        <v>34</v>
      </c>
      <c r="F62" s="3" t="s">
        <v>54</v>
      </c>
      <c r="G62" s="3" t="s">
        <v>10</v>
      </c>
      <c r="H62" s="3" t="s">
        <v>19</v>
      </c>
      <c r="I62" s="3">
        <v>49440</v>
      </c>
      <c r="J62" s="3">
        <v>8</v>
      </c>
      <c r="K62" s="3">
        <v>5</v>
      </c>
      <c r="L62" s="3">
        <v>3</v>
      </c>
      <c r="M62" s="3">
        <v>4</v>
      </c>
      <c r="N62" s="3" t="s">
        <v>14</v>
      </c>
      <c r="O62" s="3" t="s">
        <v>13</v>
      </c>
      <c r="P62" s="3">
        <v>3</v>
      </c>
      <c r="Q62" s="3">
        <v>4</v>
      </c>
      <c r="R62" s="4" t="s">
        <v>14</v>
      </c>
      <c r="S62" s="4" t="s">
        <v>14</v>
      </c>
      <c r="T62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63" spans="1:20" ht="18" x14ac:dyDescent="0.35">
      <c r="A63" s="3" t="s">
        <v>104</v>
      </c>
      <c r="B63" s="3" t="str">
        <f>IF(Table1[[#This Row],[Age]]&lt;25,"Under 25",IF(Table1[[#This Row],[Age]]&lt;35,"25-34",IF(Table1[[#This Row],[Age]]&lt;45,"35-44",IF(Table1[[#This Row],[Age]]&lt;55,"45-54","55+"))))</f>
        <v>25-34</v>
      </c>
      <c r="C63" s="3">
        <v>27</v>
      </c>
      <c r="D63" s="3" t="s">
        <v>22</v>
      </c>
      <c r="E63" s="3" t="s">
        <v>38</v>
      </c>
      <c r="F63" s="3" t="s">
        <v>39</v>
      </c>
      <c r="G63" s="3" t="s">
        <v>25</v>
      </c>
      <c r="H63" s="3" t="s">
        <v>42</v>
      </c>
      <c r="I63" s="3">
        <v>63714</v>
      </c>
      <c r="J63" s="3">
        <v>1</v>
      </c>
      <c r="K63" s="3">
        <v>0</v>
      </c>
      <c r="L63" s="3">
        <v>4</v>
      </c>
      <c r="M63" s="3">
        <v>2</v>
      </c>
      <c r="N63" s="3" t="s">
        <v>14</v>
      </c>
      <c r="O63" s="3" t="s">
        <v>13</v>
      </c>
      <c r="P63" s="3">
        <v>3</v>
      </c>
      <c r="Q63" s="3">
        <v>0</v>
      </c>
      <c r="R63" s="4" t="s">
        <v>14</v>
      </c>
      <c r="S63" s="4" t="s">
        <v>12</v>
      </c>
      <c r="T63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64" spans="1:20" ht="18" x14ac:dyDescent="0.35">
      <c r="A64" s="3" t="s">
        <v>105</v>
      </c>
      <c r="B64" s="3" t="str">
        <f>IF(Table1[[#This Row],[Age]]&lt;25,"Under 25",IF(Table1[[#This Row],[Age]]&lt;35,"25-34",IF(Table1[[#This Row],[Age]]&lt;45,"35-44",IF(Table1[[#This Row],[Age]]&lt;55,"45-54","55+"))))</f>
        <v>Under 25</v>
      </c>
      <c r="C64" s="3">
        <v>21</v>
      </c>
      <c r="D64" s="3" t="s">
        <v>22</v>
      </c>
      <c r="E64" s="3" t="s">
        <v>8</v>
      </c>
      <c r="F64" s="3" t="s">
        <v>23</v>
      </c>
      <c r="G64" s="3" t="s">
        <v>25</v>
      </c>
      <c r="H64" s="3" t="s">
        <v>11</v>
      </c>
      <c r="I64" s="3">
        <v>60138</v>
      </c>
      <c r="J64" s="3">
        <v>1</v>
      </c>
      <c r="K64" s="3">
        <v>0</v>
      </c>
      <c r="L64" s="3">
        <v>4</v>
      </c>
      <c r="M64" s="3">
        <v>4</v>
      </c>
      <c r="N64" s="3" t="s">
        <v>12</v>
      </c>
      <c r="O64" s="3" t="s">
        <v>20</v>
      </c>
      <c r="P64" s="3">
        <v>4</v>
      </c>
      <c r="Q64" s="3">
        <v>1</v>
      </c>
      <c r="R64" s="4" t="s">
        <v>14</v>
      </c>
      <c r="S64" s="4" t="s">
        <v>12</v>
      </c>
      <c r="T64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65" spans="1:20" ht="18" x14ac:dyDescent="0.35">
      <c r="A65" s="3" t="s">
        <v>106</v>
      </c>
      <c r="B65" s="3" t="str">
        <f>IF(Table1[[#This Row],[Age]]&lt;25,"Under 25",IF(Table1[[#This Row],[Age]]&lt;35,"25-34",IF(Table1[[#This Row],[Age]]&lt;45,"35-44",IF(Table1[[#This Row],[Age]]&lt;55,"45-54","55+"))))</f>
        <v>Under 25</v>
      </c>
      <c r="C65" s="3">
        <v>21</v>
      </c>
      <c r="D65" s="3" t="s">
        <v>7</v>
      </c>
      <c r="E65" s="3" t="s">
        <v>16</v>
      </c>
      <c r="F65" s="3" t="s">
        <v>28</v>
      </c>
      <c r="G65" s="3" t="s">
        <v>25</v>
      </c>
      <c r="H65" s="3" t="s">
        <v>11</v>
      </c>
      <c r="I65" s="3">
        <v>52729</v>
      </c>
      <c r="J65" s="3">
        <v>2</v>
      </c>
      <c r="K65" s="3">
        <v>1</v>
      </c>
      <c r="L65" s="3">
        <v>2</v>
      </c>
      <c r="M65" s="3">
        <v>2</v>
      </c>
      <c r="N65" s="3" t="s">
        <v>14</v>
      </c>
      <c r="O65" s="3" t="s">
        <v>20</v>
      </c>
      <c r="P65" s="3">
        <v>3</v>
      </c>
      <c r="Q65" s="3">
        <v>3</v>
      </c>
      <c r="R65" s="4" t="s">
        <v>14</v>
      </c>
      <c r="S65" s="4" t="s">
        <v>14</v>
      </c>
      <c r="T65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66" spans="1:20" ht="18" x14ac:dyDescent="0.35">
      <c r="A66" s="3" t="s">
        <v>107</v>
      </c>
      <c r="B66" s="3" t="str">
        <f>IF(Table1[[#This Row],[Age]]&lt;25,"Under 25",IF(Table1[[#This Row],[Age]]&lt;35,"25-34",IF(Table1[[#This Row],[Age]]&lt;45,"35-44",IF(Table1[[#This Row],[Age]]&lt;55,"45-54","55+"))))</f>
        <v>25-34</v>
      </c>
      <c r="C66" s="3">
        <v>30</v>
      </c>
      <c r="D66" s="3" t="s">
        <v>7</v>
      </c>
      <c r="E66" s="3" t="s">
        <v>8</v>
      </c>
      <c r="F66" s="3" t="s">
        <v>66</v>
      </c>
      <c r="G66" s="3" t="s">
        <v>10</v>
      </c>
      <c r="H66" s="3" t="s">
        <v>11</v>
      </c>
      <c r="I66" s="3">
        <v>60040</v>
      </c>
      <c r="J66" s="3">
        <v>2</v>
      </c>
      <c r="K66" s="3">
        <v>1</v>
      </c>
      <c r="L66" s="3">
        <v>1</v>
      </c>
      <c r="M66" s="3">
        <v>2</v>
      </c>
      <c r="N66" s="3" t="s">
        <v>12</v>
      </c>
      <c r="O66" s="3" t="s">
        <v>13</v>
      </c>
      <c r="P66" s="3">
        <v>3</v>
      </c>
      <c r="Q66" s="3">
        <v>0</v>
      </c>
      <c r="R66" s="4" t="s">
        <v>14</v>
      </c>
      <c r="S66" s="4" t="s">
        <v>12</v>
      </c>
      <c r="T66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67" spans="1:20" ht="18" x14ac:dyDescent="0.35">
      <c r="A67" s="3" t="s">
        <v>108</v>
      </c>
      <c r="B67" s="3" t="str">
        <f>IF(Table1[[#This Row],[Age]]&lt;25,"Under 25",IF(Table1[[#This Row],[Age]]&lt;35,"25-34",IF(Table1[[#This Row],[Age]]&lt;45,"35-44",IF(Table1[[#This Row],[Age]]&lt;55,"45-54","55+"))))</f>
        <v>35-44</v>
      </c>
      <c r="C67" s="3">
        <v>39</v>
      </c>
      <c r="D67" s="3" t="s">
        <v>22</v>
      </c>
      <c r="E67" s="3" t="s">
        <v>34</v>
      </c>
      <c r="F67" s="3" t="s">
        <v>54</v>
      </c>
      <c r="G67" s="3" t="s">
        <v>25</v>
      </c>
      <c r="H67" s="3" t="s">
        <v>19</v>
      </c>
      <c r="I67" s="3">
        <v>23622</v>
      </c>
      <c r="J67" s="3">
        <v>15</v>
      </c>
      <c r="K67" s="3">
        <v>3</v>
      </c>
      <c r="L67" s="3">
        <v>2</v>
      </c>
      <c r="M67" s="3">
        <v>4</v>
      </c>
      <c r="N67" s="3" t="s">
        <v>12</v>
      </c>
      <c r="O67" s="3" t="s">
        <v>13</v>
      </c>
      <c r="P67" s="3">
        <v>3</v>
      </c>
      <c r="Q67" s="3">
        <v>1</v>
      </c>
      <c r="R67" s="4" t="s">
        <v>14</v>
      </c>
      <c r="S67" s="4" t="s">
        <v>14</v>
      </c>
      <c r="T67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68" spans="1:20" ht="18" x14ac:dyDescent="0.35">
      <c r="A68" s="3" t="s">
        <v>109</v>
      </c>
      <c r="B68" s="3" t="str">
        <f>IF(Table1[[#This Row],[Age]]&lt;25,"Under 25",IF(Table1[[#This Row],[Age]]&lt;35,"25-34",IF(Table1[[#This Row],[Age]]&lt;45,"35-44",IF(Table1[[#This Row],[Age]]&lt;55,"45-54","55+"))))</f>
        <v>35-44</v>
      </c>
      <c r="C68" s="3">
        <v>44</v>
      </c>
      <c r="D68" s="3" t="s">
        <v>7</v>
      </c>
      <c r="E68" s="3" t="s">
        <v>16</v>
      </c>
      <c r="F68" s="3" t="s">
        <v>28</v>
      </c>
      <c r="G68" s="3" t="s">
        <v>25</v>
      </c>
      <c r="H68" s="3" t="s">
        <v>11</v>
      </c>
      <c r="I68" s="3">
        <v>71811</v>
      </c>
      <c r="J68" s="3">
        <v>24</v>
      </c>
      <c r="K68" s="3">
        <v>10</v>
      </c>
      <c r="L68" s="3">
        <v>3</v>
      </c>
      <c r="M68" s="3">
        <v>2</v>
      </c>
      <c r="N68" s="3" t="s">
        <v>14</v>
      </c>
      <c r="O68" s="3" t="s">
        <v>26</v>
      </c>
      <c r="P68" s="3">
        <v>2</v>
      </c>
      <c r="Q68" s="3">
        <v>6</v>
      </c>
      <c r="R68" s="4" t="s">
        <v>14</v>
      </c>
      <c r="S68" s="4" t="s">
        <v>14</v>
      </c>
      <c r="T68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69" spans="1:20" ht="18" x14ac:dyDescent="0.35">
      <c r="A69" s="3" t="s">
        <v>110</v>
      </c>
      <c r="B69" s="3" t="str">
        <f>IF(Table1[[#This Row],[Age]]&lt;25,"Under 25",IF(Table1[[#This Row],[Age]]&lt;35,"25-34",IF(Table1[[#This Row],[Age]]&lt;45,"35-44",IF(Table1[[#This Row],[Age]]&lt;55,"45-54","55+"))))</f>
        <v>35-44</v>
      </c>
      <c r="C69" s="3">
        <v>37</v>
      </c>
      <c r="D69" s="3" t="s">
        <v>22</v>
      </c>
      <c r="E69" s="3" t="s">
        <v>51</v>
      </c>
      <c r="F69" s="3" t="s">
        <v>72</v>
      </c>
      <c r="G69" s="3" t="s">
        <v>10</v>
      </c>
      <c r="H69" s="3" t="s">
        <v>11</v>
      </c>
      <c r="I69" s="3">
        <v>73423</v>
      </c>
      <c r="J69" s="3">
        <v>16</v>
      </c>
      <c r="K69" s="3">
        <v>12</v>
      </c>
      <c r="L69" s="3">
        <v>4</v>
      </c>
      <c r="M69" s="3">
        <v>3</v>
      </c>
      <c r="N69" s="3" t="s">
        <v>14</v>
      </c>
      <c r="O69" s="3" t="s">
        <v>20</v>
      </c>
      <c r="P69" s="3">
        <v>3</v>
      </c>
      <c r="Q69" s="3">
        <v>3</v>
      </c>
      <c r="R69" s="4" t="s">
        <v>14</v>
      </c>
      <c r="S69" s="4" t="s">
        <v>14</v>
      </c>
      <c r="T69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70" spans="1:20" ht="18" x14ac:dyDescent="0.35">
      <c r="A70" s="3" t="s">
        <v>111</v>
      </c>
      <c r="B70" s="3" t="str">
        <f>IF(Table1[[#This Row],[Age]]&lt;25,"Under 25",IF(Table1[[#This Row],[Age]]&lt;35,"25-34",IF(Table1[[#This Row],[Age]]&lt;45,"35-44",IF(Table1[[#This Row],[Age]]&lt;55,"45-54","55+"))))</f>
        <v>35-44</v>
      </c>
      <c r="C70" s="3">
        <v>36</v>
      </c>
      <c r="D70" s="3" t="s">
        <v>7</v>
      </c>
      <c r="E70" s="3" t="s">
        <v>8</v>
      </c>
      <c r="F70" s="3" t="s">
        <v>23</v>
      </c>
      <c r="G70" s="3" t="s">
        <v>25</v>
      </c>
      <c r="H70" s="3" t="s">
        <v>42</v>
      </c>
      <c r="I70" s="3">
        <v>62585</v>
      </c>
      <c r="J70" s="3">
        <v>4</v>
      </c>
      <c r="K70" s="3">
        <v>2</v>
      </c>
      <c r="L70" s="3">
        <v>1</v>
      </c>
      <c r="M70" s="3">
        <v>4</v>
      </c>
      <c r="N70" s="3" t="s">
        <v>14</v>
      </c>
      <c r="O70" s="3" t="s">
        <v>26</v>
      </c>
      <c r="P70" s="3">
        <v>3</v>
      </c>
      <c r="Q70" s="3">
        <v>3</v>
      </c>
      <c r="R70" s="4" t="s">
        <v>12</v>
      </c>
      <c r="S70" s="4" t="s">
        <v>14</v>
      </c>
      <c r="T70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71" spans="1:20" ht="18" x14ac:dyDescent="0.35">
      <c r="A71" s="3" t="s">
        <v>112</v>
      </c>
      <c r="B71" s="3" t="str">
        <f>IF(Table1[[#This Row],[Age]]&lt;25,"Under 25",IF(Table1[[#This Row],[Age]]&lt;35,"25-34",IF(Table1[[#This Row],[Age]]&lt;45,"35-44",IF(Table1[[#This Row],[Age]]&lt;55,"45-54","55+"))))</f>
        <v>25-34</v>
      </c>
      <c r="C71" s="3">
        <v>26</v>
      </c>
      <c r="D71" s="3" t="s">
        <v>7</v>
      </c>
      <c r="E71" s="3" t="s">
        <v>34</v>
      </c>
      <c r="F71" s="3" t="s">
        <v>54</v>
      </c>
      <c r="G71" s="3" t="s">
        <v>25</v>
      </c>
      <c r="H71" s="3" t="s">
        <v>11</v>
      </c>
      <c r="I71" s="3">
        <v>55928</v>
      </c>
      <c r="J71" s="3">
        <v>6</v>
      </c>
      <c r="K71" s="3">
        <v>3</v>
      </c>
      <c r="L71" s="3">
        <v>3</v>
      </c>
      <c r="M71" s="3">
        <v>3</v>
      </c>
      <c r="N71" s="3" t="s">
        <v>12</v>
      </c>
      <c r="O71" s="3" t="s">
        <v>13</v>
      </c>
      <c r="P71" s="3">
        <v>3</v>
      </c>
      <c r="Q71" s="3">
        <v>0</v>
      </c>
      <c r="R71" s="4" t="s">
        <v>14</v>
      </c>
      <c r="S71" s="4" t="s">
        <v>12</v>
      </c>
      <c r="T71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72" spans="1:20" ht="18" x14ac:dyDescent="0.35">
      <c r="A72" s="3" t="s">
        <v>113</v>
      </c>
      <c r="B72" s="3" t="str">
        <f>IF(Table1[[#This Row],[Age]]&lt;25,"Under 25",IF(Table1[[#This Row],[Age]]&lt;35,"25-34",IF(Table1[[#This Row],[Age]]&lt;45,"35-44",IF(Table1[[#This Row],[Age]]&lt;55,"45-54","55+"))))</f>
        <v>25-34</v>
      </c>
      <c r="C72" s="3">
        <v>32</v>
      </c>
      <c r="D72" s="3" t="s">
        <v>7</v>
      </c>
      <c r="E72" s="3" t="s">
        <v>8</v>
      </c>
      <c r="F72" s="3" t="s">
        <v>66</v>
      </c>
      <c r="G72" s="3" t="s">
        <v>25</v>
      </c>
      <c r="H72" s="3" t="s">
        <v>11</v>
      </c>
      <c r="I72" s="3">
        <v>84152</v>
      </c>
      <c r="J72" s="3">
        <v>14</v>
      </c>
      <c r="K72" s="3">
        <v>9</v>
      </c>
      <c r="L72" s="3">
        <v>4</v>
      </c>
      <c r="M72" s="3">
        <v>3</v>
      </c>
      <c r="N72" s="3" t="s">
        <v>12</v>
      </c>
      <c r="O72" s="3" t="s">
        <v>13</v>
      </c>
      <c r="P72" s="3">
        <v>3</v>
      </c>
      <c r="Q72" s="3">
        <v>4</v>
      </c>
      <c r="R72" s="4" t="s">
        <v>14</v>
      </c>
      <c r="S72" s="4" t="s">
        <v>14</v>
      </c>
      <c r="T72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73" spans="1:20" ht="18" x14ac:dyDescent="0.35">
      <c r="A73" s="3" t="s">
        <v>114</v>
      </c>
      <c r="B73" s="3" t="str">
        <f>IF(Table1[[#This Row],[Age]]&lt;25,"Under 25",IF(Table1[[#This Row],[Age]]&lt;35,"25-34",IF(Table1[[#This Row],[Age]]&lt;45,"35-44",IF(Table1[[#This Row],[Age]]&lt;55,"45-54","55+"))))</f>
        <v>25-34</v>
      </c>
      <c r="C73" s="3">
        <v>31</v>
      </c>
      <c r="D73" s="3" t="s">
        <v>22</v>
      </c>
      <c r="E73" s="3" t="s">
        <v>34</v>
      </c>
      <c r="F73" s="3" t="s">
        <v>35</v>
      </c>
      <c r="G73" s="3" t="s">
        <v>10</v>
      </c>
      <c r="H73" s="3" t="s">
        <v>19</v>
      </c>
      <c r="I73" s="3">
        <v>65065</v>
      </c>
      <c r="J73" s="3">
        <v>6</v>
      </c>
      <c r="K73" s="3">
        <v>3</v>
      </c>
      <c r="L73" s="3">
        <v>1</v>
      </c>
      <c r="M73" s="3">
        <v>3</v>
      </c>
      <c r="N73" s="3" t="s">
        <v>14</v>
      </c>
      <c r="O73" s="3" t="s">
        <v>13</v>
      </c>
      <c r="P73" s="3">
        <v>2</v>
      </c>
      <c r="Q73" s="3">
        <v>6</v>
      </c>
      <c r="R73" s="4" t="s">
        <v>14</v>
      </c>
      <c r="S73" s="4" t="s">
        <v>14</v>
      </c>
      <c r="T73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74" spans="1:20" ht="18" x14ac:dyDescent="0.35">
      <c r="A74" s="3" t="s">
        <v>115</v>
      </c>
      <c r="B74" s="3" t="str">
        <f>IF(Table1[[#This Row],[Age]]&lt;25,"Under 25",IF(Table1[[#This Row],[Age]]&lt;35,"25-34",IF(Table1[[#This Row],[Age]]&lt;45,"35-44",IF(Table1[[#This Row],[Age]]&lt;55,"45-54","55+"))))</f>
        <v>25-34</v>
      </c>
      <c r="C74" s="3">
        <v>32</v>
      </c>
      <c r="D74" s="3" t="s">
        <v>7</v>
      </c>
      <c r="E74" s="3" t="s">
        <v>8</v>
      </c>
      <c r="F74" s="3" t="s">
        <v>66</v>
      </c>
      <c r="G74" s="3" t="s">
        <v>10</v>
      </c>
      <c r="H74" s="3" t="s">
        <v>19</v>
      </c>
      <c r="I74" s="3">
        <v>78633</v>
      </c>
      <c r="J74" s="3">
        <v>1</v>
      </c>
      <c r="K74" s="3">
        <v>1</v>
      </c>
      <c r="L74" s="3">
        <v>3</v>
      </c>
      <c r="M74" s="3">
        <v>4</v>
      </c>
      <c r="N74" s="3" t="s">
        <v>14</v>
      </c>
      <c r="O74" s="3" t="s">
        <v>13</v>
      </c>
      <c r="P74" s="3">
        <v>3</v>
      </c>
      <c r="Q74" s="3">
        <v>0</v>
      </c>
      <c r="R74" s="4" t="s">
        <v>14</v>
      </c>
      <c r="S74" s="4" t="s">
        <v>14</v>
      </c>
      <c r="T74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75" spans="1:20" ht="18" x14ac:dyDescent="0.35">
      <c r="A75" s="3" t="s">
        <v>116</v>
      </c>
      <c r="B75" s="3" t="str">
        <f>IF(Table1[[#This Row],[Age]]&lt;25,"Under 25",IF(Table1[[#This Row],[Age]]&lt;35,"25-34",IF(Table1[[#This Row],[Age]]&lt;45,"35-44",IF(Table1[[#This Row],[Age]]&lt;55,"45-54","55+"))))</f>
        <v>35-44</v>
      </c>
      <c r="C75" s="3">
        <v>36</v>
      </c>
      <c r="D75" s="3" t="s">
        <v>7</v>
      </c>
      <c r="E75" s="3" t="s">
        <v>38</v>
      </c>
      <c r="F75" s="3" t="s">
        <v>39</v>
      </c>
      <c r="G75" s="3" t="s">
        <v>25</v>
      </c>
      <c r="H75" s="3" t="s">
        <v>11</v>
      </c>
      <c r="I75" s="3">
        <v>75673</v>
      </c>
      <c r="J75" s="3">
        <v>8</v>
      </c>
      <c r="K75" s="3">
        <v>6</v>
      </c>
      <c r="L75" s="3">
        <v>3</v>
      </c>
      <c r="M75" s="3">
        <v>4</v>
      </c>
      <c r="N75" s="3" t="s">
        <v>14</v>
      </c>
      <c r="O75" s="3" t="s">
        <v>13</v>
      </c>
      <c r="P75" s="3">
        <v>4</v>
      </c>
      <c r="Q75" s="3">
        <v>5</v>
      </c>
      <c r="R75" s="4" t="s">
        <v>14</v>
      </c>
      <c r="S75" s="4" t="s">
        <v>14</v>
      </c>
      <c r="T75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76" spans="1:20" ht="18" x14ac:dyDescent="0.35">
      <c r="A76" s="3" t="s">
        <v>117</v>
      </c>
      <c r="B76" s="3" t="str">
        <f>IF(Table1[[#This Row],[Age]]&lt;25,"Under 25",IF(Table1[[#This Row],[Age]]&lt;35,"25-34",IF(Table1[[#This Row],[Age]]&lt;45,"35-44",IF(Table1[[#This Row],[Age]]&lt;55,"45-54","55+"))))</f>
        <v>25-34</v>
      </c>
      <c r="C76" s="3">
        <v>30</v>
      </c>
      <c r="D76" s="3" t="s">
        <v>7</v>
      </c>
      <c r="E76" s="3" t="s">
        <v>34</v>
      </c>
      <c r="F76" s="3" t="s">
        <v>35</v>
      </c>
      <c r="G76" s="3" t="s">
        <v>25</v>
      </c>
      <c r="H76" s="3" t="s">
        <v>19</v>
      </c>
      <c r="I76" s="3">
        <v>43976</v>
      </c>
      <c r="J76" s="3">
        <v>3</v>
      </c>
      <c r="K76" s="3">
        <v>3</v>
      </c>
      <c r="L76" s="3">
        <v>4</v>
      </c>
      <c r="M76" s="3">
        <v>3</v>
      </c>
      <c r="N76" s="3" t="s">
        <v>12</v>
      </c>
      <c r="O76" s="3" t="s">
        <v>13</v>
      </c>
      <c r="P76" s="3">
        <v>3</v>
      </c>
      <c r="Q76" s="3">
        <v>6</v>
      </c>
      <c r="R76" s="4" t="s">
        <v>14</v>
      </c>
      <c r="S76" s="4" t="s">
        <v>14</v>
      </c>
      <c r="T76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77" spans="1:20" ht="18" x14ac:dyDescent="0.35">
      <c r="A77" s="3" t="s">
        <v>118</v>
      </c>
      <c r="B77" s="3" t="str">
        <f>IF(Table1[[#This Row],[Age]]&lt;25,"Under 25",IF(Table1[[#This Row],[Age]]&lt;35,"25-34",IF(Table1[[#This Row],[Age]]&lt;45,"35-44",IF(Table1[[#This Row],[Age]]&lt;55,"45-54","55+"))))</f>
        <v>25-34</v>
      </c>
      <c r="C77" s="3">
        <v>33</v>
      </c>
      <c r="D77" s="3" t="s">
        <v>7</v>
      </c>
      <c r="E77" s="3" t="s">
        <v>51</v>
      </c>
      <c r="F77" s="3" t="s">
        <v>72</v>
      </c>
      <c r="G77" s="3" t="s">
        <v>18</v>
      </c>
      <c r="H77" s="3" t="s">
        <v>11</v>
      </c>
      <c r="I77" s="3">
        <v>54957</v>
      </c>
      <c r="J77" s="3">
        <v>4</v>
      </c>
      <c r="K77" s="3">
        <v>1</v>
      </c>
      <c r="L77" s="3">
        <v>4</v>
      </c>
      <c r="M77" s="3">
        <v>2</v>
      </c>
      <c r="N77" s="3" t="s">
        <v>14</v>
      </c>
      <c r="O77" s="3" t="s">
        <v>13</v>
      </c>
      <c r="P77" s="3">
        <v>3</v>
      </c>
      <c r="Q77" s="3">
        <v>0</v>
      </c>
      <c r="R77" s="4" t="s">
        <v>12</v>
      </c>
      <c r="S77" s="4" t="s">
        <v>14</v>
      </c>
      <c r="T77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78" spans="1:20" ht="18" x14ac:dyDescent="0.35">
      <c r="A78" s="3" t="s">
        <v>119</v>
      </c>
      <c r="B78" s="3" t="str">
        <f>IF(Table1[[#This Row],[Age]]&lt;25,"Under 25",IF(Table1[[#This Row],[Age]]&lt;35,"25-34",IF(Table1[[#This Row],[Age]]&lt;45,"35-44",IF(Table1[[#This Row],[Age]]&lt;55,"45-54","55+"))))</f>
        <v>35-44</v>
      </c>
      <c r="C78" s="3">
        <v>36</v>
      </c>
      <c r="D78" s="3" t="s">
        <v>22</v>
      </c>
      <c r="E78" s="3" t="s">
        <v>38</v>
      </c>
      <c r="F78" s="3" t="s">
        <v>39</v>
      </c>
      <c r="G78" s="3" t="s">
        <v>18</v>
      </c>
      <c r="H78" s="3" t="s">
        <v>11</v>
      </c>
      <c r="I78" s="3">
        <v>126802</v>
      </c>
      <c r="J78" s="3">
        <v>3</v>
      </c>
      <c r="K78" s="3">
        <v>0</v>
      </c>
      <c r="L78" s="3">
        <v>4</v>
      </c>
      <c r="M78" s="3">
        <v>4</v>
      </c>
      <c r="N78" s="3" t="s">
        <v>14</v>
      </c>
      <c r="O78" s="3" t="s">
        <v>13</v>
      </c>
      <c r="P78" s="3">
        <v>3</v>
      </c>
      <c r="Q78" s="3">
        <v>2</v>
      </c>
      <c r="R78" s="4" t="s">
        <v>14</v>
      </c>
      <c r="S78" s="4" t="s">
        <v>14</v>
      </c>
      <c r="T78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79" spans="1:20" ht="18" x14ac:dyDescent="0.35">
      <c r="A79" s="3" t="s">
        <v>120</v>
      </c>
      <c r="B79" s="3" t="str">
        <f>IF(Table1[[#This Row],[Age]]&lt;25,"Under 25",IF(Table1[[#This Row],[Age]]&lt;35,"25-34",IF(Table1[[#This Row],[Age]]&lt;45,"35-44",IF(Table1[[#This Row],[Age]]&lt;55,"45-54","55+"))))</f>
        <v>25-34</v>
      </c>
      <c r="C79" s="3">
        <v>32</v>
      </c>
      <c r="D79" s="3" t="s">
        <v>22</v>
      </c>
      <c r="E79" s="3" t="s">
        <v>16</v>
      </c>
      <c r="F79" s="3" t="s">
        <v>17</v>
      </c>
      <c r="G79" s="3" t="s">
        <v>25</v>
      </c>
      <c r="H79" s="3" t="s">
        <v>11</v>
      </c>
      <c r="I79" s="3">
        <v>65187</v>
      </c>
      <c r="J79" s="3">
        <v>7</v>
      </c>
      <c r="K79" s="3">
        <v>4</v>
      </c>
      <c r="L79" s="3">
        <v>3</v>
      </c>
      <c r="M79" s="3">
        <v>3</v>
      </c>
      <c r="N79" s="3" t="s">
        <v>12</v>
      </c>
      <c r="O79" s="3" t="s">
        <v>20</v>
      </c>
      <c r="P79" s="3">
        <v>3</v>
      </c>
      <c r="Q79" s="3">
        <v>0</v>
      </c>
      <c r="R79" s="4" t="s">
        <v>14</v>
      </c>
      <c r="S79" s="4" t="s">
        <v>14</v>
      </c>
      <c r="T79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80" spans="1:20" ht="18" x14ac:dyDescent="0.35">
      <c r="A80" s="3" t="s">
        <v>121</v>
      </c>
      <c r="B80" s="3" t="str">
        <f>IF(Table1[[#This Row],[Age]]&lt;25,"Under 25",IF(Table1[[#This Row],[Age]]&lt;35,"25-34",IF(Table1[[#This Row],[Age]]&lt;45,"35-44",IF(Table1[[#This Row],[Age]]&lt;55,"45-54","55+"))))</f>
        <v>35-44</v>
      </c>
      <c r="C80" s="3">
        <v>39</v>
      </c>
      <c r="D80" s="3" t="s">
        <v>22</v>
      </c>
      <c r="E80" s="3" t="s">
        <v>34</v>
      </c>
      <c r="F80" s="3" t="s">
        <v>91</v>
      </c>
      <c r="G80" s="3" t="s">
        <v>18</v>
      </c>
      <c r="H80" s="3" t="s">
        <v>11</v>
      </c>
      <c r="I80" s="3">
        <v>80415</v>
      </c>
      <c r="J80" s="3">
        <v>1</v>
      </c>
      <c r="K80" s="3">
        <v>1</v>
      </c>
      <c r="L80" s="3">
        <v>4</v>
      </c>
      <c r="M80" s="3">
        <v>4</v>
      </c>
      <c r="N80" s="3" t="s">
        <v>14</v>
      </c>
      <c r="O80" s="3" t="s">
        <v>13</v>
      </c>
      <c r="P80" s="3">
        <v>3</v>
      </c>
      <c r="Q80" s="3">
        <v>2</v>
      </c>
      <c r="R80" s="4" t="s">
        <v>14</v>
      </c>
      <c r="S80" s="4" t="s">
        <v>14</v>
      </c>
      <c r="T80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81" spans="1:20" ht="18" x14ac:dyDescent="0.35">
      <c r="A81" s="3" t="s">
        <v>122</v>
      </c>
      <c r="B81" s="3" t="str">
        <f>IF(Table1[[#This Row],[Age]]&lt;25,"Under 25",IF(Table1[[#This Row],[Age]]&lt;35,"25-34",IF(Table1[[#This Row],[Age]]&lt;45,"35-44",IF(Table1[[#This Row],[Age]]&lt;55,"45-54","55+"))))</f>
        <v>25-34</v>
      </c>
      <c r="C81" s="3">
        <v>32</v>
      </c>
      <c r="D81" s="3" t="s">
        <v>7</v>
      </c>
      <c r="E81" s="3" t="s">
        <v>16</v>
      </c>
      <c r="F81" s="3" t="s">
        <v>47</v>
      </c>
      <c r="G81" s="3" t="s">
        <v>18</v>
      </c>
      <c r="H81" s="3" t="s">
        <v>11</v>
      </c>
      <c r="I81" s="3">
        <v>43250</v>
      </c>
      <c r="J81" s="3">
        <v>4</v>
      </c>
      <c r="K81" s="3">
        <v>2</v>
      </c>
      <c r="L81" s="3">
        <v>1</v>
      </c>
      <c r="M81" s="3">
        <v>1</v>
      </c>
      <c r="N81" s="3" t="s">
        <v>14</v>
      </c>
      <c r="O81" s="3" t="s">
        <v>13</v>
      </c>
      <c r="P81" s="3">
        <v>2</v>
      </c>
      <c r="Q81" s="3">
        <v>2</v>
      </c>
      <c r="R81" s="4" t="s">
        <v>14</v>
      </c>
      <c r="S81" s="4" t="s">
        <v>14</v>
      </c>
      <c r="T81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82" spans="1:20" ht="18" x14ac:dyDescent="0.35">
      <c r="A82" s="3" t="s">
        <v>123</v>
      </c>
      <c r="B82" s="3" t="str">
        <f>IF(Table1[[#This Row],[Age]]&lt;25,"Under 25",IF(Table1[[#This Row],[Age]]&lt;35,"25-34",IF(Table1[[#This Row],[Age]]&lt;45,"35-44",IF(Table1[[#This Row],[Age]]&lt;55,"45-54","55+"))))</f>
        <v>25-34</v>
      </c>
      <c r="C82" s="3">
        <v>29</v>
      </c>
      <c r="D82" s="3" t="s">
        <v>22</v>
      </c>
      <c r="E82" s="3" t="s">
        <v>8</v>
      </c>
      <c r="F82" s="3" t="s">
        <v>9</v>
      </c>
      <c r="G82" s="3" t="s">
        <v>25</v>
      </c>
      <c r="H82" s="3" t="s">
        <v>11</v>
      </c>
      <c r="I82" s="3">
        <v>61371</v>
      </c>
      <c r="J82" s="3">
        <v>6</v>
      </c>
      <c r="K82" s="3">
        <v>0</v>
      </c>
      <c r="L82" s="3">
        <v>3</v>
      </c>
      <c r="M82" s="3">
        <v>2</v>
      </c>
      <c r="N82" s="3" t="s">
        <v>12</v>
      </c>
      <c r="O82" s="3" t="s">
        <v>13</v>
      </c>
      <c r="P82" s="3">
        <v>3</v>
      </c>
      <c r="Q82" s="3">
        <v>0</v>
      </c>
      <c r="R82" s="4" t="s">
        <v>14</v>
      </c>
      <c r="S82" s="4" t="s">
        <v>14</v>
      </c>
      <c r="T82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83" spans="1:20" ht="18" x14ac:dyDescent="0.35">
      <c r="A83" s="3" t="s">
        <v>124</v>
      </c>
      <c r="B83" s="3" t="str">
        <f>IF(Table1[[#This Row],[Age]]&lt;25,"Under 25",IF(Table1[[#This Row],[Age]]&lt;35,"25-34",IF(Table1[[#This Row],[Age]]&lt;45,"35-44",IF(Table1[[#This Row],[Age]]&lt;55,"45-54","55+"))))</f>
        <v>35-44</v>
      </c>
      <c r="C83" s="3">
        <v>38</v>
      </c>
      <c r="D83" s="3" t="s">
        <v>22</v>
      </c>
      <c r="E83" s="3" t="s">
        <v>16</v>
      </c>
      <c r="F83" s="3" t="s">
        <v>28</v>
      </c>
      <c r="G83" s="3" t="s">
        <v>45</v>
      </c>
      <c r="H83" s="3" t="s">
        <v>11</v>
      </c>
      <c r="I83" s="3">
        <v>87418</v>
      </c>
      <c r="J83" s="3">
        <v>7</v>
      </c>
      <c r="K83" s="3">
        <v>1</v>
      </c>
      <c r="L83" s="3">
        <v>4</v>
      </c>
      <c r="M83" s="3">
        <v>3</v>
      </c>
      <c r="N83" s="3" t="s">
        <v>12</v>
      </c>
      <c r="O83" s="3" t="s">
        <v>13</v>
      </c>
      <c r="P83" s="3">
        <v>3</v>
      </c>
      <c r="Q83" s="3">
        <v>1</v>
      </c>
      <c r="R83" s="4" t="s">
        <v>14</v>
      </c>
      <c r="S83" s="4" t="s">
        <v>14</v>
      </c>
      <c r="T83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84" spans="1:20" ht="18" x14ac:dyDescent="0.35">
      <c r="A84" s="3" t="s">
        <v>125</v>
      </c>
      <c r="B84" s="3" t="str">
        <f>IF(Table1[[#This Row],[Age]]&lt;25,"Under 25",IF(Table1[[#This Row],[Age]]&lt;35,"25-34",IF(Table1[[#This Row],[Age]]&lt;45,"35-44",IF(Table1[[#This Row],[Age]]&lt;55,"45-54","55+"))))</f>
        <v>25-34</v>
      </c>
      <c r="C84" s="3">
        <v>32</v>
      </c>
      <c r="D84" s="3" t="s">
        <v>22</v>
      </c>
      <c r="E84" s="3" t="s">
        <v>16</v>
      </c>
      <c r="F84" s="3" t="s">
        <v>17</v>
      </c>
      <c r="G84" s="3" t="s">
        <v>25</v>
      </c>
      <c r="H84" s="3" t="s">
        <v>11</v>
      </c>
      <c r="I84" s="3">
        <v>31838</v>
      </c>
      <c r="J84" s="3">
        <v>3</v>
      </c>
      <c r="K84" s="3">
        <v>3</v>
      </c>
      <c r="L84" s="3">
        <v>3</v>
      </c>
      <c r="M84" s="3">
        <v>3</v>
      </c>
      <c r="N84" s="3" t="s">
        <v>12</v>
      </c>
      <c r="O84" s="3" t="s">
        <v>13</v>
      </c>
      <c r="P84" s="3">
        <v>2</v>
      </c>
      <c r="Q84" s="3">
        <v>2</v>
      </c>
      <c r="R84" s="4" t="s">
        <v>12</v>
      </c>
      <c r="S84" s="4" t="s">
        <v>14</v>
      </c>
      <c r="T84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85" spans="1:20" ht="18" x14ac:dyDescent="0.35">
      <c r="A85" s="3" t="s">
        <v>126</v>
      </c>
      <c r="B85" s="3" t="str">
        <f>IF(Table1[[#This Row],[Age]]&lt;25,"Under 25",IF(Table1[[#This Row],[Age]]&lt;35,"25-34",IF(Table1[[#This Row],[Age]]&lt;45,"35-44",IF(Table1[[#This Row],[Age]]&lt;55,"45-54","55+"))))</f>
        <v>Under 25</v>
      </c>
      <c r="C85" s="3">
        <v>22</v>
      </c>
      <c r="D85" s="3" t="s">
        <v>22</v>
      </c>
      <c r="E85" s="3" t="s">
        <v>8</v>
      </c>
      <c r="F85" s="3" t="s">
        <v>9</v>
      </c>
      <c r="G85" s="3" t="s">
        <v>10</v>
      </c>
      <c r="H85" s="3" t="s">
        <v>11</v>
      </c>
      <c r="I85" s="3">
        <v>68269</v>
      </c>
      <c r="J85" s="3">
        <v>1</v>
      </c>
      <c r="K85" s="3">
        <v>1</v>
      </c>
      <c r="L85" s="3">
        <v>2</v>
      </c>
      <c r="M85" s="3">
        <v>3</v>
      </c>
      <c r="N85" s="3" t="s">
        <v>14</v>
      </c>
      <c r="O85" s="3" t="s">
        <v>13</v>
      </c>
      <c r="P85" s="3">
        <v>3</v>
      </c>
      <c r="Q85" s="3">
        <v>5</v>
      </c>
      <c r="R85" s="4" t="s">
        <v>12</v>
      </c>
      <c r="S85" s="4" t="s">
        <v>14</v>
      </c>
      <c r="T85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86" spans="1:20" ht="18" x14ac:dyDescent="0.35">
      <c r="A86" s="3" t="s">
        <v>127</v>
      </c>
      <c r="B86" s="3" t="str">
        <f>IF(Table1[[#This Row],[Age]]&lt;25,"Under 25",IF(Table1[[#This Row],[Age]]&lt;35,"25-34",IF(Table1[[#This Row],[Age]]&lt;45,"35-44",IF(Table1[[#This Row],[Age]]&lt;55,"45-54","55+"))))</f>
        <v>45-54</v>
      </c>
      <c r="C86" s="3">
        <v>47</v>
      </c>
      <c r="D86" s="3" t="s">
        <v>22</v>
      </c>
      <c r="E86" s="3" t="s">
        <v>16</v>
      </c>
      <c r="F86" s="3" t="s">
        <v>47</v>
      </c>
      <c r="G86" s="3" t="s">
        <v>25</v>
      </c>
      <c r="H86" s="3" t="s">
        <v>19</v>
      </c>
      <c r="I86" s="3">
        <v>59353</v>
      </c>
      <c r="J86" s="3">
        <v>23</v>
      </c>
      <c r="K86" s="3">
        <v>10</v>
      </c>
      <c r="L86" s="3">
        <v>1</v>
      </c>
      <c r="M86" s="3">
        <v>2</v>
      </c>
      <c r="N86" s="3" t="s">
        <v>14</v>
      </c>
      <c r="O86" s="3" t="s">
        <v>13</v>
      </c>
      <c r="P86" s="3">
        <v>3</v>
      </c>
      <c r="Q86" s="3">
        <v>3</v>
      </c>
      <c r="R86" s="4" t="s">
        <v>14</v>
      </c>
      <c r="S86" s="4" t="s">
        <v>12</v>
      </c>
      <c r="T86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87" spans="1:20" ht="18" x14ac:dyDescent="0.35">
      <c r="A87" s="3" t="s">
        <v>128</v>
      </c>
      <c r="B87" s="3" t="str">
        <f>IF(Table1[[#This Row],[Age]]&lt;25,"Under 25",IF(Table1[[#This Row],[Age]]&lt;35,"25-34",IF(Table1[[#This Row],[Age]]&lt;45,"35-44",IF(Table1[[#This Row],[Age]]&lt;55,"45-54","55+"))))</f>
        <v>25-34</v>
      </c>
      <c r="C87" s="3">
        <v>29</v>
      </c>
      <c r="D87" s="3" t="s">
        <v>7</v>
      </c>
      <c r="E87" s="3" t="s">
        <v>16</v>
      </c>
      <c r="F87" s="3" t="s">
        <v>28</v>
      </c>
      <c r="G87" s="3" t="s">
        <v>18</v>
      </c>
      <c r="H87" s="3" t="s">
        <v>19</v>
      </c>
      <c r="I87" s="3">
        <v>49328</v>
      </c>
      <c r="J87" s="3">
        <v>2</v>
      </c>
      <c r="K87" s="3">
        <v>0</v>
      </c>
      <c r="L87" s="3">
        <v>1</v>
      </c>
      <c r="M87" s="3">
        <v>3</v>
      </c>
      <c r="N87" s="3" t="s">
        <v>14</v>
      </c>
      <c r="O87" s="3" t="s">
        <v>13</v>
      </c>
      <c r="P87" s="3">
        <v>3</v>
      </c>
      <c r="Q87" s="3">
        <v>5</v>
      </c>
      <c r="R87" s="4" t="s">
        <v>14</v>
      </c>
      <c r="S87" s="4" t="s">
        <v>12</v>
      </c>
      <c r="T87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88" spans="1:20" ht="18" x14ac:dyDescent="0.35">
      <c r="A88" s="3" t="s">
        <v>129</v>
      </c>
      <c r="B88" s="3" t="str">
        <f>IF(Table1[[#This Row],[Age]]&lt;25,"Under 25",IF(Table1[[#This Row],[Age]]&lt;35,"25-34",IF(Table1[[#This Row],[Age]]&lt;45,"35-44",IF(Table1[[#This Row],[Age]]&lt;55,"45-54","55+"))))</f>
        <v>45-54</v>
      </c>
      <c r="C88" s="3">
        <v>45</v>
      </c>
      <c r="D88" s="3" t="s">
        <v>7</v>
      </c>
      <c r="E88" s="3" t="s">
        <v>51</v>
      </c>
      <c r="F88" s="3" t="s">
        <v>72</v>
      </c>
      <c r="G88" s="3" t="s">
        <v>18</v>
      </c>
      <c r="H88" s="3" t="s">
        <v>42</v>
      </c>
      <c r="I88" s="3">
        <v>93392</v>
      </c>
      <c r="J88" s="3">
        <v>3</v>
      </c>
      <c r="K88" s="3">
        <v>3</v>
      </c>
      <c r="L88" s="3">
        <v>3</v>
      </c>
      <c r="M88" s="3">
        <v>4</v>
      </c>
      <c r="N88" s="3" t="s">
        <v>14</v>
      </c>
      <c r="O88" s="3" t="s">
        <v>13</v>
      </c>
      <c r="P88" s="3">
        <v>3</v>
      </c>
      <c r="Q88" s="3">
        <v>5</v>
      </c>
      <c r="R88" s="4" t="s">
        <v>14</v>
      </c>
      <c r="S88" s="4" t="s">
        <v>14</v>
      </c>
      <c r="T88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89" spans="1:20" ht="18" x14ac:dyDescent="0.35">
      <c r="A89" s="3" t="s">
        <v>130</v>
      </c>
      <c r="B89" s="3" t="str">
        <f>IF(Table1[[#This Row],[Age]]&lt;25,"Under 25",IF(Table1[[#This Row],[Age]]&lt;35,"25-34",IF(Table1[[#This Row],[Age]]&lt;45,"35-44",IF(Table1[[#This Row],[Age]]&lt;55,"45-54","55+"))))</f>
        <v>35-44</v>
      </c>
      <c r="C89" s="3">
        <v>35</v>
      </c>
      <c r="D89" s="3" t="s">
        <v>7</v>
      </c>
      <c r="E89" s="3" t="s">
        <v>31</v>
      </c>
      <c r="F89" s="3" t="s">
        <v>32</v>
      </c>
      <c r="G89" s="3" t="s">
        <v>25</v>
      </c>
      <c r="H89" s="3" t="s">
        <v>11</v>
      </c>
      <c r="I89" s="3">
        <v>47564</v>
      </c>
      <c r="J89" s="3">
        <v>14</v>
      </c>
      <c r="K89" s="3">
        <v>5</v>
      </c>
      <c r="L89" s="3">
        <v>2</v>
      </c>
      <c r="M89" s="3">
        <v>2</v>
      </c>
      <c r="N89" s="3" t="s">
        <v>14</v>
      </c>
      <c r="O89" s="3" t="s">
        <v>26</v>
      </c>
      <c r="P89" s="3">
        <v>4</v>
      </c>
      <c r="Q89" s="3">
        <v>0</v>
      </c>
      <c r="R89" s="4" t="s">
        <v>14</v>
      </c>
      <c r="S89" s="4" t="s">
        <v>14</v>
      </c>
      <c r="T89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90" spans="1:20" ht="18" x14ac:dyDescent="0.35">
      <c r="A90" s="3" t="s">
        <v>131</v>
      </c>
      <c r="B90" s="3" t="str">
        <f>IF(Table1[[#This Row],[Age]]&lt;25,"Under 25",IF(Table1[[#This Row],[Age]]&lt;35,"25-34",IF(Table1[[#This Row],[Age]]&lt;45,"35-44",IF(Table1[[#This Row],[Age]]&lt;55,"45-54","55+"))))</f>
        <v>25-34</v>
      </c>
      <c r="C90" s="3">
        <v>33</v>
      </c>
      <c r="D90" s="3" t="s">
        <v>7</v>
      </c>
      <c r="E90" s="3" t="s">
        <v>38</v>
      </c>
      <c r="F90" s="3" t="s">
        <v>59</v>
      </c>
      <c r="G90" s="3" t="s">
        <v>18</v>
      </c>
      <c r="H90" s="3" t="s">
        <v>11</v>
      </c>
      <c r="I90" s="3">
        <v>86280</v>
      </c>
      <c r="J90" s="3">
        <v>14</v>
      </c>
      <c r="K90" s="3">
        <v>10</v>
      </c>
      <c r="L90" s="3">
        <v>3</v>
      </c>
      <c r="M90" s="3">
        <v>3</v>
      </c>
      <c r="N90" s="3" t="s">
        <v>14</v>
      </c>
      <c r="O90" s="3" t="s">
        <v>13</v>
      </c>
      <c r="P90" s="3">
        <v>3</v>
      </c>
      <c r="Q90" s="3">
        <v>2</v>
      </c>
      <c r="R90" s="4" t="s">
        <v>14</v>
      </c>
      <c r="S90" s="4" t="s">
        <v>14</v>
      </c>
      <c r="T90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91" spans="1:20" ht="18" x14ac:dyDescent="0.35">
      <c r="A91" s="3" t="s">
        <v>132</v>
      </c>
      <c r="B91" s="3" t="str">
        <f>IF(Table1[[#This Row],[Age]]&lt;25,"Under 25",IF(Table1[[#This Row],[Age]]&lt;35,"25-34",IF(Table1[[#This Row],[Age]]&lt;45,"35-44",IF(Table1[[#This Row],[Age]]&lt;55,"45-54","55+"))))</f>
        <v>35-44</v>
      </c>
      <c r="C91" s="3">
        <v>41</v>
      </c>
      <c r="D91" s="3" t="s">
        <v>22</v>
      </c>
      <c r="E91" s="3" t="s">
        <v>34</v>
      </c>
      <c r="F91" s="3" t="s">
        <v>91</v>
      </c>
      <c r="G91" s="3" t="s">
        <v>10</v>
      </c>
      <c r="H91" s="3" t="s">
        <v>11</v>
      </c>
      <c r="I91" s="3">
        <v>63909</v>
      </c>
      <c r="J91" s="3">
        <v>18</v>
      </c>
      <c r="K91" s="3">
        <v>7</v>
      </c>
      <c r="L91" s="3">
        <v>2</v>
      </c>
      <c r="M91" s="3">
        <v>4</v>
      </c>
      <c r="N91" s="3" t="s">
        <v>12</v>
      </c>
      <c r="O91" s="3" t="s">
        <v>13</v>
      </c>
      <c r="P91" s="3">
        <v>3</v>
      </c>
      <c r="Q91" s="3">
        <v>6</v>
      </c>
      <c r="R91" s="4" t="s">
        <v>14</v>
      </c>
      <c r="S91" s="4" t="s">
        <v>14</v>
      </c>
      <c r="T91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92" spans="1:20" ht="18" x14ac:dyDescent="0.35">
      <c r="A92" s="3" t="s">
        <v>133</v>
      </c>
      <c r="B92" s="3" t="str">
        <f>IF(Table1[[#This Row],[Age]]&lt;25,"Under 25",IF(Table1[[#This Row],[Age]]&lt;35,"25-34",IF(Table1[[#This Row],[Age]]&lt;45,"35-44",IF(Table1[[#This Row],[Age]]&lt;55,"45-54","55+"))))</f>
        <v>45-54</v>
      </c>
      <c r="C92" s="3">
        <v>47</v>
      </c>
      <c r="D92" s="3" t="s">
        <v>7</v>
      </c>
      <c r="E92" s="3" t="s">
        <v>16</v>
      </c>
      <c r="F92" s="3" t="s">
        <v>17</v>
      </c>
      <c r="G92" s="3" t="s">
        <v>25</v>
      </c>
      <c r="H92" s="3" t="s">
        <v>11</v>
      </c>
      <c r="I92" s="3">
        <v>60203</v>
      </c>
      <c r="J92" s="3">
        <v>1</v>
      </c>
      <c r="K92" s="3">
        <v>1</v>
      </c>
      <c r="L92" s="3">
        <v>4</v>
      </c>
      <c r="M92" s="3">
        <v>4</v>
      </c>
      <c r="N92" s="3" t="s">
        <v>14</v>
      </c>
      <c r="O92" s="3" t="s">
        <v>13</v>
      </c>
      <c r="P92" s="3">
        <v>2</v>
      </c>
      <c r="Q92" s="3">
        <v>3</v>
      </c>
      <c r="R92" s="4" t="s">
        <v>14</v>
      </c>
      <c r="S92" s="4" t="s">
        <v>14</v>
      </c>
      <c r="T92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93" spans="1:20" ht="18" x14ac:dyDescent="0.35">
      <c r="A93" s="3" t="s">
        <v>134</v>
      </c>
      <c r="B93" s="3" t="str">
        <f>IF(Table1[[#This Row],[Age]]&lt;25,"Under 25",IF(Table1[[#This Row],[Age]]&lt;35,"25-34",IF(Table1[[#This Row],[Age]]&lt;45,"35-44",IF(Table1[[#This Row],[Age]]&lt;55,"45-54","55+"))))</f>
        <v>25-34</v>
      </c>
      <c r="C93" s="3">
        <v>31</v>
      </c>
      <c r="D93" s="3" t="s">
        <v>7</v>
      </c>
      <c r="E93" s="3" t="s">
        <v>34</v>
      </c>
      <c r="F93" s="3" t="s">
        <v>35</v>
      </c>
      <c r="G93" s="3" t="s">
        <v>18</v>
      </c>
      <c r="H93" s="3" t="s">
        <v>11</v>
      </c>
      <c r="I93" s="3">
        <v>22000</v>
      </c>
      <c r="J93" s="3">
        <v>6</v>
      </c>
      <c r="K93" s="3">
        <v>5</v>
      </c>
      <c r="L93" s="3">
        <v>3</v>
      </c>
      <c r="M93" s="3">
        <v>4</v>
      </c>
      <c r="N93" s="3" t="s">
        <v>12</v>
      </c>
      <c r="O93" s="3" t="s">
        <v>20</v>
      </c>
      <c r="P93" s="3">
        <v>3</v>
      </c>
      <c r="Q93" s="3">
        <v>6</v>
      </c>
      <c r="R93" s="4" t="s">
        <v>14</v>
      </c>
      <c r="S93" s="4" t="s">
        <v>14</v>
      </c>
      <c r="T93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94" spans="1:20" ht="18" x14ac:dyDescent="0.35">
      <c r="A94" s="3" t="s">
        <v>135</v>
      </c>
      <c r="B94" s="3" t="str">
        <f>IF(Table1[[#This Row],[Age]]&lt;25,"Under 25",IF(Table1[[#This Row],[Age]]&lt;35,"25-34",IF(Table1[[#This Row],[Age]]&lt;45,"35-44",IF(Table1[[#This Row],[Age]]&lt;55,"45-54","55+"))))</f>
        <v>Under 25</v>
      </c>
      <c r="C94" s="3">
        <v>21</v>
      </c>
      <c r="D94" s="3" t="s">
        <v>7</v>
      </c>
      <c r="E94" s="3" t="s">
        <v>31</v>
      </c>
      <c r="F94" s="3" t="s">
        <v>136</v>
      </c>
      <c r="G94" s="3" t="s">
        <v>18</v>
      </c>
      <c r="H94" s="3" t="s">
        <v>11</v>
      </c>
      <c r="I94" s="3">
        <v>92123</v>
      </c>
      <c r="J94" s="3">
        <v>2</v>
      </c>
      <c r="K94" s="3">
        <v>2</v>
      </c>
      <c r="L94" s="3">
        <v>3</v>
      </c>
      <c r="M94" s="3">
        <v>3</v>
      </c>
      <c r="N94" s="3" t="s">
        <v>14</v>
      </c>
      <c r="O94" s="3" t="s">
        <v>20</v>
      </c>
      <c r="P94" s="3">
        <v>3</v>
      </c>
      <c r="Q94" s="3">
        <v>4</v>
      </c>
      <c r="R94" s="4" t="s">
        <v>14</v>
      </c>
      <c r="S94" s="4" t="s">
        <v>14</v>
      </c>
      <c r="T94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95" spans="1:20" ht="18" x14ac:dyDescent="0.35">
      <c r="A95" s="3" t="s">
        <v>137</v>
      </c>
      <c r="B95" s="3" t="str">
        <f>IF(Table1[[#This Row],[Age]]&lt;25,"Under 25",IF(Table1[[#This Row],[Age]]&lt;35,"25-34",IF(Table1[[#This Row],[Age]]&lt;45,"35-44",IF(Table1[[#This Row],[Age]]&lt;55,"45-54","55+"))))</f>
        <v>35-44</v>
      </c>
      <c r="C95" s="3">
        <v>44</v>
      </c>
      <c r="D95" s="3" t="s">
        <v>22</v>
      </c>
      <c r="E95" s="3" t="s">
        <v>31</v>
      </c>
      <c r="F95" s="3" t="s">
        <v>32</v>
      </c>
      <c r="G95" s="3" t="s">
        <v>25</v>
      </c>
      <c r="H95" s="3" t="s">
        <v>19</v>
      </c>
      <c r="I95" s="3">
        <v>52663</v>
      </c>
      <c r="J95" s="3">
        <v>15</v>
      </c>
      <c r="K95" s="3">
        <v>2</v>
      </c>
      <c r="L95" s="3">
        <v>3</v>
      </c>
      <c r="M95" s="3">
        <v>3</v>
      </c>
      <c r="N95" s="3" t="s">
        <v>14</v>
      </c>
      <c r="O95" s="3" t="s">
        <v>13</v>
      </c>
      <c r="P95" s="3">
        <v>3</v>
      </c>
      <c r="Q95" s="3">
        <v>6</v>
      </c>
      <c r="R95" s="4" t="s">
        <v>12</v>
      </c>
      <c r="S95" s="4" t="s">
        <v>14</v>
      </c>
      <c r="T95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96" spans="1:20" ht="18" x14ac:dyDescent="0.35">
      <c r="A96" s="3" t="s">
        <v>138</v>
      </c>
      <c r="B96" s="3" t="str">
        <f>IF(Table1[[#This Row],[Age]]&lt;25,"Under 25",IF(Table1[[#This Row],[Age]]&lt;35,"25-34",IF(Table1[[#This Row],[Age]]&lt;45,"35-44",IF(Table1[[#This Row],[Age]]&lt;55,"45-54","55+"))))</f>
        <v>35-44</v>
      </c>
      <c r="C96" s="3">
        <v>38</v>
      </c>
      <c r="D96" s="3" t="s">
        <v>22</v>
      </c>
      <c r="E96" s="3" t="s">
        <v>38</v>
      </c>
      <c r="F96" s="3" t="s">
        <v>39</v>
      </c>
      <c r="G96" s="3" t="s">
        <v>45</v>
      </c>
      <c r="H96" s="3" t="s">
        <v>19</v>
      </c>
      <c r="I96" s="3">
        <v>75308</v>
      </c>
      <c r="J96" s="3">
        <v>8</v>
      </c>
      <c r="K96" s="3">
        <v>3</v>
      </c>
      <c r="L96" s="3">
        <v>3</v>
      </c>
      <c r="M96" s="3">
        <v>4</v>
      </c>
      <c r="N96" s="3" t="s">
        <v>14</v>
      </c>
      <c r="O96" s="3" t="s">
        <v>13</v>
      </c>
      <c r="P96" s="3">
        <v>3</v>
      </c>
      <c r="Q96" s="3">
        <v>6</v>
      </c>
      <c r="R96" s="4" t="s">
        <v>12</v>
      </c>
      <c r="S96" s="4" t="s">
        <v>14</v>
      </c>
      <c r="T96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97" spans="1:20" ht="18" x14ac:dyDescent="0.35">
      <c r="A97" s="3" t="s">
        <v>139</v>
      </c>
      <c r="B97" s="3" t="str">
        <f>IF(Table1[[#This Row],[Age]]&lt;25,"Under 25",IF(Table1[[#This Row],[Age]]&lt;35,"25-34",IF(Table1[[#This Row],[Age]]&lt;45,"35-44",IF(Table1[[#This Row],[Age]]&lt;55,"45-54","55+"))))</f>
        <v>35-44</v>
      </c>
      <c r="C97" s="3">
        <v>42</v>
      </c>
      <c r="D97" s="3" t="s">
        <v>22</v>
      </c>
      <c r="E97" s="3" t="s">
        <v>8</v>
      </c>
      <c r="F97" s="3" t="s">
        <v>23</v>
      </c>
      <c r="G97" s="3" t="s">
        <v>25</v>
      </c>
      <c r="H97" s="3" t="s">
        <v>11</v>
      </c>
      <c r="I97" s="3">
        <v>59436</v>
      </c>
      <c r="J97" s="3">
        <v>13</v>
      </c>
      <c r="K97" s="3">
        <v>11</v>
      </c>
      <c r="L97" s="3">
        <v>4</v>
      </c>
      <c r="M97" s="3">
        <v>4</v>
      </c>
      <c r="N97" s="3" t="s">
        <v>14</v>
      </c>
      <c r="O97" s="3" t="s">
        <v>26</v>
      </c>
      <c r="P97" s="3">
        <v>3</v>
      </c>
      <c r="Q97" s="3">
        <v>6</v>
      </c>
      <c r="R97" s="4" t="s">
        <v>14</v>
      </c>
      <c r="S97" s="4" t="s">
        <v>14</v>
      </c>
      <c r="T97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98" spans="1:20" ht="18" x14ac:dyDescent="0.35">
      <c r="A98" s="3" t="s">
        <v>140</v>
      </c>
      <c r="B98" s="3" t="str">
        <f>IF(Table1[[#This Row],[Age]]&lt;25,"Under 25",IF(Table1[[#This Row],[Age]]&lt;35,"25-34",IF(Table1[[#This Row],[Age]]&lt;45,"35-44",IF(Table1[[#This Row],[Age]]&lt;55,"45-54","55+"))))</f>
        <v>Under 25</v>
      </c>
      <c r="C98" s="3">
        <v>21</v>
      </c>
      <c r="D98" s="3" t="s">
        <v>7</v>
      </c>
      <c r="E98" s="3" t="s">
        <v>31</v>
      </c>
      <c r="F98" s="3" t="s">
        <v>32</v>
      </c>
      <c r="G98" s="3" t="s">
        <v>10</v>
      </c>
      <c r="H98" s="3" t="s">
        <v>42</v>
      </c>
      <c r="I98" s="3">
        <v>83964</v>
      </c>
      <c r="J98" s="3">
        <v>0</v>
      </c>
      <c r="K98" s="3">
        <v>0</v>
      </c>
      <c r="L98" s="3">
        <v>2</v>
      </c>
      <c r="M98" s="3">
        <v>2</v>
      </c>
      <c r="N98" s="3" t="s">
        <v>12</v>
      </c>
      <c r="O98" s="3" t="s">
        <v>26</v>
      </c>
      <c r="P98" s="3">
        <v>4</v>
      </c>
      <c r="Q98" s="3">
        <v>0</v>
      </c>
      <c r="R98" s="4" t="s">
        <v>14</v>
      </c>
      <c r="S98" s="4" t="s">
        <v>14</v>
      </c>
      <c r="T98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Less than 1 Year</v>
      </c>
    </row>
    <row r="99" spans="1:20" ht="18" x14ac:dyDescent="0.35">
      <c r="A99" s="3" t="s">
        <v>141</v>
      </c>
      <c r="B99" s="3" t="str">
        <f>IF(Table1[[#This Row],[Age]]&lt;25,"Under 25",IF(Table1[[#This Row],[Age]]&lt;35,"25-34",IF(Table1[[#This Row],[Age]]&lt;45,"35-44",IF(Table1[[#This Row],[Age]]&lt;55,"45-54","55+"))))</f>
        <v>35-44</v>
      </c>
      <c r="C99" s="3">
        <v>39</v>
      </c>
      <c r="D99" s="3" t="s">
        <v>22</v>
      </c>
      <c r="E99" s="3" t="s">
        <v>16</v>
      </c>
      <c r="F99" s="3" t="s">
        <v>47</v>
      </c>
      <c r="G99" s="3" t="s">
        <v>18</v>
      </c>
      <c r="H99" s="3" t="s">
        <v>11</v>
      </c>
      <c r="I99" s="3">
        <v>71407</v>
      </c>
      <c r="J99" s="3">
        <v>17</v>
      </c>
      <c r="K99" s="3">
        <v>5</v>
      </c>
      <c r="L99" s="3">
        <v>4</v>
      </c>
      <c r="M99" s="3">
        <v>3</v>
      </c>
      <c r="N99" s="3" t="s">
        <v>14</v>
      </c>
      <c r="O99" s="3" t="s">
        <v>13</v>
      </c>
      <c r="P99" s="3">
        <v>3</v>
      </c>
      <c r="Q99" s="3">
        <v>3</v>
      </c>
      <c r="R99" s="4" t="s">
        <v>14</v>
      </c>
      <c r="S99" s="4" t="s">
        <v>14</v>
      </c>
      <c r="T99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100" spans="1:20" ht="18" x14ac:dyDescent="0.35">
      <c r="A100" s="3" t="s">
        <v>142</v>
      </c>
      <c r="B100" s="3" t="str">
        <f>IF(Table1[[#This Row],[Age]]&lt;25,"Under 25",IF(Table1[[#This Row],[Age]]&lt;35,"25-34",IF(Table1[[#This Row],[Age]]&lt;45,"35-44",IF(Table1[[#This Row],[Age]]&lt;55,"45-54","55+"))))</f>
        <v>25-34</v>
      </c>
      <c r="C100" s="3">
        <v>29</v>
      </c>
      <c r="D100" s="3" t="s">
        <v>7</v>
      </c>
      <c r="E100" s="3" t="s">
        <v>31</v>
      </c>
      <c r="F100" s="3" t="s">
        <v>136</v>
      </c>
      <c r="G100" s="3" t="s">
        <v>18</v>
      </c>
      <c r="H100" s="3" t="s">
        <v>19</v>
      </c>
      <c r="I100" s="3">
        <v>53063</v>
      </c>
      <c r="J100" s="3">
        <v>10</v>
      </c>
      <c r="K100" s="3">
        <v>6</v>
      </c>
      <c r="L100" s="3">
        <v>2</v>
      </c>
      <c r="M100" s="3">
        <v>2</v>
      </c>
      <c r="N100" s="3" t="s">
        <v>12</v>
      </c>
      <c r="O100" s="3" t="s">
        <v>13</v>
      </c>
      <c r="P100" s="3">
        <v>3</v>
      </c>
      <c r="Q100" s="3">
        <v>4</v>
      </c>
      <c r="R100" s="4" t="s">
        <v>14</v>
      </c>
      <c r="S100" s="4" t="s">
        <v>14</v>
      </c>
      <c r="T100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101" spans="1:20" ht="18" x14ac:dyDescent="0.35">
      <c r="A101" s="3" t="s">
        <v>143</v>
      </c>
      <c r="B101" s="3" t="str">
        <f>IF(Table1[[#This Row],[Age]]&lt;25,"Under 25",IF(Table1[[#This Row],[Age]]&lt;35,"25-34",IF(Table1[[#This Row],[Age]]&lt;45,"35-44",IF(Table1[[#This Row],[Age]]&lt;55,"45-54","55+"))))</f>
        <v>35-44</v>
      </c>
      <c r="C101" s="3">
        <v>40</v>
      </c>
      <c r="D101" s="3" t="s">
        <v>22</v>
      </c>
      <c r="E101" s="3" t="s">
        <v>16</v>
      </c>
      <c r="F101" s="3" t="s">
        <v>28</v>
      </c>
      <c r="G101" s="3" t="s">
        <v>25</v>
      </c>
      <c r="H101" s="3" t="s">
        <v>11</v>
      </c>
      <c r="I101" s="3">
        <v>79338</v>
      </c>
      <c r="J101" s="3">
        <v>4</v>
      </c>
      <c r="K101" s="3">
        <v>1</v>
      </c>
      <c r="L101" s="3">
        <v>3</v>
      </c>
      <c r="M101" s="3">
        <v>2</v>
      </c>
      <c r="N101" s="3" t="s">
        <v>12</v>
      </c>
      <c r="O101" s="3" t="s">
        <v>13</v>
      </c>
      <c r="P101" s="3">
        <v>4</v>
      </c>
      <c r="Q101" s="3">
        <v>6</v>
      </c>
      <c r="R101" s="4" t="s">
        <v>14</v>
      </c>
      <c r="S101" s="4" t="s">
        <v>14</v>
      </c>
      <c r="T101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102" spans="1:20" ht="18" x14ac:dyDescent="0.35">
      <c r="A102" s="3" t="s">
        <v>144</v>
      </c>
      <c r="B102" s="3" t="str">
        <f>IF(Table1[[#This Row],[Age]]&lt;25,"Under 25",IF(Table1[[#This Row],[Age]]&lt;35,"25-34",IF(Table1[[#This Row],[Age]]&lt;45,"35-44",IF(Table1[[#This Row],[Age]]&lt;55,"45-54","55+"))))</f>
        <v>35-44</v>
      </c>
      <c r="C102" s="3">
        <v>35</v>
      </c>
      <c r="D102" s="3" t="s">
        <v>22</v>
      </c>
      <c r="E102" s="3" t="s">
        <v>38</v>
      </c>
      <c r="F102" s="3" t="s">
        <v>39</v>
      </c>
      <c r="G102" s="3" t="s">
        <v>45</v>
      </c>
      <c r="H102" s="3" t="s">
        <v>19</v>
      </c>
      <c r="I102" s="3">
        <v>60393</v>
      </c>
      <c r="J102" s="3">
        <v>5</v>
      </c>
      <c r="K102" s="3">
        <v>4</v>
      </c>
      <c r="L102" s="3">
        <v>2</v>
      </c>
      <c r="M102" s="3">
        <v>2</v>
      </c>
      <c r="N102" s="3" t="s">
        <v>14</v>
      </c>
      <c r="O102" s="3" t="s">
        <v>13</v>
      </c>
      <c r="P102" s="3">
        <v>3</v>
      </c>
      <c r="Q102" s="3">
        <v>5</v>
      </c>
      <c r="R102" s="4" t="s">
        <v>14</v>
      </c>
      <c r="S102" s="4" t="s">
        <v>14</v>
      </c>
      <c r="T102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103" spans="1:20" ht="18" x14ac:dyDescent="0.35">
      <c r="A103" s="3" t="s">
        <v>145</v>
      </c>
      <c r="B103" s="3" t="str">
        <f>IF(Table1[[#This Row],[Age]]&lt;25,"Under 25",IF(Table1[[#This Row],[Age]]&lt;35,"25-34",IF(Table1[[#This Row],[Age]]&lt;45,"35-44",IF(Table1[[#This Row],[Age]]&lt;55,"45-54","55+"))))</f>
        <v>35-44</v>
      </c>
      <c r="C103" s="3">
        <v>36</v>
      </c>
      <c r="D103" s="3" t="s">
        <v>7</v>
      </c>
      <c r="E103" s="3" t="s">
        <v>16</v>
      </c>
      <c r="F103" s="3" t="s">
        <v>17</v>
      </c>
      <c r="G103" s="3" t="s">
        <v>18</v>
      </c>
      <c r="H103" s="3" t="s">
        <v>42</v>
      </c>
      <c r="I103" s="3">
        <v>55320</v>
      </c>
      <c r="J103" s="3">
        <v>9</v>
      </c>
      <c r="K103" s="3">
        <v>0</v>
      </c>
      <c r="L103" s="3">
        <v>4</v>
      </c>
      <c r="M103" s="3">
        <v>3</v>
      </c>
      <c r="N103" s="3" t="s">
        <v>14</v>
      </c>
      <c r="O103" s="3" t="s">
        <v>13</v>
      </c>
      <c r="P103" s="3">
        <v>2</v>
      </c>
      <c r="Q103" s="3">
        <v>3</v>
      </c>
      <c r="R103" s="4" t="s">
        <v>14</v>
      </c>
      <c r="S103" s="4" t="s">
        <v>14</v>
      </c>
      <c r="T103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104" spans="1:20" ht="18" x14ac:dyDescent="0.35">
      <c r="A104" s="3" t="s">
        <v>146</v>
      </c>
      <c r="B104" s="3" t="str">
        <f>IF(Table1[[#This Row],[Age]]&lt;25,"Under 25",IF(Table1[[#This Row],[Age]]&lt;35,"25-34",IF(Table1[[#This Row],[Age]]&lt;45,"35-44",IF(Table1[[#This Row],[Age]]&lt;55,"45-54","55+"))))</f>
        <v>25-34</v>
      </c>
      <c r="C104" s="3">
        <v>32</v>
      </c>
      <c r="D104" s="3" t="s">
        <v>7</v>
      </c>
      <c r="E104" s="3" t="s">
        <v>31</v>
      </c>
      <c r="F104" s="3" t="s">
        <v>74</v>
      </c>
      <c r="G104" s="3" t="s">
        <v>10</v>
      </c>
      <c r="H104" s="3" t="s">
        <v>11</v>
      </c>
      <c r="I104" s="3">
        <v>57838</v>
      </c>
      <c r="J104" s="3">
        <v>4</v>
      </c>
      <c r="K104" s="3">
        <v>2</v>
      </c>
      <c r="L104" s="3">
        <v>4</v>
      </c>
      <c r="M104" s="3">
        <v>3</v>
      </c>
      <c r="N104" s="3" t="s">
        <v>12</v>
      </c>
      <c r="O104" s="3" t="s">
        <v>13</v>
      </c>
      <c r="P104" s="3">
        <v>3</v>
      </c>
      <c r="Q104" s="3">
        <v>1</v>
      </c>
      <c r="R104" s="4" t="s">
        <v>14</v>
      </c>
      <c r="S104" s="4" t="s">
        <v>14</v>
      </c>
      <c r="T104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105" spans="1:20" ht="18" x14ac:dyDescent="0.35">
      <c r="A105" s="3" t="s">
        <v>147</v>
      </c>
      <c r="B105" s="3" t="str">
        <f>IF(Table1[[#This Row],[Age]]&lt;25,"Under 25",IF(Table1[[#This Row],[Age]]&lt;35,"25-34",IF(Table1[[#This Row],[Age]]&lt;45,"35-44",IF(Table1[[#This Row],[Age]]&lt;55,"45-54","55+"))))</f>
        <v>35-44</v>
      </c>
      <c r="C105" s="3">
        <v>38</v>
      </c>
      <c r="D105" s="3" t="s">
        <v>22</v>
      </c>
      <c r="E105" s="3" t="s">
        <v>38</v>
      </c>
      <c r="F105" s="3" t="s">
        <v>59</v>
      </c>
      <c r="G105" s="3" t="s">
        <v>10</v>
      </c>
      <c r="H105" s="3" t="s">
        <v>19</v>
      </c>
      <c r="I105" s="3">
        <v>65885</v>
      </c>
      <c r="J105" s="3">
        <v>7</v>
      </c>
      <c r="K105" s="3">
        <v>5</v>
      </c>
      <c r="L105" s="3">
        <v>3</v>
      </c>
      <c r="M105" s="3">
        <v>3</v>
      </c>
      <c r="N105" s="3" t="s">
        <v>14</v>
      </c>
      <c r="O105" s="3" t="s">
        <v>13</v>
      </c>
      <c r="P105" s="3">
        <v>3</v>
      </c>
      <c r="Q105" s="3">
        <v>5</v>
      </c>
      <c r="R105" s="4" t="s">
        <v>14</v>
      </c>
      <c r="S105" s="4" t="s">
        <v>14</v>
      </c>
      <c r="T105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106" spans="1:20" ht="18" x14ac:dyDescent="0.35">
      <c r="A106" s="3" t="s">
        <v>148</v>
      </c>
      <c r="B106" s="3" t="str">
        <f>IF(Table1[[#This Row],[Age]]&lt;25,"Under 25",IF(Table1[[#This Row],[Age]]&lt;35,"25-34",IF(Table1[[#This Row],[Age]]&lt;45,"35-44",IF(Table1[[#This Row],[Age]]&lt;55,"45-54","55+"))))</f>
        <v>Under 25</v>
      </c>
      <c r="C106" s="3">
        <v>23</v>
      </c>
      <c r="D106" s="3" t="s">
        <v>22</v>
      </c>
      <c r="E106" s="3" t="s">
        <v>16</v>
      </c>
      <c r="F106" s="3" t="s">
        <v>47</v>
      </c>
      <c r="G106" s="3" t="s">
        <v>18</v>
      </c>
      <c r="H106" s="3" t="s">
        <v>19</v>
      </c>
      <c r="I106" s="3">
        <v>102528</v>
      </c>
      <c r="J106" s="3">
        <v>4</v>
      </c>
      <c r="K106" s="3">
        <v>0</v>
      </c>
      <c r="L106" s="3">
        <v>2</v>
      </c>
      <c r="M106" s="3">
        <v>3</v>
      </c>
      <c r="N106" s="3" t="s">
        <v>12</v>
      </c>
      <c r="O106" s="3" t="s">
        <v>13</v>
      </c>
      <c r="P106" s="3">
        <v>3</v>
      </c>
      <c r="Q106" s="3">
        <v>5</v>
      </c>
      <c r="R106" s="4" t="s">
        <v>14</v>
      </c>
      <c r="S106" s="4" t="s">
        <v>14</v>
      </c>
      <c r="T106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107" spans="1:20" ht="18" x14ac:dyDescent="0.35">
      <c r="A107" s="3" t="s">
        <v>149</v>
      </c>
      <c r="B107" s="3" t="str">
        <f>IF(Table1[[#This Row],[Age]]&lt;25,"Under 25",IF(Table1[[#This Row],[Age]]&lt;35,"25-34",IF(Table1[[#This Row],[Age]]&lt;45,"35-44",IF(Table1[[#This Row],[Age]]&lt;55,"45-54","55+"))))</f>
        <v>25-34</v>
      </c>
      <c r="C107" s="3">
        <v>30</v>
      </c>
      <c r="D107" s="3" t="s">
        <v>22</v>
      </c>
      <c r="E107" s="3" t="s">
        <v>34</v>
      </c>
      <c r="F107" s="3" t="s">
        <v>150</v>
      </c>
      <c r="G107" s="3" t="s">
        <v>18</v>
      </c>
      <c r="H107" s="3" t="s">
        <v>11</v>
      </c>
      <c r="I107" s="3">
        <v>57220</v>
      </c>
      <c r="J107" s="3">
        <v>1</v>
      </c>
      <c r="K107" s="3">
        <v>1</v>
      </c>
      <c r="L107" s="3">
        <v>3</v>
      </c>
      <c r="M107" s="3">
        <v>4</v>
      </c>
      <c r="N107" s="3" t="s">
        <v>12</v>
      </c>
      <c r="O107" s="3" t="s">
        <v>20</v>
      </c>
      <c r="P107" s="3">
        <v>3</v>
      </c>
      <c r="Q107" s="3">
        <v>4</v>
      </c>
      <c r="R107" s="4" t="s">
        <v>14</v>
      </c>
      <c r="S107" s="4" t="s">
        <v>12</v>
      </c>
      <c r="T107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108" spans="1:20" ht="18" x14ac:dyDescent="0.35">
      <c r="A108" s="3" t="s">
        <v>151</v>
      </c>
      <c r="B108" s="3" t="str">
        <f>IF(Table1[[#This Row],[Age]]&lt;25,"Under 25",IF(Table1[[#This Row],[Age]]&lt;35,"25-34",IF(Table1[[#This Row],[Age]]&lt;45,"35-44",IF(Table1[[#This Row],[Age]]&lt;55,"45-54","55+"))))</f>
        <v>Under 25</v>
      </c>
      <c r="C108" s="3">
        <v>21</v>
      </c>
      <c r="D108" s="3" t="s">
        <v>22</v>
      </c>
      <c r="E108" s="3" t="s">
        <v>34</v>
      </c>
      <c r="F108" s="3" t="s">
        <v>150</v>
      </c>
      <c r="G108" s="3" t="s">
        <v>25</v>
      </c>
      <c r="H108" s="3" t="s">
        <v>11</v>
      </c>
      <c r="I108" s="3">
        <v>108945</v>
      </c>
      <c r="J108" s="3">
        <v>3</v>
      </c>
      <c r="K108" s="3">
        <v>3</v>
      </c>
      <c r="L108" s="3">
        <v>2</v>
      </c>
      <c r="M108" s="3">
        <v>2</v>
      </c>
      <c r="N108" s="3" t="s">
        <v>14</v>
      </c>
      <c r="O108" s="3" t="s">
        <v>13</v>
      </c>
      <c r="P108" s="3">
        <v>3</v>
      </c>
      <c r="Q108" s="3">
        <v>6</v>
      </c>
      <c r="R108" s="4" t="s">
        <v>14</v>
      </c>
      <c r="S108" s="4" t="s">
        <v>14</v>
      </c>
      <c r="T108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109" spans="1:20" ht="18" x14ac:dyDescent="0.35">
      <c r="A109" s="3" t="s">
        <v>152</v>
      </c>
      <c r="B109" s="3" t="str">
        <f>IF(Table1[[#This Row],[Age]]&lt;25,"Under 25",IF(Table1[[#This Row],[Age]]&lt;35,"25-34",IF(Table1[[#This Row],[Age]]&lt;45,"35-44",IF(Table1[[#This Row],[Age]]&lt;55,"45-54","55+"))))</f>
        <v>Under 25</v>
      </c>
      <c r="C109" s="3">
        <v>21</v>
      </c>
      <c r="D109" s="3" t="s">
        <v>22</v>
      </c>
      <c r="E109" s="3" t="s">
        <v>38</v>
      </c>
      <c r="F109" s="3" t="s">
        <v>89</v>
      </c>
      <c r="G109" s="3" t="s">
        <v>25</v>
      </c>
      <c r="H109" s="3" t="s">
        <v>11</v>
      </c>
      <c r="I109" s="3">
        <v>60855</v>
      </c>
      <c r="J109" s="3">
        <v>3</v>
      </c>
      <c r="K109" s="3">
        <v>1</v>
      </c>
      <c r="L109" s="3">
        <v>4</v>
      </c>
      <c r="M109" s="3">
        <v>3</v>
      </c>
      <c r="N109" s="3" t="s">
        <v>14</v>
      </c>
      <c r="O109" s="3" t="s">
        <v>26</v>
      </c>
      <c r="P109" s="3">
        <v>3</v>
      </c>
      <c r="Q109" s="3">
        <v>6</v>
      </c>
      <c r="R109" s="4" t="s">
        <v>14</v>
      </c>
      <c r="S109" s="4" t="s">
        <v>14</v>
      </c>
      <c r="T109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110" spans="1:20" ht="18" x14ac:dyDescent="0.35">
      <c r="A110" s="3" t="s">
        <v>153</v>
      </c>
      <c r="B110" s="3" t="str">
        <f>IF(Table1[[#This Row],[Age]]&lt;25,"Under 25",IF(Table1[[#This Row],[Age]]&lt;35,"25-34",IF(Table1[[#This Row],[Age]]&lt;45,"35-44",IF(Table1[[#This Row],[Age]]&lt;55,"45-54","55+"))))</f>
        <v>25-34</v>
      </c>
      <c r="C110" s="3">
        <v>27</v>
      </c>
      <c r="D110" s="3" t="s">
        <v>22</v>
      </c>
      <c r="E110" s="3" t="s">
        <v>16</v>
      </c>
      <c r="F110" s="3" t="s">
        <v>17</v>
      </c>
      <c r="G110" s="3" t="s">
        <v>25</v>
      </c>
      <c r="H110" s="3" t="s">
        <v>11</v>
      </c>
      <c r="I110" s="3">
        <v>27878</v>
      </c>
      <c r="J110" s="3">
        <v>1</v>
      </c>
      <c r="K110" s="3">
        <v>1</v>
      </c>
      <c r="L110" s="3">
        <v>4</v>
      </c>
      <c r="M110" s="3">
        <v>4</v>
      </c>
      <c r="N110" s="3" t="s">
        <v>12</v>
      </c>
      <c r="O110" s="3" t="s">
        <v>13</v>
      </c>
      <c r="P110" s="3">
        <v>3</v>
      </c>
      <c r="Q110" s="3">
        <v>5</v>
      </c>
      <c r="R110" s="4" t="s">
        <v>14</v>
      </c>
      <c r="S110" s="4" t="s">
        <v>14</v>
      </c>
      <c r="T110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111" spans="1:20" ht="18" x14ac:dyDescent="0.35">
      <c r="A111" s="3" t="s">
        <v>154</v>
      </c>
      <c r="B111" s="3" t="str">
        <f>IF(Table1[[#This Row],[Age]]&lt;25,"Under 25",IF(Table1[[#This Row],[Age]]&lt;35,"25-34",IF(Table1[[#This Row],[Age]]&lt;45,"35-44",IF(Table1[[#This Row],[Age]]&lt;55,"45-54","55+"))))</f>
        <v>Under 25</v>
      </c>
      <c r="C111" s="3">
        <v>22</v>
      </c>
      <c r="D111" s="3" t="s">
        <v>22</v>
      </c>
      <c r="E111" s="3" t="s">
        <v>34</v>
      </c>
      <c r="F111" s="3" t="s">
        <v>91</v>
      </c>
      <c r="G111" s="3" t="s">
        <v>10</v>
      </c>
      <c r="H111" s="3" t="s">
        <v>19</v>
      </c>
      <c r="I111" s="3">
        <v>49064</v>
      </c>
      <c r="J111" s="3">
        <v>0</v>
      </c>
      <c r="K111" s="3">
        <v>0</v>
      </c>
      <c r="L111" s="3">
        <v>4</v>
      </c>
      <c r="M111" s="3">
        <v>3</v>
      </c>
      <c r="N111" s="3" t="s">
        <v>12</v>
      </c>
      <c r="O111" s="3" t="s">
        <v>13</v>
      </c>
      <c r="P111" s="3">
        <v>3</v>
      </c>
      <c r="Q111" s="3">
        <v>5</v>
      </c>
      <c r="R111" s="4" t="s">
        <v>14</v>
      </c>
      <c r="S111" s="4" t="s">
        <v>14</v>
      </c>
      <c r="T111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Less than 1 Year</v>
      </c>
    </row>
    <row r="112" spans="1:20" ht="18" x14ac:dyDescent="0.35">
      <c r="A112" s="3" t="s">
        <v>155</v>
      </c>
      <c r="B112" s="3" t="str">
        <f>IF(Table1[[#This Row],[Age]]&lt;25,"Under 25",IF(Table1[[#This Row],[Age]]&lt;35,"25-34",IF(Table1[[#This Row],[Age]]&lt;45,"35-44",IF(Table1[[#This Row],[Age]]&lt;55,"45-54","55+"))))</f>
        <v>25-34</v>
      </c>
      <c r="C112" s="3">
        <v>27</v>
      </c>
      <c r="D112" s="3" t="s">
        <v>7</v>
      </c>
      <c r="E112" s="3" t="s">
        <v>8</v>
      </c>
      <c r="F112" s="3" t="s">
        <v>23</v>
      </c>
      <c r="G112" s="3" t="s">
        <v>25</v>
      </c>
      <c r="H112" s="3" t="s">
        <v>19</v>
      </c>
      <c r="I112" s="3">
        <v>39403</v>
      </c>
      <c r="J112" s="3">
        <v>8</v>
      </c>
      <c r="K112" s="3">
        <v>8</v>
      </c>
      <c r="L112" s="3">
        <v>2</v>
      </c>
      <c r="M112" s="3">
        <v>3</v>
      </c>
      <c r="N112" s="3" t="s">
        <v>14</v>
      </c>
      <c r="O112" s="3" t="s">
        <v>13</v>
      </c>
      <c r="P112" s="3">
        <v>3</v>
      </c>
      <c r="Q112" s="3">
        <v>1</v>
      </c>
      <c r="R112" s="4" t="s">
        <v>14</v>
      </c>
      <c r="S112" s="4" t="s">
        <v>14</v>
      </c>
      <c r="T112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113" spans="1:20" ht="18" x14ac:dyDescent="0.35">
      <c r="A113" s="3" t="s">
        <v>156</v>
      </c>
      <c r="B113" s="3" t="str">
        <f>IF(Table1[[#This Row],[Age]]&lt;25,"Under 25",IF(Table1[[#This Row],[Age]]&lt;35,"25-34",IF(Table1[[#This Row],[Age]]&lt;45,"35-44",IF(Table1[[#This Row],[Age]]&lt;55,"45-54","55+"))))</f>
        <v>Under 25</v>
      </c>
      <c r="C113" s="3">
        <v>21</v>
      </c>
      <c r="D113" s="3" t="s">
        <v>22</v>
      </c>
      <c r="E113" s="3" t="s">
        <v>51</v>
      </c>
      <c r="F113" s="3" t="s">
        <v>80</v>
      </c>
      <c r="G113" s="3" t="s">
        <v>25</v>
      </c>
      <c r="H113" s="3" t="s">
        <v>11</v>
      </c>
      <c r="I113" s="3">
        <v>91171</v>
      </c>
      <c r="J113" s="3">
        <v>3</v>
      </c>
      <c r="K113" s="3">
        <v>0</v>
      </c>
      <c r="L113" s="3">
        <v>3</v>
      </c>
      <c r="M113" s="3">
        <v>4</v>
      </c>
      <c r="N113" s="3" t="s">
        <v>14</v>
      </c>
      <c r="O113" s="3" t="s">
        <v>13</v>
      </c>
      <c r="P113" s="3">
        <v>3</v>
      </c>
      <c r="Q113" s="3">
        <v>1</v>
      </c>
      <c r="R113" s="4" t="s">
        <v>14</v>
      </c>
      <c r="S113" s="4" t="s">
        <v>14</v>
      </c>
      <c r="T113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114" spans="1:20" ht="18" x14ac:dyDescent="0.35">
      <c r="A114" s="3" t="s">
        <v>157</v>
      </c>
      <c r="B114" s="3" t="str">
        <f>IF(Table1[[#This Row],[Age]]&lt;25,"Under 25",IF(Table1[[#This Row],[Age]]&lt;35,"25-34",IF(Table1[[#This Row],[Age]]&lt;45,"35-44",IF(Table1[[#This Row],[Age]]&lt;55,"45-54","55+"))))</f>
        <v>25-34</v>
      </c>
      <c r="C114" s="3">
        <v>29</v>
      </c>
      <c r="D114" s="3" t="s">
        <v>22</v>
      </c>
      <c r="E114" s="3" t="s">
        <v>38</v>
      </c>
      <c r="F114" s="3" t="s">
        <v>89</v>
      </c>
      <c r="G114" s="3" t="s">
        <v>25</v>
      </c>
      <c r="H114" s="3" t="s">
        <v>11</v>
      </c>
      <c r="I114" s="3">
        <v>74955</v>
      </c>
      <c r="J114" s="3">
        <v>7</v>
      </c>
      <c r="K114" s="3">
        <v>1</v>
      </c>
      <c r="L114" s="3">
        <v>3</v>
      </c>
      <c r="M114" s="3">
        <v>4</v>
      </c>
      <c r="N114" s="3" t="s">
        <v>14</v>
      </c>
      <c r="O114" s="3" t="s">
        <v>13</v>
      </c>
      <c r="P114" s="3">
        <v>3</v>
      </c>
      <c r="Q114" s="3">
        <v>6</v>
      </c>
      <c r="R114" s="4" t="s">
        <v>12</v>
      </c>
      <c r="S114" s="4" t="s">
        <v>14</v>
      </c>
      <c r="T114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115" spans="1:20" ht="18" x14ac:dyDescent="0.35">
      <c r="A115" s="3" t="s">
        <v>158</v>
      </c>
      <c r="B115" s="3" t="str">
        <f>IF(Table1[[#This Row],[Age]]&lt;25,"Under 25",IF(Table1[[#This Row],[Age]]&lt;35,"25-34",IF(Table1[[#This Row],[Age]]&lt;45,"35-44",IF(Table1[[#This Row],[Age]]&lt;55,"45-54","55+"))))</f>
        <v>35-44</v>
      </c>
      <c r="C115" s="3">
        <v>36</v>
      </c>
      <c r="D115" s="3" t="s">
        <v>22</v>
      </c>
      <c r="E115" s="3" t="s">
        <v>34</v>
      </c>
      <c r="F115" s="3" t="s">
        <v>91</v>
      </c>
      <c r="G115" s="3" t="s">
        <v>25</v>
      </c>
      <c r="H115" s="3" t="s">
        <v>19</v>
      </c>
      <c r="I115" s="3">
        <v>56556</v>
      </c>
      <c r="J115" s="3">
        <v>4</v>
      </c>
      <c r="K115" s="3">
        <v>4</v>
      </c>
      <c r="L115" s="3">
        <v>2</v>
      </c>
      <c r="M115" s="3">
        <v>2</v>
      </c>
      <c r="N115" s="3" t="s">
        <v>14</v>
      </c>
      <c r="O115" s="3" t="s">
        <v>13</v>
      </c>
      <c r="P115" s="3">
        <v>4</v>
      </c>
      <c r="Q115" s="3">
        <v>3</v>
      </c>
      <c r="R115" s="4" t="s">
        <v>14</v>
      </c>
      <c r="S115" s="4" t="s">
        <v>14</v>
      </c>
      <c r="T115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116" spans="1:20" ht="18" x14ac:dyDescent="0.35">
      <c r="A116" s="3" t="s">
        <v>159</v>
      </c>
      <c r="B116" s="3" t="str">
        <f>IF(Table1[[#This Row],[Age]]&lt;25,"Under 25",IF(Table1[[#This Row],[Age]]&lt;35,"25-34",IF(Table1[[#This Row],[Age]]&lt;45,"35-44",IF(Table1[[#This Row],[Age]]&lt;55,"45-54","55+"))))</f>
        <v>35-44</v>
      </c>
      <c r="C116" s="3">
        <v>41</v>
      </c>
      <c r="D116" s="3" t="s">
        <v>7</v>
      </c>
      <c r="E116" s="3" t="s">
        <v>16</v>
      </c>
      <c r="F116" s="3" t="s">
        <v>47</v>
      </c>
      <c r="G116" s="3" t="s">
        <v>18</v>
      </c>
      <c r="H116" s="3" t="s">
        <v>11</v>
      </c>
      <c r="I116" s="3">
        <v>69233</v>
      </c>
      <c r="J116" s="3">
        <v>15</v>
      </c>
      <c r="K116" s="3">
        <v>2</v>
      </c>
      <c r="L116" s="3">
        <v>4</v>
      </c>
      <c r="M116" s="3">
        <v>4</v>
      </c>
      <c r="N116" s="3" t="s">
        <v>14</v>
      </c>
      <c r="O116" s="3" t="s">
        <v>26</v>
      </c>
      <c r="P116" s="3">
        <v>4</v>
      </c>
      <c r="Q116" s="3">
        <v>1</v>
      </c>
      <c r="R116" s="4" t="s">
        <v>14</v>
      </c>
      <c r="S116" s="4" t="s">
        <v>14</v>
      </c>
      <c r="T116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117" spans="1:20" ht="18" x14ac:dyDescent="0.35">
      <c r="A117" s="3" t="s">
        <v>160</v>
      </c>
      <c r="B117" s="3" t="str">
        <f>IF(Table1[[#This Row],[Age]]&lt;25,"Under 25",IF(Table1[[#This Row],[Age]]&lt;35,"25-34",IF(Table1[[#This Row],[Age]]&lt;45,"35-44",IF(Table1[[#This Row],[Age]]&lt;55,"45-54","55+"))))</f>
        <v>Under 25</v>
      </c>
      <c r="C117" s="3">
        <v>21</v>
      </c>
      <c r="D117" s="3" t="s">
        <v>22</v>
      </c>
      <c r="E117" s="3" t="s">
        <v>38</v>
      </c>
      <c r="F117" s="3" t="s">
        <v>59</v>
      </c>
      <c r="G117" s="3" t="s">
        <v>25</v>
      </c>
      <c r="H117" s="3" t="s">
        <v>11</v>
      </c>
      <c r="I117" s="3">
        <v>65182</v>
      </c>
      <c r="J117" s="3">
        <v>3</v>
      </c>
      <c r="K117" s="3">
        <v>1</v>
      </c>
      <c r="L117" s="3">
        <v>3</v>
      </c>
      <c r="M117" s="3">
        <v>3</v>
      </c>
      <c r="N117" s="3" t="s">
        <v>12</v>
      </c>
      <c r="O117" s="3" t="s">
        <v>13</v>
      </c>
      <c r="P117" s="3">
        <v>3</v>
      </c>
      <c r="Q117" s="3">
        <v>2</v>
      </c>
      <c r="R117" s="4" t="s">
        <v>14</v>
      </c>
      <c r="S117" s="4" t="s">
        <v>14</v>
      </c>
      <c r="T117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118" spans="1:20" ht="18" x14ac:dyDescent="0.35">
      <c r="A118" s="3" t="s">
        <v>161</v>
      </c>
      <c r="B118" s="3" t="str">
        <f>IF(Table1[[#This Row],[Age]]&lt;25,"Under 25",IF(Table1[[#This Row],[Age]]&lt;35,"25-34",IF(Table1[[#This Row],[Age]]&lt;45,"35-44",IF(Table1[[#This Row],[Age]]&lt;55,"45-54","55+"))))</f>
        <v>25-34</v>
      </c>
      <c r="C118" s="3">
        <v>30</v>
      </c>
      <c r="D118" s="3" t="s">
        <v>22</v>
      </c>
      <c r="E118" s="3" t="s">
        <v>34</v>
      </c>
      <c r="F118" s="3" t="s">
        <v>35</v>
      </c>
      <c r="G118" s="3" t="s">
        <v>25</v>
      </c>
      <c r="H118" s="3" t="s">
        <v>11</v>
      </c>
      <c r="I118" s="3">
        <v>76798</v>
      </c>
      <c r="J118" s="3">
        <v>10</v>
      </c>
      <c r="K118" s="3">
        <v>8</v>
      </c>
      <c r="L118" s="3">
        <v>3</v>
      </c>
      <c r="M118" s="3">
        <v>3</v>
      </c>
      <c r="N118" s="3" t="s">
        <v>14</v>
      </c>
      <c r="O118" s="3" t="s">
        <v>20</v>
      </c>
      <c r="P118" s="3">
        <v>4</v>
      </c>
      <c r="Q118" s="3">
        <v>1</v>
      </c>
      <c r="R118" s="4" t="s">
        <v>14</v>
      </c>
      <c r="S118" s="4" t="s">
        <v>14</v>
      </c>
      <c r="T118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119" spans="1:20" ht="18" x14ac:dyDescent="0.35">
      <c r="A119" s="3" t="s">
        <v>162</v>
      </c>
      <c r="B119" s="3" t="str">
        <f>IF(Table1[[#This Row],[Age]]&lt;25,"Under 25",IF(Table1[[#This Row],[Age]]&lt;35,"25-34",IF(Table1[[#This Row],[Age]]&lt;45,"35-44",IF(Table1[[#This Row],[Age]]&lt;55,"45-54","55+"))))</f>
        <v>35-44</v>
      </c>
      <c r="C119" s="3">
        <v>44</v>
      </c>
      <c r="D119" s="3" t="s">
        <v>7</v>
      </c>
      <c r="E119" s="3" t="s">
        <v>31</v>
      </c>
      <c r="F119" s="3" t="s">
        <v>32</v>
      </c>
      <c r="G119" s="3" t="s">
        <v>25</v>
      </c>
      <c r="H119" s="3" t="s">
        <v>11</v>
      </c>
      <c r="I119" s="3">
        <v>69927</v>
      </c>
      <c r="J119" s="3">
        <v>5</v>
      </c>
      <c r="K119" s="3">
        <v>0</v>
      </c>
      <c r="L119" s="3">
        <v>4</v>
      </c>
      <c r="M119" s="3">
        <v>2</v>
      </c>
      <c r="N119" s="3" t="s">
        <v>12</v>
      </c>
      <c r="O119" s="3" t="s">
        <v>13</v>
      </c>
      <c r="P119" s="3">
        <v>4</v>
      </c>
      <c r="Q119" s="3">
        <v>3</v>
      </c>
      <c r="R119" s="4" t="s">
        <v>14</v>
      </c>
      <c r="S119" s="4" t="s">
        <v>14</v>
      </c>
      <c r="T119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120" spans="1:20" ht="18" x14ac:dyDescent="0.35">
      <c r="A120" s="3" t="s">
        <v>163</v>
      </c>
      <c r="B120" s="3" t="str">
        <f>IF(Table1[[#This Row],[Age]]&lt;25,"Under 25",IF(Table1[[#This Row],[Age]]&lt;35,"25-34",IF(Table1[[#This Row],[Age]]&lt;45,"35-44",IF(Table1[[#This Row],[Age]]&lt;55,"45-54","55+"))))</f>
        <v>25-34</v>
      </c>
      <c r="C120" s="3">
        <v>32</v>
      </c>
      <c r="D120" s="3" t="s">
        <v>22</v>
      </c>
      <c r="E120" s="3" t="s">
        <v>8</v>
      </c>
      <c r="F120" s="3" t="s">
        <v>23</v>
      </c>
      <c r="G120" s="3" t="s">
        <v>18</v>
      </c>
      <c r="H120" s="3" t="s">
        <v>11</v>
      </c>
      <c r="I120" s="3">
        <v>42440</v>
      </c>
      <c r="J120" s="3">
        <v>12</v>
      </c>
      <c r="K120" s="3">
        <v>5</v>
      </c>
      <c r="L120" s="3">
        <v>3</v>
      </c>
      <c r="M120" s="3">
        <v>3</v>
      </c>
      <c r="N120" s="3" t="s">
        <v>14</v>
      </c>
      <c r="O120" s="3" t="s">
        <v>13</v>
      </c>
      <c r="P120" s="3">
        <v>4</v>
      </c>
      <c r="Q120" s="3">
        <v>1</v>
      </c>
      <c r="R120" s="4" t="s">
        <v>12</v>
      </c>
      <c r="S120" s="4" t="s">
        <v>14</v>
      </c>
      <c r="T120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121" spans="1:20" ht="18" x14ac:dyDescent="0.35">
      <c r="A121" s="3" t="s">
        <v>164</v>
      </c>
      <c r="B121" s="3" t="str">
        <f>IF(Table1[[#This Row],[Age]]&lt;25,"Under 25",IF(Table1[[#This Row],[Age]]&lt;35,"25-34",IF(Table1[[#This Row],[Age]]&lt;45,"35-44",IF(Table1[[#This Row],[Age]]&lt;55,"45-54","55+"))))</f>
        <v>Under 25</v>
      </c>
      <c r="C121" s="3">
        <v>23</v>
      </c>
      <c r="D121" s="3" t="s">
        <v>22</v>
      </c>
      <c r="E121" s="3" t="s">
        <v>34</v>
      </c>
      <c r="F121" s="3" t="s">
        <v>35</v>
      </c>
      <c r="G121" s="3" t="s">
        <v>10</v>
      </c>
      <c r="H121" s="3" t="s">
        <v>11</v>
      </c>
      <c r="I121" s="3">
        <v>68925</v>
      </c>
      <c r="J121" s="3">
        <v>1</v>
      </c>
      <c r="K121" s="3">
        <v>1</v>
      </c>
      <c r="L121" s="3">
        <v>2</v>
      </c>
      <c r="M121" s="3">
        <v>3</v>
      </c>
      <c r="N121" s="3" t="s">
        <v>12</v>
      </c>
      <c r="O121" s="3" t="s">
        <v>13</v>
      </c>
      <c r="P121" s="3">
        <v>3</v>
      </c>
      <c r="Q121" s="3">
        <v>2</v>
      </c>
      <c r="R121" s="4" t="s">
        <v>14</v>
      </c>
      <c r="S121" s="4" t="s">
        <v>14</v>
      </c>
      <c r="T121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122" spans="1:20" ht="18" x14ac:dyDescent="0.35">
      <c r="A122" s="3" t="s">
        <v>165</v>
      </c>
      <c r="B122" s="3" t="str">
        <f>IF(Table1[[#This Row],[Age]]&lt;25,"Under 25",IF(Table1[[#This Row],[Age]]&lt;35,"25-34",IF(Table1[[#This Row],[Age]]&lt;45,"35-44",IF(Table1[[#This Row],[Age]]&lt;55,"45-54","55+"))))</f>
        <v>25-34</v>
      </c>
      <c r="C122" s="3">
        <v>31</v>
      </c>
      <c r="D122" s="3" t="s">
        <v>7</v>
      </c>
      <c r="E122" s="3" t="s">
        <v>51</v>
      </c>
      <c r="F122" s="3" t="s">
        <v>52</v>
      </c>
      <c r="G122" s="3" t="s">
        <v>25</v>
      </c>
      <c r="H122" s="3" t="s">
        <v>19</v>
      </c>
      <c r="I122" s="3">
        <v>87548</v>
      </c>
      <c r="J122" s="3">
        <v>6</v>
      </c>
      <c r="K122" s="3">
        <v>0</v>
      </c>
      <c r="L122" s="3">
        <v>4</v>
      </c>
      <c r="M122" s="3">
        <v>4</v>
      </c>
      <c r="N122" s="3" t="s">
        <v>14</v>
      </c>
      <c r="O122" s="3" t="s">
        <v>13</v>
      </c>
      <c r="P122" s="3">
        <v>3</v>
      </c>
      <c r="Q122" s="3">
        <v>4</v>
      </c>
      <c r="R122" s="4" t="s">
        <v>14</v>
      </c>
      <c r="S122" s="4" t="s">
        <v>14</v>
      </c>
      <c r="T122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123" spans="1:20" ht="18" x14ac:dyDescent="0.35">
      <c r="A123" s="3" t="s">
        <v>166</v>
      </c>
      <c r="B123" s="3" t="str">
        <f>IF(Table1[[#This Row],[Age]]&lt;25,"Under 25",IF(Table1[[#This Row],[Age]]&lt;35,"25-34",IF(Table1[[#This Row],[Age]]&lt;45,"35-44",IF(Table1[[#This Row],[Age]]&lt;55,"45-54","55+"))))</f>
        <v>35-44</v>
      </c>
      <c r="C123" s="3">
        <v>43</v>
      </c>
      <c r="D123" s="3" t="s">
        <v>7</v>
      </c>
      <c r="E123" s="3" t="s">
        <v>16</v>
      </c>
      <c r="F123" s="3" t="s">
        <v>47</v>
      </c>
      <c r="G123" s="3" t="s">
        <v>10</v>
      </c>
      <c r="H123" s="3" t="s">
        <v>11</v>
      </c>
      <c r="I123" s="3">
        <v>50420</v>
      </c>
      <c r="J123" s="3">
        <v>4</v>
      </c>
      <c r="K123" s="3">
        <v>0</v>
      </c>
      <c r="L123" s="3">
        <v>4</v>
      </c>
      <c r="M123" s="3">
        <v>1</v>
      </c>
      <c r="N123" s="3" t="s">
        <v>14</v>
      </c>
      <c r="O123" s="3" t="s">
        <v>20</v>
      </c>
      <c r="P123" s="3">
        <v>3</v>
      </c>
      <c r="Q123" s="3">
        <v>0</v>
      </c>
      <c r="R123" s="4" t="s">
        <v>14</v>
      </c>
      <c r="S123" s="4" t="s">
        <v>14</v>
      </c>
      <c r="T123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124" spans="1:20" ht="18" x14ac:dyDescent="0.35">
      <c r="A124" s="3" t="s">
        <v>167</v>
      </c>
      <c r="B124" s="3" t="str">
        <f>IF(Table1[[#This Row],[Age]]&lt;25,"Under 25",IF(Table1[[#This Row],[Age]]&lt;35,"25-34",IF(Table1[[#This Row],[Age]]&lt;45,"35-44",IF(Table1[[#This Row],[Age]]&lt;55,"45-54","55+"))))</f>
        <v>35-44</v>
      </c>
      <c r="C124" s="3">
        <v>42</v>
      </c>
      <c r="D124" s="3" t="s">
        <v>7</v>
      </c>
      <c r="E124" s="3" t="s">
        <v>8</v>
      </c>
      <c r="F124" s="3" t="s">
        <v>9</v>
      </c>
      <c r="G124" s="3" t="s">
        <v>18</v>
      </c>
      <c r="H124" s="3" t="s">
        <v>11</v>
      </c>
      <c r="I124" s="3">
        <v>60829</v>
      </c>
      <c r="J124" s="3">
        <v>11</v>
      </c>
      <c r="K124" s="3">
        <v>2</v>
      </c>
      <c r="L124" s="3">
        <v>4</v>
      </c>
      <c r="M124" s="3">
        <v>2</v>
      </c>
      <c r="N124" s="3" t="s">
        <v>14</v>
      </c>
      <c r="O124" s="3" t="s">
        <v>13</v>
      </c>
      <c r="P124" s="3">
        <v>4</v>
      </c>
      <c r="Q124" s="3">
        <v>3</v>
      </c>
      <c r="R124" s="4" t="s">
        <v>14</v>
      </c>
      <c r="S124" s="4" t="s">
        <v>14</v>
      </c>
      <c r="T124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125" spans="1:20" ht="18" x14ac:dyDescent="0.35">
      <c r="A125" s="3" t="s">
        <v>168</v>
      </c>
      <c r="B125" s="3" t="str">
        <f>IF(Table1[[#This Row],[Age]]&lt;25,"Under 25",IF(Table1[[#This Row],[Age]]&lt;35,"25-34",IF(Table1[[#This Row],[Age]]&lt;45,"35-44",IF(Table1[[#This Row],[Age]]&lt;55,"45-54","55+"))))</f>
        <v>35-44</v>
      </c>
      <c r="C125" s="3">
        <v>42</v>
      </c>
      <c r="D125" s="3" t="s">
        <v>7</v>
      </c>
      <c r="E125" s="3" t="s">
        <v>34</v>
      </c>
      <c r="F125" s="3" t="s">
        <v>35</v>
      </c>
      <c r="G125" s="3" t="s">
        <v>10</v>
      </c>
      <c r="H125" s="3" t="s">
        <v>11</v>
      </c>
      <c r="I125" s="3">
        <v>51383</v>
      </c>
      <c r="J125" s="3">
        <v>11</v>
      </c>
      <c r="K125" s="3">
        <v>8</v>
      </c>
      <c r="L125" s="3">
        <v>2</v>
      </c>
      <c r="M125" s="3">
        <v>3</v>
      </c>
      <c r="N125" s="3" t="s">
        <v>14</v>
      </c>
      <c r="O125" s="3" t="s">
        <v>13</v>
      </c>
      <c r="P125" s="3">
        <v>3</v>
      </c>
      <c r="Q125" s="3">
        <v>3</v>
      </c>
      <c r="R125" s="4" t="s">
        <v>14</v>
      </c>
      <c r="S125" s="4" t="s">
        <v>14</v>
      </c>
      <c r="T125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126" spans="1:20" ht="18" x14ac:dyDescent="0.35">
      <c r="A126" s="3" t="s">
        <v>169</v>
      </c>
      <c r="B126" s="3" t="str">
        <f>IF(Table1[[#This Row],[Age]]&lt;25,"Under 25",IF(Table1[[#This Row],[Age]]&lt;35,"25-34",IF(Table1[[#This Row],[Age]]&lt;45,"35-44",IF(Table1[[#This Row],[Age]]&lt;55,"45-54","55+"))))</f>
        <v>25-34</v>
      </c>
      <c r="C126" s="3">
        <v>26</v>
      </c>
      <c r="D126" s="3" t="s">
        <v>7</v>
      </c>
      <c r="E126" s="3" t="s">
        <v>8</v>
      </c>
      <c r="F126" s="3" t="s">
        <v>9</v>
      </c>
      <c r="G126" s="3" t="s">
        <v>25</v>
      </c>
      <c r="H126" s="3" t="s">
        <v>11</v>
      </c>
      <c r="I126" s="3">
        <v>61825</v>
      </c>
      <c r="J126" s="3">
        <v>0</v>
      </c>
      <c r="K126" s="3">
        <v>0</v>
      </c>
      <c r="L126" s="3">
        <v>1</v>
      </c>
      <c r="M126" s="3">
        <v>2</v>
      </c>
      <c r="N126" s="3" t="s">
        <v>14</v>
      </c>
      <c r="O126" s="3" t="s">
        <v>13</v>
      </c>
      <c r="P126" s="3">
        <v>3</v>
      </c>
      <c r="Q126" s="3">
        <v>5</v>
      </c>
      <c r="R126" s="4" t="s">
        <v>14</v>
      </c>
      <c r="S126" s="4" t="s">
        <v>14</v>
      </c>
      <c r="T126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Less than 1 Year</v>
      </c>
    </row>
    <row r="127" spans="1:20" ht="18" x14ac:dyDescent="0.35">
      <c r="A127" s="3" t="s">
        <v>170</v>
      </c>
      <c r="B127" s="3" t="str">
        <f>IF(Table1[[#This Row],[Age]]&lt;25,"Under 25",IF(Table1[[#This Row],[Age]]&lt;35,"25-34",IF(Table1[[#This Row],[Age]]&lt;45,"35-44",IF(Table1[[#This Row],[Age]]&lt;55,"45-54","55+"))))</f>
        <v>Under 25</v>
      </c>
      <c r="C127" s="3">
        <v>24</v>
      </c>
      <c r="D127" s="3" t="s">
        <v>7</v>
      </c>
      <c r="E127" s="3" t="s">
        <v>51</v>
      </c>
      <c r="F127" s="3" t="s">
        <v>80</v>
      </c>
      <c r="G127" s="3" t="s">
        <v>25</v>
      </c>
      <c r="H127" s="3" t="s">
        <v>19</v>
      </c>
      <c r="I127" s="3">
        <v>40328</v>
      </c>
      <c r="J127" s="3">
        <v>6</v>
      </c>
      <c r="K127" s="3">
        <v>6</v>
      </c>
      <c r="L127" s="3">
        <v>3</v>
      </c>
      <c r="M127" s="3">
        <v>1</v>
      </c>
      <c r="N127" s="3" t="s">
        <v>14</v>
      </c>
      <c r="O127" s="3" t="s">
        <v>13</v>
      </c>
      <c r="P127" s="3">
        <v>4</v>
      </c>
      <c r="Q127" s="3">
        <v>3</v>
      </c>
      <c r="R127" s="4" t="s">
        <v>14</v>
      </c>
      <c r="S127" s="4" t="s">
        <v>14</v>
      </c>
      <c r="T127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128" spans="1:20" ht="18" x14ac:dyDescent="0.35">
      <c r="A128" s="3" t="s">
        <v>171</v>
      </c>
      <c r="B128" s="3" t="str">
        <f>IF(Table1[[#This Row],[Age]]&lt;25,"Under 25",IF(Table1[[#This Row],[Age]]&lt;35,"25-34",IF(Table1[[#This Row],[Age]]&lt;45,"35-44",IF(Table1[[#This Row],[Age]]&lt;55,"45-54","55+"))))</f>
        <v>Under 25</v>
      </c>
      <c r="C128" s="3">
        <v>21</v>
      </c>
      <c r="D128" s="3" t="s">
        <v>7</v>
      </c>
      <c r="E128" s="3" t="s">
        <v>16</v>
      </c>
      <c r="F128" s="3" t="s">
        <v>47</v>
      </c>
      <c r="G128" s="3" t="s">
        <v>25</v>
      </c>
      <c r="H128" s="3" t="s">
        <v>11</v>
      </c>
      <c r="I128" s="3">
        <v>71024</v>
      </c>
      <c r="J128" s="3">
        <v>2</v>
      </c>
      <c r="K128" s="3">
        <v>0</v>
      </c>
      <c r="L128" s="3">
        <v>4</v>
      </c>
      <c r="M128" s="3">
        <v>3</v>
      </c>
      <c r="N128" s="3" t="s">
        <v>14</v>
      </c>
      <c r="O128" s="3" t="s">
        <v>13</v>
      </c>
      <c r="P128" s="3">
        <v>3</v>
      </c>
      <c r="Q128" s="3">
        <v>0</v>
      </c>
      <c r="R128" s="4" t="s">
        <v>14</v>
      </c>
      <c r="S128" s="4" t="s">
        <v>14</v>
      </c>
      <c r="T128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129" spans="1:20" ht="18" x14ac:dyDescent="0.35">
      <c r="A129" s="3" t="s">
        <v>172</v>
      </c>
      <c r="B129" s="3" t="str">
        <f>IF(Table1[[#This Row],[Age]]&lt;25,"Under 25",IF(Table1[[#This Row],[Age]]&lt;35,"25-34",IF(Table1[[#This Row],[Age]]&lt;45,"35-44",IF(Table1[[#This Row],[Age]]&lt;55,"45-54","55+"))))</f>
        <v>Under 25</v>
      </c>
      <c r="C129" s="3">
        <v>21</v>
      </c>
      <c r="D129" s="3" t="s">
        <v>7</v>
      </c>
      <c r="E129" s="3" t="s">
        <v>34</v>
      </c>
      <c r="F129" s="3" t="s">
        <v>150</v>
      </c>
      <c r="G129" s="3" t="s">
        <v>45</v>
      </c>
      <c r="H129" s="3" t="s">
        <v>42</v>
      </c>
      <c r="I129" s="3">
        <v>64987</v>
      </c>
      <c r="J129" s="3">
        <v>3</v>
      </c>
      <c r="K129" s="3">
        <v>0</v>
      </c>
      <c r="L129" s="3">
        <v>4</v>
      </c>
      <c r="M129" s="3">
        <v>4</v>
      </c>
      <c r="N129" s="3" t="s">
        <v>12</v>
      </c>
      <c r="O129" s="3" t="s">
        <v>13</v>
      </c>
      <c r="P129" s="3">
        <v>3</v>
      </c>
      <c r="Q129" s="3">
        <v>6</v>
      </c>
      <c r="R129" s="4" t="s">
        <v>14</v>
      </c>
      <c r="S129" s="4" t="s">
        <v>14</v>
      </c>
      <c r="T129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130" spans="1:20" ht="18" x14ac:dyDescent="0.35">
      <c r="A130" s="3" t="s">
        <v>173</v>
      </c>
      <c r="B130" s="3" t="str">
        <f>IF(Table1[[#This Row],[Age]]&lt;25,"Under 25",IF(Table1[[#This Row],[Age]]&lt;35,"25-34",IF(Table1[[#This Row],[Age]]&lt;45,"35-44",IF(Table1[[#This Row],[Age]]&lt;55,"45-54","55+"))))</f>
        <v>25-34</v>
      </c>
      <c r="C130" s="3">
        <v>32</v>
      </c>
      <c r="D130" s="3" t="s">
        <v>7</v>
      </c>
      <c r="E130" s="3" t="s">
        <v>31</v>
      </c>
      <c r="F130" s="3" t="s">
        <v>74</v>
      </c>
      <c r="G130" s="3" t="s">
        <v>10</v>
      </c>
      <c r="H130" s="3" t="s">
        <v>19</v>
      </c>
      <c r="I130" s="3">
        <v>81923</v>
      </c>
      <c r="J130" s="3">
        <v>10</v>
      </c>
      <c r="K130" s="3">
        <v>9</v>
      </c>
      <c r="L130" s="3">
        <v>2</v>
      </c>
      <c r="M130" s="3">
        <v>3</v>
      </c>
      <c r="N130" s="3" t="s">
        <v>12</v>
      </c>
      <c r="O130" s="3" t="s">
        <v>13</v>
      </c>
      <c r="P130" s="3">
        <v>3</v>
      </c>
      <c r="Q130" s="3">
        <v>1</v>
      </c>
      <c r="R130" s="4" t="s">
        <v>14</v>
      </c>
      <c r="S130" s="4" t="s">
        <v>14</v>
      </c>
      <c r="T130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131" spans="1:20" ht="18" x14ac:dyDescent="0.35">
      <c r="A131" s="3" t="s">
        <v>174</v>
      </c>
      <c r="B131" s="3" t="str">
        <f>IF(Table1[[#This Row],[Age]]&lt;25,"Under 25",IF(Table1[[#This Row],[Age]]&lt;35,"25-34",IF(Table1[[#This Row],[Age]]&lt;45,"35-44",IF(Table1[[#This Row],[Age]]&lt;55,"45-54","55+"))))</f>
        <v>35-44</v>
      </c>
      <c r="C131" s="3">
        <v>39</v>
      </c>
      <c r="D131" s="3" t="s">
        <v>7</v>
      </c>
      <c r="E131" s="3" t="s">
        <v>34</v>
      </c>
      <c r="F131" s="3" t="s">
        <v>54</v>
      </c>
      <c r="G131" s="3" t="s">
        <v>25</v>
      </c>
      <c r="H131" s="3" t="s">
        <v>11</v>
      </c>
      <c r="I131" s="3">
        <v>69830</v>
      </c>
      <c r="J131" s="3">
        <v>12</v>
      </c>
      <c r="K131" s="3">
        <v>2</v>
      </c>
      <c r="L131" s="3">
        <v>3</v>
      </c>
      <c r="M131" s="3">
        <v>3</v>
      </c>
      <c r="N131" s="3" t="s">
        <v>14</v>
      </c>
      <c r="O131" s="3" t="s">
        <v>13</v>
      </c>
      <c r="P131" s="3">
        <v>3</v>
      </c>
      <c r="Q131" s="3">
        <v>3</v>
      </c>
      <c r="R131" s="4" t="s">
        <v>14</v>
      </c>
      <c r="S131" s="4" t="s">
        <v>14</v>
      </c>
      <c r="T131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132" spans="1:20" ht="18" x14ac:dyDescent="0.35">
      <c r="A132" s="3" t="s">
        <v>175</v>
      </c>
      <c r="B132" s="3" t="str">
        <f>IF(Table1[[#This Row],[Age]]&lt;25,"Under 25",IF(Table1[[#This Row],[Age]]&lt;35,"25-34",IF(Table1[[#This Row],[Age]]&lt;45,"35-44",IF(Table1[[#This Row],[Age]]&lt;55,"45-54","55+"))))</f>
        <v>25-34</v>
      </c>
      <c r="C132" s="3">
        <v>31</v>
      </c>
      <c r="D132" s="3" t="s">
        <v>22</v>
      </c>
      <c r="E132" s="3" t="s">
        <v>51</v>
      </c>
      <c r="F132" s="3" t="s">
        <v>72</v>
      </c>
      <c r="G132" s="3" t="s">
        <v>25</v>
      </c>
      <c r="H132" s="3" t="s">
        <v>11</v>
      </c>
      <c r="I132" s="3">
        <v>50886</v>
      </c>
      <c r="J132" s="3">
        <v>13</v>
      </c>
      <c r="K132" s="3">
        <v>4</v>
      </c>
      <c r="L132" s="3">
        <v>3</v>
      </c>
      <c r="M132" s="3">
        <v>2</v>
      </c>
      <c r="N132" s="3" t="s">
        <v>14</v>
      </c>
      <c r="O132" s="3" t="s">
        <v>26</v>
      </c>
      <c r="P132" s="3">
        <v>3</v>
      </c>
      <c r="Q132" s="3">
        <v>5</v>
      </c>
      <c r="R132" s="4" t="s">
        <v>14</v>
      </c>
      <c r="S132" s="4" t="s">
        <v>14</v>
      </c>
      <c r="T132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133" spans="1:20" ht="18" x14ac:dyDescent="0.35">
      <c r="A133" s="3" t="s">
        <v>176</v>
      </c>
      <c r="B133" s="3" t="str">
        <f>IF(Table1[[#This Row],[Age]]&lt;25,"Under 25",IF(Table1[[#This Row],[Age]]&lt;35,"25-34",IF(Table1[[#This Row],[Age]]&lt;45,"35-44",IF(Table1[[#This Row],[Age]]&lt;55,"45-54","55+"))))</f>
        <v>35-44</v>
      </c>
      <c r="C133" s="3">
        <v>43</v>
      </c>
      <c r="D133" s="3" t="s">
        <v>22</v>
      </c>
      <c r="E133" s="3" t="s">
        <v>31</v>
      </c>
      <c r="F133" s="3" t="s">
        <v>74</v>
      </c>
      <c r="G133" s="3" t="s">
        <v>45</v>
      </c>
      <c r="H133" s="3" t="s">
        <v>11</v>
      </c>
      <c r="I133" s="3">
        <v>68459</v>
      </c>
      <c r="J133" s="3">
        <v>1</v>
      </c>
      <c r="K133" s="3">
        <v>1</v>
      </c>
      <c r="L133" s="3">
        <v>2</v>
      </c>
      <c r="M133" s="3">
        <v>4</v>
      </c>
      <c r="N133" s="3" t="s">
        <v>14</v>
      </c>
      <c r="O133" s="3" t="s">
        <v>13</v>
      </c>
      <c r="P133" s="3">
        <v>3</v>
      </c>
      <c r="Q133" s="3">
        <v>6</v>
      </c>
      <c r="R133" s="4" t="s">
        <v>14</v>
      </c>
      <c r="S133" s="4" t="s">
        <v>14</v>
      </c>
      <c r="T133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134" spans="1:20" ht="18" x14ac:dyDescent="0.35">
      <c r="A134" s="3" t="s">
        <v>177</v>
      </c>
      <c r="B134" s="3" t="str">
        <f>IF(Table1[[#This Row],[Age]]&lt;25,"Under 25",IF(Table1[[#This Row],[Age]]&lt;35,"25-34",IF(Table1[[#This Row],[Age]]&lt;45,"35-44",IF(Table1[[#This Row],[Age]]&lt;55,"45-54","55+"))))</f>
        <v>45-54</v>
      </c>
      <c r="C134" s="3">
        <v>49</v>
      </c>
      <c r="D134" s="3" t="s">
        <v>7</v>
      </c>
      <c r="E134" s="3" t="s">
        <v>34</v>
      </c>
      <c r="F134" s="3" t="s">
        <v>54</v>
      </c>
      <c r="G134" s="3" t="s">
        <v>10</v>
      </c>
      <c r="H134" s="3" t="s">
        <v>11</v>
      </c>
      <c r="I134" s="3">
        <v>29226</v>
      </c>
      <c r="J134" s="3">
        <v>20</v>
      </c>
      <c r="K134" s="3">
        <v>4</v>
      </c>
      <c r="L134" s="3">
        <v>1</v>
      </c>
      <c r="M134" s="3">
        <v>3</v>
      </c>
      <c r="N134" s="3" t="s">
        <v>14</v>
      </c>
      <c r="O134" s="3" t="s">
        <v>26</v>
      </c>
      <c r="P134" s="3">
        <v>3</v>
      </c>
      <c r="Q134" s="3">
        <v>3</v>
      </c>
      <c r="R134" s="4" t="s">
        <v>14</v>
      </c>
      <c r="S134" s="4" t="s">
        <v>14</v>
      </c>
      <c r="T134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135" spans="1:20" ht="18" x14ac:dyDescent="0.35">
      <c r="A135" s="3" t="s">
        <v>178</v>
      </c>
      <c r="B135" s="3" t="str">
        <f>IF(Table1[[#This Row],[Age]]&lt;25,"Under 25",IF(Table1[[#This Row],[Age]]&lt;35,"25-34",IF(Table1[[#This Row],[Age]]&lt;45,"35-44",IF(Table1[[#This Row],[Age]]&lt;55,"45-54","55+"))))</f>
        <v>25-34</v>
      </c>
      <c r="C135" s="3">
        <v>25</v>
      </c>
      <c r="D135" s="3" t="s">
        <v>7</v>
      </c>
      <c r="E135" s="3" t="s">
        <v>16</v>
      </c>
      <c r="F135" s="3" t="s">
        <v>47</v>
      </c>
      <c r="G135" s="3" t="s">
        <v>18</v>
      </c>
      <c r="H135" s="3" t="s">
        <v>42</v>
      </c>
      <c r="I135" s="3">
        <v>59138</v>
      </c>
      <c r="J135" s="3">
        <v>3</v>
      </c>
      <c r="K135" s="3">
        <v>2</v>
      </c>
      <c r="L135" s="3">
        <v>2</v>
      </c>
      <c r="M135" s="3">
        <v>3</v>
      </c>
      <c r="N135" s="3" t="s">
        <v>14</v>
      </c>
      <c r="O135" s="3" t="s">
        <v>13</v>
      </c>
      <c r="P135" s="3">
        <v>3</v>
      </c>
      <c r="Q135" s="3">
        <v>1</v>
      </c>
      <c r="R135" s="4" t="s">
        <v>14</v>
      </c>
      <c r="S135" s="4" t="s">
        <v>14</v>
      </c>
      <c r="T135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136" spans="1:20" ht="18" x14ac:dyDescent="0.35">
      <c r="A136" s="3" t="s">
        <v>179</v>
      </c>
      <c r="B136" s="3" t="str">
        <f>IF(Table1[[#This Row],[Age]]&lt;25,"Under 25",IF(Table1[[#This Row],[Age]]&lt;35,"25-34",IF(Table1[[#This Row],[Age]]&lt;45,"35-44",IF(Table1[[#This Row],[Age]]&lt;55,"45-54","55+"))))</f>
        <v>35-44</v>
      </c>
      <c r="C136" s="3">
        <v>35</v>
      </c>
      <c r="D136" s="3" t="s">
        <v>7</v>
      </c>
      <c r="E136" s="3" t="s">
        <v>38</v>
      </c>
      <c r="F136" s="3" t="s">
        <v>59</v>
      </c>
      <c r="G136" s="3" t="s">
        <v>25</v>
      </c>
      <c r="H136" s="3" t="s">
        <v>19</v>
      </c>
      <c r="I136" s="3">
        <v>54663</v>
      </c>
      <c r="J136" s="3">
        <v>15</v>
      </c>
      <c r="K136" s="3">
        <v>9</v>
      </c>
      <c r="L136" s="3">
        <v>4</v>
      </c>
      <c r="M136" s="3">
        <v>4</v>
      </c>
      <c r="N136" s="3" t="s">
        <v>14</v>
      </c>
      <c r="O136" s="3" t="s">
        <v>26</v>
      </c>
      <c r="P136" s="3">
        <v>4</v>
      </c>
      <c r="Q136" s="3">
        <v>0</v>
      </c>
      <c r="R136" s="4" t="s">
        <v>14</v>
      </c>
      <c r="S136" s="4" t="s">
        <v>14</v>
      </c>
      <c r="T136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137" spans="1:20" ht="18" x14ac:dyDescent="0.35">
      <c r="A137" s="3" t="s">
        <v>180</v>
      </c>
      <c r="B137" s="3" t="str">
        <f>IF(Table1[[#This Row],[Age]]&lt;25,"Under 25",IF(Table1[[#This Row],[Age]]&lt;35,"25-34",IF(Table1[[#This Row],[Age]]&lt;45,"35-44",IF(Table1[[#This Row],[Age]]&lt;55,"45-54","55+"))))</f>
        <v>35-44</v>
      </c>
      <c r="C137" s="3">
        <v>43</v>
      </c>
      <c r="D137" s="3" t="s">
        <v>7</v>
      </c>
      <c r="E137" s="3" t="s">
        <v>8</v>
      </c>
      <c r="F137" s="3" t="s">
        <v>23</v>
      </c>
      <c r="G137" s="3" t="s">
        <v>45</v>
      </c>
      <c r="H137" s="3" t="s">
        <v>11</v>
      </c>
      <c r="I137" s="3">
        <v>89837</v>
      </c>
      <c r="J137" s="3">
        <v>1</v>
      </c>
      <c r="K137" s="3">
        <v>0</v>
      </c>
      <c r="L137" s="3">
        <v>3</v>
      </c>
      <c r="M137" s="3">
        <v>2</v>
      </c>
      <c r="N137" s="3" t="s">
        <v>12</v>
      </c>
      <c r="O137" s="3" t="s">
        <v>13</v>
      </c>
      <c r="P137" s="3">
        <v>3</v>
      </c>
      <c r="Q137" s="3">
        <v>5</v>
      </c>
      <c r="R137" s="4" t="s">
        <v>14</v>
      </c>
      <c r="S137" s="4" t="s">
        <v>14</v>
      </c>
      <c r="T137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138" spans="1:20" ht="18" x14ac:dyDescent="0.35">
      <c r="A138" s="3" t="s">
        <v>181</v>
      </c>
      <c r="B138" s="3" t="str">
        <f>IF(Table1[[#This Row],[Age]]&lt;25,"Under 25",IF(Table1[[#This Row],[Age]]&lt;35,"25-34",IF(Table1[[#This Row],[Age]]&lt;45,"35-44",IF(Table1[[#This Row],[Age]]&lt;55,"45-54","55+"))))</f>
        <v>45-54</v>
      </c>
      <c r="C138" s="3">
        <v>47</v>
      </c>
      <c r="D138" s="3" t="s">
        <v>7</v>
      </c>
      <c r="E138" s="3" t="s">
        <v>16</v>
      </c>
      <c r="F138" s="3" t="s">
        <v>17</v>
      </c>
      <c r="G138" s="3" t="s">
        <v>10</v>
      </c>
      <c r="H138" s="3" t="s">
        <v>19</v>
      </c>
      <c r="I138" s="3">
        <v>39437</v>
      </c>
      <c r="J138" s="3">
        <v>17</v>
      </c>
      <c r="K138" s="3">
        <v>4</v>
      </c>
      <c r="L138" s="3">
        <v>2</v>
      </c>
      <c r="M138" s="3">
        <v>3</v>
      </c>
      <c r="N138" s="3" t="s">
        <v>12</v>
      </c>
      <c r="O138" s="3" t="s">
        <v>13</v>
      </c>
      <c r="P138" s="3">
        <v>3</v>
      </c>
      <c r="Q138" s="3">
        <v>4</v>
      </c>
      <c r="R138" s="4" t="s">
        <v>12</v>
      </c>
      <c r="S138" s="4" t="s">
        <v>12</v>
      </c>
      <c r="T138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139" spans="1:20" ht="18" x14ac:dyDescent="0.35">
      <c r="A139" s="3" t="s">
        <v>182</v>
      </c>
      <c r="B139" s="3" t="str">
        <f>IF(Table1[[#This Row],[Age]]&lt;25,"Under 25",IF(Table1[[#This Row],[Age]]&lt;35,"25-34",IF(Table1[[#This Row],[Age]]&lt;45,"35-44",IF(Table1[[#This Row],[Age]]&lt;55,"45-54","55+"))))</f>
        <v>35-44</v>
      </c>
      <c r="C139" s="3">
        <v>35</v>
      </c>
      <c r="D139" s="3" t="s">
        <v>22</v>
      </c>
      <c r="E139" s="3" t="s">
        <v>16</v>
      </c>
      <c r="F139" s="3" t="s">
        <v>17</v>
      </c>
      <c r="G139" s="3" t="s">
        <v>25</v>
      </c>
      <c r="H139" s="3" t="s">
        <v>19</v>
      </c>
      <c r="I139" s="3">
        <v>25919</v>
      </c>
      <c r="J139" s="3">
        <v>8</v>
      </c>
      <c r="K139" s="3">
        <v>1</v>
      </c>
      <c r="L139" s="3">
        <v>4</v>
      </c>
      <c r="M139" s="3">
        <v>3</v>
      </c>
      <c r="N139" s="3" t="s">
        <v>12</v>
      </c>
      <c r="O139" s="3" t="s">
        <v>13</v>
      </c>
      <c r="P139" s="3">
        <v>4</v>
      </c>
      <c r="Q139" s="3">
        <v>1</v>
      </c>
      <c r="R139" s="4" t="s">
        <v>14</v>
      </c>
      <c r="S139" s="4" t="s">
        <v>12</v>
      </c>
      <c r="T139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140" spans="1:20" ht="18" x14ac:dyDescent="0.35">
      <c r="A140" s="3" t="s">
        <v>183</v>
      </c>
      <c r="B140" s="3" t="str">
        <f>IF(Table1[[#This Row],[Age]]&lt;25,"Under 25",IF(Table1[[#This Row],[Age]]&lt;35,"25-34",IF(Table1[[#This Row],[Age]]&lt;45,"35-44",IF(Table1[[#This Row],[Age]]&lt;55,"45-54","55+"))))</f>
        <v>25-34</v>
      </c>
      <c r="C140" s="3">
        <v>29</v>
      </c>
      <c r="D140" s="3" t="s">
        <v>22</v>
      </c>
      <c r="E140" s="3" t="s">
        <v>16</v>
      </c>
      <c r="F140" s="3" t="s">
        <v>47</v>
      </c>
      <c r="G140" s="3" t="s">
        <v>10</v>
      </c>
      <c r="H140" s="3" t="s">
        <v>19</v>
      </c>
      <c r="I140" s="3">
        <v>70244</v>
      </c>
      <c r="J140" s="3">
        <v>1</v>
      </c>
      <c r="K140" s="3">
        <v>0</v>
      </c>
      <c r="L140" s="3">
        <v>2</v>
      </c>
      <c r="M140" s="3">
        <v>3</v>
      </c>
      <c r="N140" s="3" t="s">
        <v>14</v>
      </c>
      <c r="O140" s="3" t="s">
        <v>13</v>
      </c>
      <c r="P140" s="3">
        <v>3</v>
      </c>
      <c r="Q140" s="3">
        <v>2</v>
      </c>
      <c r="R140" s="4" t="s">
        <v>14</v>
      </c>
      <c r="S140" s="4" t="s">
        <v>14</v>
      </c>
      <c r="T140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141" spans="1:20" ht="18" x14ac:dyDescent="0.35">
      <c r="A141" s="3" t="s">
        <v>184</v>
      </c>
      <c r="B141" s="3" t="str">
        <f>IF(Table1[[#This Row],[Age]]&lt;25,"Under 25",IF(Table1[[#This Row],[Age]]&lt;35,"25-34",IF(Table1[[#This Row],[Age]]&lt;45,"35-44",IF(Table1[[#This Row],[Age]]&lt;55,"45-54","55+"))))</f>
        <v>35-44</v>
      </c>
      <c r="C141" s="3">
        <v>38</v>
      </c>
      <c r="D141" s="3" t="s">
        <v>7</v>
      </c>
      <c r="E141" s="3" t="s">
        <v>16</v>
      </c>
      <c r="F141" s="3" t="s">
        <v>17</v>
      </c>
      <c r="G141" s="3" t="s">
        <v>10</v>
      </c>
      <c r="H141" s="3" t="s">
        <v>42</v>
      </c>
      <c r="I141" s="3">
        <v>52670</v>
      </c>
      <c r="J141" s="3">
        <v>5</v>
      </c>
      <c r="K141" s="3">
        <v>1</v>
      </c>
      <c r="L141" s="3">
        <v>3</v>
      </c>
      <c r="M141" s="3">
        <v>3</v>
      </c>
      <c r="N141" s="3" t="s">
        <v>14</v>
      </c>
      <c r="O141" s="3" t="s">
        <v>26</v>
      </c>
      <c r="P141" s="3">
        <v>3</v>
      </c>
      <c r="Q141" s="3">
        <v>2</v>
      </c>
      <c r="R141" s="4" t="s">
        <v>14</v>
      </c>
      <c r="S141" s="4" t="s">
        <v>14</v>
      </c>
      <c r="T141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142" spans="1:20" ht="18" x14ac:dyDescent="0.35">
      <c r="A142" s="3" t="s">
        <v>185</v>
      </c>
      <c r="B142" s="3" t="str">
        <f>IF(Table1[[#This Row],[Age]]&lt;25,"Under 25",IF(Table1[[#This Row],[Age]]&lt;35,"25-34",IF(Table1[[#This Row],[Age]]&lt;45,"35-44",IF(Table1[[#This Row],[Age]]&lt;55,"45-54","55+"))))</f>
        <v>35-44</v>
      </c>
      <c r="C142" s="3">
        <v>42</v>
      </c>
      <c r="D142" s="3" t="s">
        <v>22</v>
      </c>
      <c r="E142" s="3" t="s">
        <v>16</v>
      </c>
      <c r="F142" s="3" t="s">
        <v>28</v>
      </c>
      <c r="G142" s="3" t="s">
        <v>25</v>
      </c>
      <c r="H142" s="3" t="s">
        <v>42</v>
      </c>
      <c r="I142" s="3">
        <v>73624</v>
      </c>
      <c r="J142" s="3">
        <v>6</v>
      </c>
      <c r="K142" s="3">
        <v>5</v>
      </c>
      <c r="L142" s="3">
        <v>4</v>
      </c>
      <c r="M142" s="3">
        <v>3</v>
      </c>
      <c r="N142" s="3" t="s">
        <v>12</v>
      </c>
      <c r="O142" s="3" t="s">
        <v>20</v>
      </c>
      <c r="P142" s="3">
        <v>2</v>
      </c>
      <c r="Q142" s="3">
        <v>2</v>
      </c>
      <c r="R142" s="4" t="s">
        <v>14</v>
      </c>
      <c r="S142" s="4" t="s">
        <v>12</v>
      </c>
      <c r="T142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143" spans="1:20" ht="18" x14ac:dyDescent="0.35">
      <c r="A143" s="3" t="s">
        <v>186</v>
      </c>
      <c r="B143" s="3" t="str">
        <f>IF(Table1[[#This Row],[Age]]&lt;25,"Under 25",IF(Table1[[#This Row],[Age]]&lt;35,"25-34",IF(Table1[[#This Row],[Age]]&lt;45,"35-44",IF(Table1[[#This Row],[Age]]&lt;55,"45-54","55+"))))</f>
        <v>35-44</v>
      </c>
      <c r="C143" s="3">
        <v>44</v>
      </c>
      <c r="D143" s="3" t="s">
        <v>22</v>
      </c>
      <c r="E143" s="3" t="s">
        <v>16</v>
      </c>
      <c r="F143" s="3" t="s">
        <v>28</v>
      </c>
      <c r="G143" s="3" t="s">
        <v>25</v>
      </c>
      <c r="H143" s="3" t="s">
        <v>42</v>
      </c>
      <c r="I143" s="3">
        <v>37180</v>
      </c>
      <c r="J143" s="3">
        <v>11</v>
      </c>
      <c r="K143" s="3">
        <v>6</v>
      </c>
      <c r="L143" s="3">
        <v>4</v>
      </c>
      <c r="M143" s="3">
        <v>3</v>
      </c>
      <c r="N143" s="3" t="s">
        <v>14</v>
      </c>
      <c r="O143" s="3" t="s">
        <v>26</v>
      </c>
      <c r="P143" s="3">
        <v>4</v>
      </c>
      <c r="Q143" s="3">
        <v>2</v>
      </c>
      <c r="R143" s="4" t="s">
        <v>14</v>
      </c>
      <c r="S143" s="4" t="s">
        <v>14</v>
      </c>
      <c r="T143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144" spans="1:20" ht="18" x14ac:dyDescent="0.35">
      <c r="A144" s="3" t="s">
        <v>187</v>
      </c>
      <c r="B144" s="3" t="str">
        <f>IF(Table1[[#This Row],[Age]]&lt;25,"Under 25",IF(Table1[[#This Row],[Age]]&lt;35,"25-34",IF(Table1[[#This Row],[Age]]&lt;45,"35-44",IF(Table1[[#This Row],[Age]]&lt;55,"45-54","55+"))))</f>
        <v>25-34</v>
      </c>
      <c r="C144" s="3">
        <v>28</v>
      </c>
      <c r="D144" s="3" t="s">
        <v>7</v>
      </c>
      <c r="E144" s="3" t="s">
        <v>31</v>
      </c>
      <c r="F144" s="3" t="s">
        <v>136</v>
      </c>
      <c r="G144" s="3" t="s">
        <v>25</v>
      </c>
      <c r="H144" s="3" t="s">
        <v>19</v>
      </c>
      <c r="I144" s="3">
        <v>63464</v>
      </c>
      <c r="J144" s="3">
        <v>10</v>
      </c>
      <c r="K144" s="3">
        <v>2</v>
      </c>
      <c r="L144" s="3">
        <v>4</v>
      </c>
      <c r="M144" s="3">
        <v>3</v>
      </c>
      <c r="N144" s="3" t="s">
        <v>14</v>
      </c>
      <c r="O144" s="3" t="s">
        <v>20</v>
      </c>
      <c r="P144" s="3">
        <v>3</v>
      </c>
      <c r="Q144" s="3">
        <v>2</v>
      </c>
      <c r="R144" s="4" t="s">
        <v>14</v>
      </c>
      <c r="S144" s="4" t="s">
        <v>14</v>
      </c>
      <c r="T144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145" spans="1:20" ht="18" x14ac:dyDescent="0.35">
      <c r="A145" s="3" t="s">
        <v>188</v>
      </c>
      <c r="B145" s="3" t="str">
        <f>IF(Table1[[#This Row],[Age]]&lt;25,"Under 25",IF(Table1[[#This Row],[Age]]&lt;35,"25-34",IF(Table1[[#This Row],[Age]]&lt;45,"35-44",IF(Table1[[#This Row],[Age]]&lt;55,"45-54","55+"))))</f>
        <v>25-34</v>
      </c>
      <c r="C145" s="3">
        <v>31</v>
      </c>
      <c r="D145" s="3" t="s">
        <v>22</v>
      </c>
      <c r="E145" s="3" t="s">
        <v>34</v>
      </c>
      <c r="F145" s="3" t="s">
        <v>54</v>
      </c>
      <c r="G145" s="3" t="s">
        <v>25</v>
      </c>
      <c r="H145" s="3" t="s">
        <v>42</v>
      </c>
      <c r="I145" s="3">
        <v>43138</v>
      </c>
      <c r="J145" s="3">
        <v>2</v>
      </c>
      <c r="K145" s="3">
        <v>1</v>
      </c>
      <c r="L145" s="3">
        <v>2</v>
      </c>
      <c r="M145" s="3">
        <v>3</v>
      </c>
      <c r="N145" s="3" t="s">
        <v>14</v>
      </c>
      <c r="O145" s="3" t="s">
        <v>13</v>
      </c>
      <c r="P145" s="3">
        <v>3</v>
      </c>
      <c r="Q145" s="3">
        <v>1</v>
      </c>
      <c r="R145" s="4" t="s">
        <v>14</v>
      </c>
      <c r="S145" s="4" t="s">
        <v>14</v>
      </c>
      <c r="T145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146" spans="1:20" ht="18" x14ac:dyDescent="0.35">
      <c r="A146" s="3" t="s">
        <v>189</v>
      </c>
      <c r="B146" s="3" t="str">
        <f>IF(Table1[[#This Row],[Age]]&lt;25,"Under 25",IF(Table1[[#This Row],[Age]]&lt;35,"25-34",IF(Table1[[#This Row],[Age]]&lt;45,"35-44",IF(Table1[[#This Row],[Age]]&lt;55,"45-54","55+"))))</f>
        <v>35-44</v>
      </c>
      <c r="C146" s="3">
        <v>41</v>
      </c>
      <c r="D146" s="3" t="s">
        <v>7</v>
      </c>
      <c r="E146" s="3" t="s">
        <v>34</v>
      </c>
      <c r="F146" s="3" t="s">
        <v>54</v>
      </c>
      <c r="G146" s="3" t="s">
        <v>45</v>
      </c>
      <c r="H146" s="3" t="s">
        <v>19</v>
      </c>
      <c r="I146" s="3">
        <v>90496</v>
      </c>
      <c r="J146" s="3">
        <v>13</v>
      </c>
      <c r="K146" s="3">
        <v>6</v>
      </c>
      <c r="L146" s="3">
        <v>2</v>
      </c>
      <c r="M146" s="3">
        <v>3</v>
      </c>
      <c r="N146" s="3" t="s">
        <v>14</v>
      </c>
      <c r="O146" s="3" t="s">
        <v>20</v>
      </c>
      <c r="P146" s="3">
        <v>4</v>
      </c>
      <c r="Q146" s="3">
        <v>1</v>
      </c>
      <c r="R146" s="4" t="s">
        <v>14</v>
      </c>
      <c r="S146" s="4" t="s">
        <v>14</v>
      </c>
      <c r="T146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147" spans="1:20" ht="18" x14ac:dyDescent="0.35">
      <c r="A147" s="3" t="s">
        <v>190</v>
      </c>
      <c r="B147" s="3" t="str">
        <f>IF(Table1[[#This Row],[Age]]&lt;25,"Under 25",IF(Table1[[#This Row],[Age]]&lt;35,"25-34",IF(Table1[[#This Row],[Age]]&lt;45,"35-44",IF(Table1[[#This Row],[Age]]&lt;55,"45-54","55+"))))</f>
        <v>25-34</v>
      </c>
      <c r="C147" s="3">
        <v>32</v>
      </c>
      <c r="D147" s="3" t="s">
        <v>7</v>
      </c>
      <c r="E147" s="3" t="s">
        <v>16</v>
      </c>
      <c r="F147" s="3" t="s">
        <v>28</v>
      </c>
      <c r="G147" s="3" t="s">
        <v>25</v>
      </c>
      <c r="H147" s="3" t="s">
        <v>19</v>
      </c>
      <c r="I147" s="3">
        <v>86220</v>
      </c>
      <c r="J147" s="3">
        <v>7</v>
      </c>
      <c r="K147" s="3">
        <v>6</v>
      </c>
      <c r="L147" s="3">
        <v>1</v>
      </c>
      <c r="M147" s="3">
        <v>4</v>
      </c>
      <c r="N147" s="3" t="s">
        <v>14</v>
      </c>
      <c r="O147" s="3" t="s">
        <v>26</v>
      </c>
      <c r="P147" s="3">
        <v>2</v>
      </c>
      <c r="Q147" s="3">
        <v>1</v>
      </c>
      <c r="R147" s="4" t="s">
        <v>14</v>
      </c>
      <c r="S147" s="4" t="s">
        <v>14</v>
      </c>
      <c r="T147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148" spans="1:20" ht="18" x14ac:dyDescent="0.35">
      <c r="A148" s="3" t="s">
        <v>191</v>
      </c>
      <c r="B148" s="3" t="str">
        <f>IF(Table1[[#This Row],[Age]]&lt;25,"Under 25",IF(Table1[[#This Row],[Age]]&lt;35,"25-34",IF(Table1[[#This Row],[Age]]&lt;45,"35-44",IF(Table1[[#This Row],[Age]]&lt;55,"45-54","55+"))))</f>
        <v>35-44</v>
      </c>
      <c r="C148" s="3">
        <v>35</v>
      </c>
      <c r="D148" s="3" t="s">
        <v>7</v>
      </c>
      <c r="E148" s="3" t="s">
        <v>34</v>
      </c>
      <c r="F148" s="3" t="s">
        <v>91</v>
      </c>
      <c r="G148" s="3" t="s">
        <v>25</v>
      </c>
      <c r="H148" s="3" t="s">
        <v>11</v>
      </c>
      <c r="I148" s="3">
        <v>44867</v>
      </c>
      <c r="J148" s="3">
        <v>17</v>
      </c>
      <c r="K148" s="3">
        <v>4</v>
      </c>
      <c r="L148" s="3">
        <v>1</v>
      </c>
      <c r="M148" s="3">
        <v>1</v>
      </c>
      <c r="N148" s="3" t="s">
        <v>14</v>
      </c>
      <c r="O148" s="3" t="s">
        <v>13</v>
      </c>
      <c r="P148" s="3">
        <v>4</v>
      </c>
      <c r="Q148" s="3">
        <v>2</v>
      </c>
      <c r="R148" s="4" t="s">
        <v>14</v>
      </c>
      <c r="S148" s="4" t="s">
        <v>14</v>
      </c>
      <c r="T148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149" spans="1:20" ht="18" x14ac:dyDescent="0.35">
      <c r="A149" s="3" t="s">
        <v>192</v>
      </c>
      <c r="B149" s="3" t="str">
        <f>IF(Table1[[#This Row],[Age]]&lt;25,"Under 25",IF(Table1[[#This Row],[Age]]&lt;35,"25-34",IF(Table1[[#This Row],[Age]]&lt;45,"35-44",IF(Table1[[#This Row],[Age]]&lt;55,"45-54","55+"))))</f>
        <v>35-44</v>
      </c>
      <c r="C149" s="3">
        <v>36</v>
      </c>
      <c r="D149" s="3" t="s">
        <v>22</v>
      </c>
      <c r="E149" s="3" t="s">
        <v>8</v>
      </c>
      <c r="F149" s="3" t="s">
        <v>23</v>
      </c>
      <c r="G149" s="3" t="s">
        <v>18</v>
      </c>
      <c r="H149" s="3" t="s">
        <v>11</v>
      </c>
      <c r="I149" s="3">
        <v>67081</v>
      </c>
      <c r="J149" s="3">
        <v>16</v>
      </c>
      <c r="K149" s="3">
        <v>2</v>
      </c>
      <c r="L149" s="3">
        <v>4</v>
      </c>
      <c r="M149" s="3">
        <v>2</v>
      </c>
      <c r="N149" s="3" t="s">
        <v>12</v>
      </c>
      <c r="O149" s="3" t="s">
        <v>26</v>
      </c>
      <c r="P149" s="3">
        <v>4</v>
      </c>
      <c r="Q149" s="3">
        <v>3</v>
      </c>
      <c r="R149" s="4" t="s">
        <v>14</v>
      </c>
      <c r="S149" s="4" t="s">
        <v>12</v>
      </c>
      <c r="T149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150" spans="1:20" ht="18" x14ac:dyDescent="0.35">
      <c r="A150" s="3" t="s">
        <v>193</v>
      </c>
      <c r="B150" s="3" t="str">
        <f>IF(Table1[[#This Row],[Age]]&lt;25,"Under 25",IF(Table1[[#This Row],[Age]]&lt;35,"25-34",IF(Table1[[#This Row],[Age]]&lt;45,"35-44",IF(Table1[[#This Row],[Age]]&lt;55,"45-54","55+"))))</f>
        <v>45-54</v>
      </c>
      <c r="C150" s="3">
        <v>46</v>
      </c>
      <c r="D150" s="3" t="s">
        <v>22</v>
      </c>
      <c r="E150" s="3" t="s">
        <v>8</v>
      </c>
      <c r="F150" s="3" t="s">
        <v>9</v>
      </c>
      <c r="G150" s="3" t="s">
        <v>25</v>
      </c>
      <c r="H150" s="3" t="s">
        <v>11</v>
      </c>
      <c r="I150" s="3">
        <v>47440</v>
      </c>
      <c r="J150" s="3">
        <v>13</v>
      </c>
      <c r="K150" s="3">
        <v>11</v>
      </c>
      <c r="L150" s="3">
        <v>2</v>
      </c>
      <c r="M150" s="3">
        <v>3</v>
      </c>
      <c r="N150" s="3" t="s">
        <v>14</v>
      </c>
      <c r="O150" s="3" t="s">
        <v>13</v>
      </c>
      <c r="P150" s="3">
        <v>3</v>
      </c>
      <c r="Q150" s="3">
        <v>6</v>
      </c>
      <c r="R150" s="4" t="s">
        <v>14</v>
      </c>
      <c r="S150" s="4" t="s">
        <v>14</v>
      </c>
      <c r="T150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151" spans="1:20" ht="18" x14ac:dyDescent="0.35">
      <c r="A151" s="3" t="s">
        <v>194</v>
      </c>
      <c r="B151" s="3" t="str">
        <f>IF(Table1[[#This Row],[Age]]&lt;25,"Under 25",IF(Table1[[#This Row],[Age]]&lt;35,"25-34",IF(Table1[[#This Row],[Age]]&lt;45,"35-44",IF(Table1[[#This Row],[Age]]&lt;55,"45-54","55+"))))</f>
        <v>35-44</v>
      </c>
      <c r="C151" s="3">
        <v>35</v>
      </c>
      <c r="D151" s="3" t="s">
        <v>7</v>
      </c>
      <c r="E151" s="3" t="s">
        <v>34</v>
      </c>
      <c r="F151" s="3" t="s">
        <v>35</v>
      </c>
      <c r="G151" s="3" t="s">
        <v>10</v>
      </c>
      <c r="H151" s="3" t="s">
        <v>42</v>
      </c>
      <c r="I151" s="3">
        <v>66488</v>
      </c>
      <c r="J151" s="3">
        <v>5</v>
      </c>
      <c r="K151" s="3">
        <v>0</v>
      </c>
      <c r="L151" s="3">
        <v>3</v>
      </c>
      <c r="M151" s="3">
        <v>2</v>
      </c>
      <c r="N151" s="3" t="s">
        <v>14</v>
      </c>
      <c r="O151" s="3" t="s">
        <v>13</v>
      </c>
      <c r="P151" s="3">
        <v>3</v>
      </c>
      <c r="Q151" s="3">
        <v>2</v>
      </c>
      <c r="R151" s="4" t="s">
        <v>14</v>
      </c>
      <c r="S151" s="4" t="s">
        <v>14</v>
      </c>
      <c r="T151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152" spans="1:20" ht="18" x14ac:dyDescent="0.35">
      <c r="A152" s="3" t="s">
        <v>195</v>
      </c>
      <c r="B152" s="3" t="str">
        <f>IF(Table1[[#This Row],[Age]]&lt;25,"Under 25",IF(Table1[[#This Row],[Age]]&lt;35,"25-34",IF(Table1[[#This Row],[Age]]&lt;45,"35-44",IF(Table1[[#This Row],[Age]]&lt;55,"45-54","55+"))))</f>
        <v>25-34</v>
      </c>
      <c r="C152" s="3">
        <v>32</v>
      </c>
      <c r="D152" s="3" t="s">
        <v>7</v>
      </c>
      <c r="E152" s="3" t="s">
        <v>8</v>
      </c>
      <c r="F152" s="3" t="s">
        <v>23</v>
      </c>
      <c r="G152" s="3" t="s">
        <v>25</v>
      </c>
      <c r="H152" s="3" t="s">
        <v>11</v>
      </c>
      <c r="I152" s="3">
        <v>83618</v>
      </c>
      <c r="J152" s="3">
        <v>13</v>
      </c>
      <c r="K152" s="3">
        <v>6</v>
      </c>
      <c r="L152" s="3">
        <v>4</v>
      </c>
      <c r="M152" s="3">
        <v>3</v>
      </c>
      <c r="N152" s="3" t="s">
        <v>14</v>
      </c>
      <c r="O152" s="3" t="s">
        <v>20</v>
      </c>
      <c r="P152" s="3">
        <v>2</v>
      </c>
      <c r="Q152" s="3">
        <v>2</v>
      </c>
      <c r="R152" s="4" t="s">
        <v>14</v>
      </c>
      <c r="S152" s="4" t="s">
        <v>12</v>
      </c>
      <c r="T152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153" spans="1:20" ht="18" x14ac:dyDescent="0.35">
      <c r="A153" s="3" t="s">
        <v>196</v>
      </c>
      <c r="B153" s="3" t="str">
        <f>IF(Table1[[#This Row],[Age]]&lt;25,"Under 25",IF(Table1[[#This Row],[Age]]&lt;35,"25-34",IF(Table1[[#This Row],[Age]]&lt;45,"35-44",IF(Table1[[#This Row],[Age]]&lt;55,"45-54","55+"))))</f>
        <v>25-34</v>
      </c>
      <c r="C153" s="3">
        <v>34</v>
      </c>
      <c r="D153" s="3" t="s">
        <v>22</v>
      </c>
      <c r="E153" s="3" t="s">
        <v>16</v>
      </c>
      <c r="F153" s="3" t="s">
        <v>17</v>
      </c>
      <c r="G153" s="3" t="s">
        <v>18</v>
      </c>
      <c r="H153" s="3" t="s">
        <v>42</v>
      </c>
      <c r="I153" s="3">
        <v>46371</v>
      </c>
      <c r="J153" s="3">
        <v>8</v>
      </c>
      <c r="K153" s="3">
        <v>0</v>
      </c>
      <c r="L153" s="3">
        <v>4</v>
      </c>
      <c r="M153" s="3">
        <v>4</v>
      </c>
      <c r="N153" s="3" t="s">
        <v>14</v>
      </c>
      <c r="O153" s="3" t="s">
        <v>13</v>
      </c>
      <c r="P153" s="3">
        <v>3</v>
      </c>
      <c r="Q153" s="3">
        <v>4</v>
      </c>
      <c r="R153" s="4" t="s">
        <v>14</v>
      </c>
      <c r="S153" s="4" t="s">
        <v>14</v>
      </c>
      <c r="T153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154" spans="1:20" ht="18" x14ac:dyDescent="0.35">
      <c r="A154" s="3" t="s">
        <v>197</v>
      </c>
      <c r="B154" s="3" t="str">
        <f>IF(Table1[[#This Row],[Age]]&lt;25,"Under 25",IF(Table1[[#This Row],[Age]]&lt;35,"25-34",IF(Table1[[#This Row],[Age]]&lt;45,"35-44",IF(Table1[[#This Row],[Age]]&lt;55,"45-54","55+"))))</f>
        <v>45-54</v>
      </c>
      <c r="C154" s="3">
        <v>45</v>
      </c>
      <c r="D154" s="3" t="s">
        <v>22</v>
      </c>
      <c r="E154" s="3" t="s">
        <v>31</v>
      </c>
      <c r="F154" s="3" t="s">
        <v>136</v>
      </c>
      <c r="G154" s="3" t="s">
        <v>25</v>
      </c>
      <c r="H154" s="3" t="s">
        <v>11</v>
      </c>
      <c r="I154" s="3">
        <v>78309</v>
      </c>
      <c r="J154" s="3">
        <v>6</v>
      </c>
      <c r="K154" s="3">
        <v>3</v>
      </c>
      <c r="L154" s="3">
        <v>1</v>
      </c>
      <c r="M154" s="3">
        <v>2</v>
      </c>
      <c r="N154" s="3" t="s">
        <v>12</v>
      </c>
      <c r="O154" s="3" t="s">
        <v>20</v>
      </c>
      <c r="P154" s="3">
        <v>3</v>
      </c>
      <c r="Q154" s="3">
        <v>2</v>
      </c>
      <c r="R154" s="4" t="s">
        <v>14</v>
      </c>
      <c r="S154" s="4" t="s">
        <v>14</v>
      </c>
      <c r="T154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155" spans="1:20" ht="18" x14ac:dyDescent="0.35">
      <c r="A155" s="3" t="s">
        <v>198</v>
      </c>
      <c r="B155" s="3" t="str">
        <f>IF(Table1[[#This Row],[Age]]&lt;25,"Under 25",IF(Table1[[#This Row],[Age]]&lt;35,"25-34",IF(Table1[[#This Row],[Age]]&lt;45,"35-44",IF(Table1[[#This Row],[Age]]&lt;55,"45-54","55+"))))</f>
        <v>35-44</v>
      </c>
      <c r="C155" s="3">
        <v>39</v>
      </c>
      <c r="D155" s="3" t="s">
        <v>7</v>
      </c>
      <c r="E155" s="3" t="s">
        <v>34</v>
      </c>
      <c r="F155" s="3" t="s">
        <v>150</v>
      </c>
      <c r="G155" s="3" t="s">
        <v>25</v>
      </c>
      <c r="H155" s="3" t="s">
        <v>11</v>
      </c>
      <c r="I155" s="3">
        <v>56785</v>
      </c>
      <c r="J155" s="3">
        <v>15</v>
      </c>
      <c r="K155" s="3">
        <v>7</v>
      </c>
      <c r="L155" s="3">
        <v>2</v>
      </c>
      <c r="M155" s="3">
        <v>3</v>
      </c>
      <c r="N155" s="3" t="s">
        <v>14</v>
      </c>
      <c r="O155" s="3" t="s">
        <v>20</v>
      </c>
      <c r="P155" s="3">
        <v>3</v>
      </c>
      <c r="Q155" s="3">
        <v>0</v>
      </c>
      <c r="R155" s="4" t="s">
        <v>14</v>
      </c>
      <c r="S155" s="4" t="s">
        <v>14</v>
      </c>
      <c r="T155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156" spans="1:20" ht="18" x14ac:dyDescent="0.35">
      <c r="A156" s="3" t="s">
        <v>199</v>
      </c>
      <c r="B156" s="3" t="str">
        <f>IF(Table1[[#This Row],[Age]]&lt;25,"Under 25",IF(Table1[[#This Row],[Age]]&lt;35,"25-34",IF(Table1[[#This Row],[Age]]&lt;45,"35-44",IF(Table1[[#This Row],[Age]]&lt;55,"45-54","55+"))))</f>
        <v>25-34</v>
      </c>
      <c r="C156" s="3">
        <v>27</v>
      </c>
      <c r="D156" s="3" t="s">
        <v>22</v>
      </c>
      <c r="E156" s="3" t="s">
        <v>34</v>
      </c>
      <c r="F156" s="3" t="s">
        <v>150</v>
      </c>
      <c r="G156" s="3" t="s">
        <v>25</v>
      </c>
      <c r="H156" s="3" t="s">
        <v>11</v>
      </c>
      <c r="I156" s="3">
        <v>65809</v>
      </c>
      <c r="J156" s="3">
        <v>4</v>
      </c>
      <c r="K156" s="3">
        <v>1</v>
      </c>
      <c r="L156" s="3">
        <v>3</v>
      </c>
      <c r="M156" s="3">
        <v>2</v>
      </c>
      <c r="N156" s="3" t="s">
        <v>14</v>
      </c>
      <c r="O156" s="3" t="s">
        <v>13</v>
      </c>
      <c r="P156" s="3">
        <v>3</v>
      </c>
      <c r="Q156" s="3">
        <v>1</v>
      </c>
      <c r="R156" s="4" t="s">
        <v>14</v>
      </c>
      <c r="S156" s="4" t="s">
        <v>14</v>
      </c>
      <c r="T156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157" spans="1:20" ht="18" x14ac:dyDescent="0.35">
      <c r="A157" s="3" t="s">
        <v>200</v>
      </c>
      <c r="B157" s="3" t="str">
        <f>IF(Table1[[#This Row],[Age]]&lt;25,"Under 25",IF(Table1[[#This Row],[Age]]&lt;35,"25-34",IF(Table1[[#This Row],[Age]]&lt;45,"35-44",IF(Table1[[#This Row],[Age]]&lt;55,"45-54","55+"))))</f>
        <v>25-34</v>
      </c>
      <c r="C157" s="3">
        <v>31</v>
      </c>
      <c r="D157" s="3" t="s">
        <v>7</v>
      </c>
      <c r="E157" s="3" t="s">
        <v>38</v>
      </c>
      <c r="F157" s="3" t="s">
        <v>39</v>
      </c>
      <c r="G157" s="3" t="s">
        <v>25</v>
      </c>
      <c r="H157" s="3" t="s">
        <v>11</v>
      </c>
      <c r="I157" s="3">
        <v>78438</v>
      </c>
      <c r="J157" s="3">
        <v>7</v>
      </c>
      <c r="K157" s="3">
        <v>7</v>
      </c>
      <c r="L157" s="3">
        <v>3</v>
      </c>
      <c r="M157" s="3">
        <v>3</v>
      </c>
      <c r="N157" s="3" t="s">
        <v>12</v>
      </c>
      <c r="O157" s="3" t="s">
        <v>13</v>
      </c>
      <c r="P157" s="3">
        <v>2</v>
      </c>
      <c r="Q157" s="3">
        <v>5</v>
      </c>
      <c r="R157" s="4" t="s">
        <v>14</v>
      </c>
      <c r="S157" s="4" t="s">
        <v>12</v>
      </c>
      <c r="T157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158" spans="1:20" ht="18" x14ac:dyDescent="0.35">
      <c r="A158" s="3" t="s">
        <v>201</v>
      </c>
      <c r="B158" s="3" t="str">
        <f>IF(Table1[[#This Row],[Age]]&lt;25,"Under 25",IF(Table1[[#This Row],[Age]]&lt;35,"25-34",IF(Table1[[#This Row],[Age]]&lt;45,"35-44",IF(Table1[[#This Row],[Age]]&lt;55,"45-54","55+"))))</f>
        <v>35-44</v>
      </c>
      <c r="C158" s="3">
        <v>35</v>
      </c>
      <c r="D158" s="3" t="s">
        <v>7</v>
      </c>
      <c r="E158" s="3" t="s">
        <v>38</v>
      </c>
      <c r="F158" s="3" t="s">
        <v>59</v>
      </c>
      <c r="G158" s="3" t="s">
        <v>25</v>
      </c>
      <c r="H158" s="3" t="s">
        <v>19</v>
      </c>
      <c r="I158" s="3">
        <v>66891</v>
      </c>
      <c r="J158" s="3">
        <v>16</v>
      </c>
      <c r="K158" s="3">
        <v>7</v>
      </c>
      <c r="L158" s="3">
        <v>4</v>
      </c>
      <c r="M158" s="3">
        <v>4</v>
      </c>
      <c r="N158" s="3" t="s">
        <v>14</v>
      </c>
      <c r="O158" s="3" t="s">
        <v>13</v>
      </c>
      <c r="P158" s="3">
        <v>3</v>
      </c>
      <c r="Q158" s="3">
        <v>1</v>
      </c>
      <c r="R158" s="4" t="s">
        <v>14</v>
      </c>
      <c r="S158" s="4" t="s">
        <v>14</v>
      </c>
      <c r="T158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159" spans="1:20" ht="18" x14ac:dyDescent="0.35">
      <c r="A159" s="3" t="s">
        <v>202</v>
      </c>
      <c r="B159" s="3" t="str">
        <f>IF(Table1[[#This Row],[Age]]&lt;25,"Under 25",IF(Table1[[#This Row],[Age]]&lt;35,"25-34",IF(Table1[[#This Row],[Age]]&lt;45,"35-44",IF(Table1[[#This Row],[Age]]&lt;55,"45-54","55+"))))</f>
        <v>25-34</v>
      </c>
      <c r="C159" s="3">
        <v>26</v>
      </c>
      <c r="D159" s="3" t="s">
        <v>7</v>
      </c>
      <c r="E159" s="3" t="s">
        <v>8</v>
      </c>
      <c r="F159" s="3" t="s">
        <v>66</v>
      </c>
      <c r="G159" s="3" t="s">
        <v>10</v>
      </c>
      <c r="H159" s="3" t="s">
        <v>19</v>
      </c>
      <c r="I159" s="3">
        <v>63015</v>
      </c>
      <c r="J159" s="3">
        <v>1</v>
      </c>
      <c r="K159" s="3">
        <v>0</v>
      </c>
      <c r="L159" s="3">
        <v>2</v>
      </c>
      <c r="M159" s="3">
        <v>2</v>
      </c>
      <c r="N159" s="3" t="s">
        <v>12</v>
      </c>
      <c r="O159" s="3" t="s">
        <v>13</v>
      </c>
      <c r="P159" s="3">
        <v>3</v>
      </c>
      <c r="Q159" s="3">
        <v>6</v>
      </c>
      <c r="R159" s="4" t="s">
        <v>14</v>
      </c>
      <c r="S159" s="4" t="s">
        <v>14</v>
      </c>
      <c r="T159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160" spans="1:20" ht="18" x14ac:dyDescent="0.35">
      <c r="A160" s="3" t="s">
        <v>203</v>
      </c>
      <c r="B160" s="3" t="str">
        <f>IF(Table1[[#This Row],[Age]]&lt;25,"Under 25",IF(Table1[[#This Row],[Age]]&lt;35,"25-34",IF(Table1[[#This Row],[Age]]&lt;45,"35-44",IF(Table1[[#This Row],[Age]]&lt;55,"45-54","55+"))))</f>
        <v>35-44</v>
      </c>
      <c r="C160" s="3">
        <v>44</v>
      </c>
      <c r="D160" s="3" t="s">
        <v>22</v>
      </c>
      <c r="E160" s="3" t="s">
        <v>16</v>
      </c>
      <c r="F160" s="3" t="s">
        <v>28</v>
      </c>
      <c r="G160" s="3" t="s">
        <v>45</v>
      </c>
      <c r="H160" s="3" t="s">
        <v>19</v>
      </c>
      <c r="I160" s="3">
        <v>63140</v>
      </c>
      <c r="J160" s="3">
        <v>25</v>
      </c>
      <c r="K160" s="3">
        <v>12</v>
      </c>
      <c r="L160" s="3">
        <v>3</v>
      </c>
      <c r="M160" s="3">
        <v>3</v>
      </c>
      <c r="N160" s="3" t="s">
        <v>14</v>
      </c>
      <c r="O160" s="3" t="s">
        <v>13</v>
      </c>
      <c r="P160" s="3">
        <v>3</v>
      </c>
      <c r="Q160" s="3">
        <v>3</v>
      </c>
      <c r="R160" s="4" t="s">
        <v>14</v>
      </c>
      <c r="S160" s="4" t="s">
        <v>14</v>
      </c>
      <c r="T160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161" spans="1:20" ht="18" x14ac:dyDescent="0.35">
      <c r="A161" s="3" t="s">
        <v>204</v>
      </c>
      <c r="B161" s="3" t="str">
        <f>IF(Table1[[#This Row],[Age]]&lt;25,"Under 25",IF(Table1[[#This Row],[Age]]&lt;35,"25-34",IF(Table1[[#This Row],[Age]]&lt;45,"35-44",IF(Table1[[#This Row],[Age]]&lt;55,"45-54","55+"))))</f>
        <v>35-44</v>
      </c>
      <c r="C161" s="3">
        <v>38</v>
      </c>
      <c r="D161" s="3" t="s">
        <v>22</v>
      </c>
      <c r="E161" s="3" t="s">
        <v>34</v>
      </c>
      <c r="F161" s="3" t="s">
        <v>91</v>
      </c>
      <c r="G161" s="3" t="s">
        <v>45</v>
      </c>
      <c r="H161" s="3" t="s">
        <v>19</v>
      </c>
      <c r="I161" s="3">
        <v>78385</v>
      </c>
      <c r="J161" s="3">
        <v>3</v>
      </c>
      <c r="K161" s="3">
        <v>0</v>
      </c>
      <c r="L161" s="3">
        <v>4</v>
      </c>
      <c r="M161" s="3">
        <v>3</v>
      </c>
      <c r="N161" s="3" t="s">
        <v>12</v>
      </c>
      <c r="O161" s="3" t="s">
        <v>26</v>
      </c>
      <c r="P161" s="3">
        <v>2</v>
      </c>
      <c r="Q161" s="3">
        <v>2</v>
      </c>
      <c r="R161" s="4" t="s">
        <v>14</v>
      </c>
      <c r="S161" s="4" t="s">
        <v>12</v>
      </c>
      <c r="T161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162" spans="1:20" ht="18" x14ac:dyDescent="0.35">
      <c r="A162" s="3" t="s">
        <v>205</v>
      </c>
      <c r="B162" s="3" t="str">
        <f>IF(Table1[[#This Row],[Age]]&lt;25,"Under 25",IF(Table1[[#This Row],[Age]]&lt;35,"25-34",IF(Table1[[#This Row],[Age]]&lt;45,"35-44",IF(Table1[[#This Row],[Age]]&lt;55,"45-54","55+"))))</f>
        <v>25-34</v>
      </c>
      <c r="C162" s="3">
        <v>30</v>
      </c>
      <c r="D162" s="3" t="s">
        <v>7</v>
      </c>
      <c r="E162" s="3" t="s">
        <v>16</v>
      </c>
      <c r="F162" s="3" t="s">
        <v>28</v>
      </c>
      <c r="G162" s="3" t="s">
        <v>18</v>
      </c>
      <c r="H162" s="3" t="s">
        <v>19</v>
      </c>
      <c r="I162" s="3">
        <v>92175</v>
      </c>
      <c r="J162" s="3">
        <v>5</v>
      </c>
      <c r="K162" s="3">
        <v>2</v>
      </c>
      <c r="L162" s="3">
        <v>3</v>
      </c>
      <c r="M162" s="3">
        <v>4</v>
      </c>
      <c r="N162" s="3" t="s">
        <v>14</v>
      </c>
      <c r="O162" s="3" t="s">
        <v>13</v>
      </c>
      <c r="P162" s="3">
        <v>3</v>
      </c>
      <c r="Q162" s="3">
        <v>1</v>
      </c>
      <c r="R162" s="4" t="s">
        <v>14</v>
      </c>
      <c r="S162" s="4" t="s">
        <v>14</v>
      </c>
      <c r="T162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163" spans="1:20" ht="18" x14ac:dyDescent="0.35">
      <c r="A163" s="3" t="s">
        <v>206</v>
      </c>
      <c r="B163" s="3" t="str">
        <f>IF(Table1[[#This Row],[Age]]&lt;25,"Under 25",IF(Table1[[#This Row],[Age]]&lt;35,"25-34",IF(Table1[[#This Row],[Age]]&lt;45,"35-44",IF(Table1[[#This Row],[Age]]&lt;55,"45-54","55+"))))</f>
        <v>25-34</v>
      </c>
      <c r="C163" s="3">
        <v>31</v>
      </c>
      <c r="D163" s="3" t="s">
        <v>22</v>
      </c>
      <c r="E163" s="3" t="s">
        <v>16</v>
      </c>
      <c r="F163" s="3" t="s">
        <v>17</v>
      </c>
      <c r="G163" s="3" t="s">
        <v>25</v>
      </c>
      <c r="H163" s="3" t="s">
        <v>11</v>
      </c>
      <c r="I163" s="3">
        <v>85410</v>
      </c>
      <c r="J163" s="3">
        <v>10</v>
      </c>
      <c r="K163" s="3">
        <v>0</v>
      </c>
      <c r="L163" s="3">
        <v>4</v>
      </c>
      <c r="M163" s="3">
        <v>4</v>
      </c>
      <c r="N163" s="3" t="s">
        <v>14</v>
      </c>
      <c r="O163" s="3" t="s">
        <v>26</v>
      </c>
      <c r="P163" s="3">
        <v>2</v>
      </c>
      <c r="Q163" s="3">
        <v>5</v>
      </c>
      <c r="R163" s="4" t="s">
        <v>14</v>
      </c>
      <c r="S163" s="4" t="s">
        <v>14</v>
      </c>
      <c r="T163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164" spans="1:20" ht="18" x14ac:dyDescent="0.35">
      <c r="A164" s="3" t="s">
        <v>207</v>
      </c>
      <c r="B164" s="3" t="str">
        <f>IF(Table1[[#This Row],[Age]]&lt;25,"Under 25",IF(Table1[[#This Row],[Age]]&lt;35,"25-34",IF(Table1[[#This Row],[Age]]&lt;45,"35-44",IF(Table1[[#This Row],[Age]]&lt;55,"45-54","55+"))))</f>
        <v>35-44</v>
      </c>
      <c r="C164" s="3">
        <v>35</v>
      </c>
      <c r="D164" s="3" t="s">
        <v>7</v>
      </c>
      <c r="E164" s="3" t="s">
        <v>31</v>
      </c>
      <c r="F164" s="3" t="s">
        <v>74</v>
      </c>
      <c r="G164" s="3" t="s">
        <v>25</v>
      </c>
      <c r="H164" s="3" t="s">
        <v>11</v>
      </c>
      <c r="I164" s="3">
        <v>70751</v>
      </c>
      <c r="J164" s="3">
        <v>16</v>
      </c>
      <c r="K164" s="3">
        <v>12</v>
      </c>
      <c r="L164" s="3">
        <v>4</v>
      </c>
      <c r="M164" s="3">
        <v>1</v>
      </c>
      <c r="N164" s="3" t="s">
        <v>14</v>
      </c>
      <c r="O164" s="3" t="s">
        <v>20</v>
      </c>
      <c r="P164" s="3">
        <v>3</v>
      </c>
      <c r="Q164" s="3">
        <v>6</v>
      </c>
      <c r="R164" s="4" t="s">
        <v>14</v>
      </c>
      <c r="S164" s="4" t="s">
        <v>14</v>
      </c>
      <c r="T164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165" spans="1:20" ht="18" x14ac:dyDescent="0.35">
      <c r="A165" s="3" t="s">
        <v>208</v>
      </c>
      <c r="B165" s="3" t="str">
        <f>IF(Table1[[#This Row],[Age]]&lt;25,"Under 25",IF(Table1[[#This Row],[Age]]&lt;35,"25-34",IF(Table1[[#This Row],[Age]]&lt;45,"35-44",IF(Table1[[#This Row],[Age]]&lt;55,"45-54","55+"))))</f>
        <v>35-44</v>
      </c>
      <c r="C165" s="3">
        <v>44</v>
      </c>
      <c r="D165" s="3" t="s">
        <v>22</v>
      </c>
      <c r="E165" s="3" t="s">
        <v>31</v>
      </c>
      <c r="F165" s="3" t="s">
        <v>74</v>
      </c>
      <c r="G165" s="3" t="s">
        <v>18</v>
      </c>
      <c r="H165" s="3" t="s">
        <v>19</v>
      </c>
      <c r="I165" s="3">
        <v>22000</v>
      </c>
      <c r="J165" s="3">
        <v>8</v>
      </c>
      <c r="K165" s="3">
        <v>6</v>
      </c>
      <c r="L165" s="3">
        <v>2</v>
      </c>
      <c r="M165" s="3">
        <v>4</v>
      </c>
      <c r="N165" s="3" t="s">
        <v>14</v>
      </c>
      <c r="O165" s="3" t="s">
        <v>13</v>
      </c>
      <c r="P165" s="3">
        <v>3</v>
      </c>
      <c r="Q165" s="3">
        <v>1</v>
      </c>
      <c r="R165" s="4" t="s">
        <v>14</v>
      </c>
      <c r="S165" s="4" t="s">
        <v>14</v>
      </c>
      <c r="T165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166" spans="1:20" ht="18" x14ac:dyDescent="0.35">
      <c r="A166" s="3" t="s">
        <v>209</v>
      </c>
      <c r="B166" s="3" t="str">
        <f>IF(Table1[[#This Row],[Age]]&lt;25,"Under 25",IF(Table1[[#This Row],[Age]]&lt;35,"25-34",IF(Table1[[#This Row],[Age]]&lt;45,"35-44",IF(Table1[[#This Row],[Age]]&lt;55,"45-54","55+"))))</f>
        <v>55+</v>
      </c>
      <c r="C166" s="3">
        <v>57</v>
      </c>
      <c r="D166" s="3" t="s">
        <v>7</v>
      </c>
      <c r="E166" s="3" t="s">
        <v>8</v>
      </c>
      <c r="F166" s="3" t="s">
        <v>66</v>
      </c>
      <c r="G166" s="3" t="s">
        <v>25</v>
      </c>
      <c r="H166" s="3" t="s">
        <v>19</v>
      </c>
      <c r="I166" s="3">
        <v>88088</v>
      </c>
      <c r="J166" s="3">
        <v>7</v>
      </c>
      <c r="K166" s="3">
        <v>0</v>
      </c>
      <c r="L166" s="3">
        <v>1</v>
      </c>
      <c r="M166" s="3">
        <v>3</v>
      </c>
      <c r="N166" s="3" t="s">
        <v>12</v>
      </c>
      <c r="O166" s="3" t="s">
        <v>13</v>
      </c>
      <c r="P166" s="3">
        <v>2</v>
      </c>
      <c r="Q166" s="3">
        <v>2</v>
      </c>
      <c r="R166" s="4" t="s">
        <v>14</v>
      </c>
      <c r="S166" s="4" t="s">
        <v>14</v>
      </c>
      <c r="T166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167" spans="1:20" ht="18" x14ac:dyDescent="0.35">
      <c r="A167" s="3" t="s">
        <v>210</v>
      </c>
      <c r="B167" s="3" t="str">
        <f>IF(Table1[[#This Row],[Age]]&lt;25,"Under 25",IF(Table1[[#This Row],[Age]]&lt;35,"25-34",IF(Table1[[#This Row],[Age]]&lt;45,"35-44",IF(Table1[[#This Row],[Age]]&lt;55,"45-54","55+"))))</f>
        <v>35-44</v>
      </c>
      <c r="C167" s="3">
        <v>39</v>
      </c>
      <c r="D167" s="3" t="s">
        <v>7</v>
      </c>
      <c r="E167" s="3" t="s">
        <v>51</v>
      </c>
      <c r="F167" s="3" t="s">
        <v>72</v>
      </c>
      <c r="G167" s="3" t="s">
        <v>25</v>
      </c>
      <c r="H167" s="3" t="s">
        <v>11</v>
      </c>
      <c r="I167" s="3">
        <v>69346</v>
      </c>
      <c r="J167" s="3">
        <v>13</v>
      </c>
      <c r="K167" s="3">
        <v>8</v>
      </c>
      <c r="L167" s="3">
        <v>4</v>
      </c>
      <c r="M167" s="3">
        <v>2</v>
      </c>
      <c r="N167" s="3" t="s">
        <v>14</v>
      </c>
      <c r="O167" s="3" t="s">
        <v>13</v>
      </c>
      <c r="P167" s="3">
        <v>3</v>
      </c>
      <c r="Q167" s="3">
        <v>5</v>
      </c>
      <c r="R167" s="4" t="s">
        <v>14</v>
      </c>
      <c r="S167" s="4" t="s">
        <v>14</v>
      </c>
      <c r="T167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168" spans="1:20" ht="18" x14ac:dyDescent="0.35">
      <c r="A168" s="3" t="s">
        <v>211</v>
      </c>
      <c r="B168" s="3" t="str">
        <f>IF(Table1[[#This Row],[Age]]&lt;25,"Under 25",IF(Table1[[#This Row],[Age]]&lt;35,"25-34",IF(Table1[[#This Row],[Age]]&lt;45,"35-44",IF(Table1[[#This Row],[Age]]&lt;55,"45-54","55+"))))</f>
        <v>45-54</v>
      </c>
      <c r="C168" s="3">
        <v>46</v>
      </c>
      <c r="D168" s="3" t="s">
        <v>22</v>
      </c>
      <c r="E168" s="3" t="s">
        <v>31</v>
      </c>
      <c r="F168" s="3" t="s">
        <v>32</v>
      </c>
      <c r="G168" s="3" t="s">
        <v>18</v>
      </c>
      <c r="H168" s="3" t="s">
        <v>11</v>
      </c>
      <c r="I168" s="3">
        <v>56468</v>
      </c>
      <c r="J168" s="3">
        <v>10</v>
      </c>
      <c r="K168" s="3">
        <v>2</v>
      </c>
      <c r="L168" s="3">
        <v>1</v>
      </c>
      <c r="M168" s="3">
        <v>4</v>
      </c>
      <c r="N168" s="3" t="s">
        <v>14</v>
      </c>
      <c r="O168" s="3" t="s">
        <v>13</v>
      </c>
      <c r="P168" s="3">
        <v>3</v>
      </c>
      <c r="Q168" s="3">
        <v>5</v>
      </c>
      <c r="R168" s="4" t="s">
        <v>14</v>
      </c>
      <c r="S168" s="4" t="s">
        <v>14</v>
      </c>
      <c r="T168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169" spans="1:20" ht="18" x14ac:dyDescent="0.35">
      <c r="A169" s="3" t="s">
        <v>212</v>
      </c>
      <c r="B169" s="3" t="str">
        <f>IF(Table1[[#This Row],[Age]]&lt;25,"Under 25",IF(Table1[[#This Row],[Age]]&lt;35,"25-34",IF(Table1[[#This Row],[Age]]&lt;45,"35-44",IF(Table1[[#This Row],[Age]]&lt;55,"45-54","55+"))))</f>
        <v>25-34</v>
      </c>
      <c r="C169" s="3">
        <v>32</v>
      </c>
      <c r="D169" s="3" t="s">
        <v>22</v>
      </c>
      <c r="E169" s="3" t="s">
        <v>51</v>
      </c>
      <c r="F169" s="3" t="s">
        <v>52</v>
      </c>
      <c r="G169" s="3" t="s">
        <v>18</v>
      </c>
      <c r="H169" s="3" t="s">
        <v>19</v>
      </c>
      <c r="I169" s="3">
        <v>31276</v>
      </c>
      <c r="J169" s="3">
        <v>11</v>
      </c>
      <c r="K169" s="3">
        <v>10</v>
      </c>
      <c r="L169" s="3">
        <v>2</v>
      </c>
      <c r="M169" s="3">
        <v>3</v>
      </c>
      <c r="N169" s="3" t="s">
        <v>12</v>
      </c>
      <c r="O169" s="3" t="s">
        <v>13</v>
      </c>
      <c r="P169" s="3">
        <v>3</v>
      </c>
      <c r="Q169" s="3">
        <v>5</v>
      </c>
      <c r="R169" s="4" t="s">
        <v>14</v>
      </c>
      <c r="S169" s="4" t="s">
        <v>14</v>
      </c>
      <c r="T169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170" spans="1:20" ht="18" x14ac:dyDescent="0.35">
      <c r="A170" s="3" t="s">
        <v>213</v>
      </c>
      <c r="B170" s="3" t="str">
        <f>IF(Table1[[#This Row],[Age]]&lt;25,"Under 25",IF(Table1[[#This Row],[Age]]&lt;35,"25-34",IF(Table1[[#This Row],[Age]]&lt;45,"35-44",IF(Table1[[#This Row],[Age]]&lt;55,"45-54","55+"))))</f>
        <v>25-34</v>
      </c>
      <c r="C170" s="3">
        <v>27</v>
      </c>
      <c r="D170" s="3" t="s">
        <v>7</v>
      </c>
      <c r="E170" s="3" t="s">
        <v>51</v>
      </c>
      <c r="F170" s="3" t="s">
        <v>80</v>
      </c>
      <c r="G170" s="3" t="s">
        <v>25</v>
      </c>
      <c r="H170" s="3" t="s">
        <v>11</v>
      </c>
      <c r="I170" s="3">
        <v>55277</v>
      </c>
      <c r="J170" s="3">
        <v>8</v>
      </c>
      <c r="K170" s="3">
        <v>5</v>
      </c>
      <c r="L170" s="3">
        <v>3</v>
      </c>
      <c r="M170" s="3">
        <v>3</v>
      </c>
      <c r="N170" s="3" t="s">
        <v>14</v>
      </c>
      <c r="O170" s="3" t="s">
        <v>13</v>
      </c>
      <c r="P170" s="3">
        <v>3</v>
      </c>
      <c r="Q170" s="3">
        <v>1</v>
      </c>
      <c r="R170" s="4" t="s">
        <v>14</v>
      </c>
      <c r="S170" s="4" t="s">
        <v>14</v>
      </c>
      <c r="T170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171" spans="1:20" ht="18" x14ac:dyDescent="0.35">
      <c r="A171" s="3" t="s">
        <v>214</v>
      </c>
      <c r="B171" s="3" t="str">
        <f>IF(Table1[[#This Row],[Age]]&lt;25,"Under 25",IF(Table1[[#This Row],[Age]]&lt;35,"25-34",IF(Table1[[#This Row],[Age]]&lt;45,"35-44",IF(Table1[[#This Row],[Age]]&lt;55,"45-54","55+"))))</f>
        <v>25-34</v>
      </c>
      <c r="C171" s="3">
        <v>32</v>
      </c>
      <c r="D171" s="3" t="s">
        <v>22</v>
      </c>
      <c r="E171" s="3" t="s">
        <v>16</v>
      </c>
      <c r="F171" s="3" t="s">
        <v>28</v>
      </c>
      <c r="G171" s="3" t="s">
        <v>25</v>
      </c>
      <c r="H171" s="3" t="s">
        <v>11</v>
      </c>
      <c r="I171" s="3">
        <v>53214</v>
      </c>
      <c r="J171" s="3">
        <v>4</v>
      </c>
      <c r="K171" s="3">
        <v>4</v>
      </c>
      <c r="L171" s="3">
        <v>1</v>
      </c>
      <c r="M171" s="3">
        <v>3</v>
      </c>
      <c r="N171" s="3" t="s">
        <v>14</v>
      </c>
      <c r="O171" s="3" t="s">
        <v>13</v>
      </c>
      <c r="P171" s="3">
        <v>3</v>
      </c>
      <c r="Q171" s="3">
        <v>6</v>
      </c>
      <c r="R171" s="4" t="s">
        <v>14</v>
      </c>
      <c r="S171" s="4" t="s">
        <v>14</v>
      </c>
      <c r="T171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172" spans="1:20" ht="18" x14ac:dyDescent="0.35">
      <c r="A172" s="3" t="s">
        <v>215</v>
      </c>
      <c r="B172" s="3" t="str">
        <f>IF(Table1[[#This Row],[Age]]&lt;25,"Under 25",IF(Table1[[#This Row],[Age]]&lt;35,"25-34",IF(Table1[[#This Row],[Age]]&lt;45,"35-44",IF(Table1[[#This Row],[Age]]&lt;55,"45-54","55+"))))</f>
        <v>25-34</v>
      </c>
      <c r="C172" s="3">
        <v>32</v>
      </c>
      <c r="D172" s="3" t="s">
        <v>22</v>
      </c>
      <c r="E172" s="3" t="s">
        <v>8</v>
      </c>
      <c r="F172" s="3" t="s">
        <v>9</v>
      </c>
      <c r="G172" s="3" t="s">
        <v>10</v>
      </c>
      <c r="H172" s="3" t="s">
        <v>11</v>
      </c>
      <c r="I172" s="3">
        <v>55413</v>
      </c>
      <c r="J172" s="3">
        <v>3</v>
      </c>
      <c r="K172" s="3">
        <v>1</v>
      </c>
      <c r="L172" s="3">
        <v>2</v>
      </c>
      <c r="M172" s="3">
        <v>2</v>
      </c>
      <c r="N172" s="3" t="s">
        <v>14</v>
      </c>
      <c r="O172" s="3" t="s">
        <v>20</v>
      </c>
      <c r="P172" s="3">
        <v>3</v>
      </c>
      <c r="Q172" s="3">
        <v>6</v>
      </c>
      <c r="R172" s="4" t="s">
        <v>12</v>
      </c>
      <c r="S172" s="4" t="s">
        <v>14</v>
      </c>
      <c r="T172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173" spans="1:20" ht="18" x14ac:dyDescent="0.35">
      <c r="A173" s="3" t="s">
        <v>216</v>
      </c>
      <c r="B173" s="3" t="str">
        <f>IF(Table1[[#This Row],[Age]]&lt;25,"Under 25",IF(Table1[[#This Row],[Age]]&lt;35,"25-34",IF(Table1[[#This Row],[Age]]&lt;45,"35-44",IF(Table1[[#This Row],[Age]]&lt;55,"45-54","55+"))))</f>
        <v>25-34</v>
      </c>
      <c r="C173" s="3">
        <v>27</v>
      </c>
      <c r="D173" s="3" t="s">
        <v>22</v>
      </c>
      <c r="E173" s="3" t="s">
        <v>8</v>
      </c>
      <c r="F173" s="3" t="s">
        <v>23</v>
      </c>
      <c r="G173" s="3" t="s">
        <v>10</v>
      </c>
      <c r="H173" s="3" t="s">
        <v>42</v>
      </c>
      <c r="I173" s="3">
        <v>86901</v>
      </c>
      <c r="J173" s="3">
        <v>8</v>
      </c>
      <c r="K173" s="3">
        <v>1</v>
      </c>
      <c r="L173" s="3">
        <v>4</v>
      </c>
      <c r="M173" s="3">
        <v>4</v>
      </c>
      <c r="N173" s="3" t="s">
        <v>14</v>
      </c>
      <c r="O173" s="3" t="s">
        <v>13</v>
      </c>
      <c r="P173" s="3">
        <v>3</v>
      </c>
      <c r="Q173" s="3">
        <v>2</v>
      </c>
      <c r="R173" s="4" t="s">
        <v>14</v>
      </c>
      <c r="S173" s="4" t="s">
        <v>14</v>
      </c>
      <c r="T173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174" spans="1:20" ht="18" x14ac:dyDescent="0.35">
      <c r="A174" s="3" t="s">
        <v>217</v>
      </c>
      <c r="B174" s="3" t="str">
        <f>IF(Table1[[#This Row],[Age]]&lt;25,"Under 25",IF(Table1[[#This Row],[Age]]&lt;35,"25-34",IF(Table1[[#This Row],[Age]]&lt;45,"35-44",IF(Table1[[#This Row],[Age]]&lt;55,"45-54","55+"))))</f>
        <v>25-34</v>
      </c>
      <c r="C174" s="3">
        <v>30</v>
      </c>
      <c r="D174" s="3" t="s">
        <v>22</v>
      </c>
      <c r="E174" s="3" t="s">
        <v>8</v>
      </c>
      <c r="F174" s="3" t="s">
        <v>66</v>
      </c>
      <c r="G174" s="3" t="s">
        <v>10</v>
      </c>
      <c r="H174" s="3" t="s">
        <v>19</v>
      </c>
      <c r="I174" s="3">
        <v>76904</v>
      </c>
      <c r="J174" s="3">
        <v>10</v>
      </c>
      <c r="K174" s="3">
        <v>0</v>
      </c>
      <c r="L174" s="3">
        <v>4</v>
      </c>
      <c r="M174" s="3">
        <v>3</v>
      </c>
      <c r="N174" s="3" t="s">
        <v>14</v>
      </c>
      <c r="O174" s="3" t="s">
        <v>13</v>
      </c>
      <c r="P174" s="3">
        <v>3</v>
      </c>
      <c r="Q174" s="3">
        <v>6</v>
      </c>
      <c r="R174" s="4" t="s">
        <v>12</v>
      </c>
      <c r="S174" s="4" t="s">
        <v>14</v>
      </c>
      <c r="T174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175" spans="1:20" ht="18" x14ac:dyDescent="0.35">
      <c r="A175" s="3" t="s">
        <v>218</v>
      </c>
      <c r="B175" s="3" t="str">
        <f>IF(Table1[[#This Row],[Age]]&lt;25,"Under 25",IF(Table1[[#This Row],[Age]]&lt;35,"25-34",IF(Table1[[#This Row],[Age]]&lt;45,"35-44",IF(Table1[[#This Row],[Age]]&lt;55,"45-54","55+"))))</f>
        <v>25-34</v>
      </c>
      <c r="C175" s="3">
        <v>28</v>
      </c>
      <c r="D175" s="3" t="s">
        <v>22</v>
      </c>
      <c r="E175" s="3" t="s">
        <v>16</v>
      </c>
      <c r="F175" s="3" t="s">
        <v>47</v>
      </c>
      <c r="G175" s="3" t="s">
        <v>10</v>
      </c>
      <c r="H175" s="3" t="s">
        <v>11</v>
      </c>
      <c r="I175" s="3">
        <v>94095</v>
      </c>
      <c r="J175" s="3">
        <v>6</v>
      </c>
      <c r="K175" s="3">
        <v>2</v>
      </c>
      <c r="L175" s="3">
        <v>3</v>
      </c>
      <c r="M175" s="3">
        <v>3</v>
      </c>
      <c r="N175" s="3" t="s">
        <v>12</v>
      </c>
      <c r="O175" s="3" t="s">
        <v>13</v>
      </c>
      <c r="P175" s="3">
        <v>4</v>
      </c>
      <c r="Q175" s="3">
        <v>1</v>
      </c>
      <c r="R175" s="4" t="s">
        <v>14</v>
      </c>
      <c r="S175" s="4" t="s">
        <v>14</v>
      </c>
      <c r="T175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176" spans="1:20" ht="18" x14ac:dyDescent="0.35">
      <c r="A176" s="3" t="s">
        <v>219</v>
      </c>
      <c r="B176" s="3" t="str">
        <f>IF(Table1[[#This Row],[Age]]&lt;25,"Under 25",IF(Table1[[#This Row],[Age]]&lt;35,"25-34",IF(Table1[[#This Row],[Age]]&lt;45,"35-44",IF(Table1[[#This Row],[Age]]&lt;55,"45-54","55+"))))</f>
        <v>25-34</v>
      </c>
      <c r="C176" s="3">
        <v>32</v>
      </c>
      <c r="D176" s="3" t="s">
        <v>7</v>
      </c>
      <c r="E176" s="3" t="s">
        <v>8</v>
      </c>
      <c r="F176" s="3" t="s">
        <v>9</v>
      </c>
      <c r="G176" s="3" t="s">
        <v>25</v>
      </c>
      <c r="H176" s="3" t="s">
        <v>19</v>
      </c>
      <c r="I176" s="3">
        <v>45612</v>
      </c>
      <c r="J176" s="3">
        <v>0</v>
      </c>
      <c r="K176" s="3">
        <v>0</v>
      </c>
      <c r="L176" s="3">
        <v>4</v>
      </c>
      <c r="M176" s="3">
        <v>3</v>
      </c>
      <c r="N176" s="3" t="s">
        <v>14</v>
      </c>
      <c r="O176" s="3" t="s">
        <v>13</v>
      </c>
      <c r="P176" s="3">
        <v>3</v>
      </c>
      <c r="Q176" s="3">
        <v>6</v>
      </c>
      <c r="R176" s="4" t="s">
        <v>14</v>
      </c>
      <c r="S176" s="4" t="s">
        <v>14</v>
      </c>
      <c r="T176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Less than 1 Year</v>
      </c>
    </row>
    <row r="177" spans="1:20" ht="18" x14ac:dyDescent="0.35">
      <c r="A177" s="3" t="s">
        <v>220</v>
      </c>
      <c r="B177" s="3" t="str">
        <f>IF(Table1[[#This Row],[Age]]&lt;25,"Under 25",IF(Table1[[#This Row],[Age]]&lt;35,"25-34",IF(Table1[[#This Row],[Age]]&lt;45,"35-44",IF(Table1[[#This Row],[Age]]&lt;55,"45-54","55+"))))</f>
        <v>25-34</v>
      </c>
      <c r="C177" s="3">
        <v>29</v>
      </c>
      <c r="D177" s="3" t="s">
        <v>7</v>
      </c>
      <c r="E177" s="3" t="s">
        <v>38</v>
      </c>
      <c r="F177" s="3" t="s">
        <v>39</v>
      </c>
      <c r="G177" s="3" t="s">
        <v>25</v>
      </c>
      <c r="H177" s="3" t="s">
        <v>19</v>
      </c>
      <c r="I177" s="3">
        <v>48236</v>
      </c>
      <c r="J177" s="3">
        <v>7</v>
      </c>
      <c r="K177" s="3">
        <v>2</v>
      </c>
      <c r="L177" s="3">
        <v>3</v>
      </c>
      <c r="M177" s="3">
        <v>3</v>
      </c>
      <c r="N177" s="3" t="s">
        <v>14</v>
      </c>
      <c r="O177" s="3" t="s">
        <v>20</v>
      </c>
      <c r="P177" s="3">
        <v>3</v>
      </c>
      <c r="Q177" s="3">
        <v>3</v>
      </c>
      <c r="R177" s="4" t="s">
        <v>12</v>
      </c>
      <c r="S177" s="4" t="s">
        <v>14</v>
      </c>
      <c r="T177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178" spans="1:20" ht="18" x14ac:dyDescent="0.35">
      <c r="A178" s="3" t="s">
        <v>221</v>
      </c>
      <c r="B178" s="3" t="str">
        <f>IF(Table1[[#This Row],[Age]]&lt;25,"Under 25",IF(Table1[[#This Row],[Age]]&lt;35,"25-34",IF(Table1[[#This Row],[Age]]&lt;45,"35-44",IF(Table1[[#This Row],[Age]]&lt;55,"45-54","55+"))))</f>
        <v>45-54</v>
      </c>
      <c r="C178" s="3">
        <v>47</v>
      </c>
      <c r="D178" s="3" t="s">
        <v>7</v>
      </c>
      <c r="E178" s="3" t="s">
        <v>51</v>
      </c>
      <c r="F178" s="3" t="s">
        <v>72</v>
      </c>
      <c r="G178" s="3" t="s">
        <v>10</v>
      </c>
      <c r="H178" s="3" t="s">
        <v>11</v>
      </c>
      <c r="I178" s="3">
        <v>84915</v>
      </c>
      <c r="J178" s="3">
        <v>17</v>
      </c>
      <c r="K178" s="3">
        <v>3</v>
      </c>
      <c r="L178" s="3">
        <v>3</v>
      </c>
      <c r="M178" s="3">
        <v>1</v>
      </c>
      <c r="N178" s="3" t="s">
        <v>14</v>
      </c>
      <c r="O178" s="3" t="s">
        <v>13</v>
      </c>
      <c r="P178" s="3">
        <v>4</v>
      </c>
      <c r="Q178" s="3">
        <v>3</v>
      </c>
      <c r="R178" s="4" t="s">
        <v>12</v>
      </c>
      <c r="S178" s="4" t="s">
        <v>14</v>
      </c>
      <c r="T178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179" spans="1:20" ht="18" x14ac:dyDescent="0.35">
      <c r="A179" s="3" t="s">
        <v>222</v>
      </c>
      <c r="B179" s="3" t="str">
        <f>IF(Table1[[#This Row],[Age]]&lt;25,"Under 25",IF(Table1[[#This Row],[Age]]&lt;35,"25-34",IF(Table1[[#This Row],[Age]]&lt;45,"35-44",IF(Table1[[#This Row],[Age]]&lt;55,"45-54","55+"))))</f>
        <v>25-34</v>
      </c>
      <c r="C179" s="3">
        <v>33</v>
      </c>
      <c r="D179" s="3" t="s">
        <v>22</v>
      </c>
      <c r="E179" s="3" t="s">
        <v>51</v>
      </c>
      <c r="F179" s="3" t="s">
        <v>80</v>
      </c>
      <c r="G179" s="3" t="s">
        <v>25</v>
      </c>
      <c r="H179" s="3" t="s">
        <v>11</v>
      </c>
      <c r="I179" s="3">
        <v>60296</v>
      </c>
      <c r="J179" s="3">
        <v>12</v>
      </c>
      <c r="K179" s="3">
        <v>11</v>
      </c>
      <c r="L179" s="3">
        <v>4</v>
      </c>
      <c r="M179" s="3">
        <v>1</v>
      </c>
      <c r="N179" s="3" t="s">
        <v>14</v>
      </c>
      <c r="O179" s="3" t="s">
        <v>26</v>
      </c>
      <c r="P179" s="3">
        <v>3</v>
      </c>
      <c r="Q179" s="3">
        <v>6</v>
      </c>
      <c r="R179" s="4" t="s">
        <v>14</v>
      </c>
      <c r="S179" s="4" t="s">
        <v>14</v>
      </c>
      <c r="T179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180" spans="1:20" ht="18" x14ac:dyDescent="0.35">
      <c r="A180" s="3" t="s">
        <v>223</v>
      </c>
      <c r="B180" s="3" t="str">
        <f>IF(Table1[[#This Row],[Age]]&lt;25,"Under 25",IF(Table1[[#This Row],[Age]]&lt;35,"25-34",IF(Table1[[#This Row],[Age]]&lt;45,"35-44",IF(Table1[[#This Row],[Age]]&lt;55,"45-54","55+"))))</f>
        <v>35-44</v>
      </c>
      <c r="C180" s="3">
        <v>43</v>
      </c>
      <c r="D180" s="3" t="s">
        <v>22</v>
      </c>
      <c r="E180" s="3" t="s">
        <v>38</v>
      </c>
      <c r="F180" s="3" t="s">
        <v>59</v>
      </c>
      <c r="G180" s="3" t="s">
        <v>18</v>
      </c>
      <c r="H180" s="3" t="s">
        <v>11</v>
      </c>
      <c r="I180" s="3">
        <v>29317</v>
      </c>
      <c r="J180" s="3">
        <v>16</v>
      </c>
      <c r="K180" s="3">
        <v>9</v>
      </c>
      <c r="L180" s="3">
        <v>3</v>
      </c>
      <c r="M180" s="3">
        <v>4</v>
      </c>
      <c r="N180" s="3" t="s">
        <v>12</v>
      </c>
      <c r="O180" s="3" t="s">
        <v>13</v>
      </c>
      <c r="P180" s="3">
        <v>3</v>
      </c>
      <c r="Q180" s="3">
        <v>6</v>
      </c>
      <c r="R180" s="4" t="s">
        <v>14</v>
      </c>
      <c r="S180" s="4" t="s">
        <v>14</v>
      </c>
      <c r="T180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181" spans="1:20" ht="18" x14ac:dyDescent="0.35">
      <c r="A181" s="3" t="s">
        <v>224</v>
      </c>
      <c r="B181" s="3" t="str">
        <f>IF(Table1[[#This Row],[Age]]&lt;25,"Under 25",IF(Table1[[#This Row],[Age]]&lt;35,"25-34",IF(Table1[[#This Row],[Age]]&lt;45,"35-44",IF(Table1[[#This Row],[Age]]&lt;55,"45-54","55+"))))</f>
        <v>35-44</v>
      </c>
      <c r="C181" s="3">
        <v>38</v>
      </c>
      <c r="D181" s="3" t="s">
        <v>22</v>
      </c>
      <c r="E181" s="3" t="s">
        <v>16</v>
      </c>
      <c r="F181" s="3" t="s">
        <v>28</v>
      </c>
      <c r="G181" s="3" t="s">
        <v>10</v>
      </c>
      <c r="H181" s="3" t="s">
        <v>11</v>
      </c>
      <c r="I181" s="3">
        <v>62618</v>
      </c>
      <c r="J181" s="3">
        <v>1</v>
      </c>
      <c r="K181" s="3">
        <v>0</v>
      </c>
      <c r="L181" s="3">
        <v>4</v>
      </c>
      <c r="M181" s="3">
        <v>3</v>
      </c>
      <c r="N181" s="3" t="s">
        <v>12</v>
      </c>
      <c r="O181" s="3" t="s">
        <v>13</v>
      </c>
      <c r="P181" s="3">
        <v>3</v>
      </c>
      <c r="Q181" s="3">
        <v>2</v>
      </c>
      <c r="R181" s="4" t="s">
        <v>14</v>
      </c>
      <c r="S181" s="4" t="s">
        <v>14</v>
      </c>
      <c r="T181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182" spans="1:20" ht="18" x14ac:dyDescent="0.35">
      <c r="A182" s="3" t="s">
        <v>225</v>
      </c>
      <c r="B182" s="3" t="str">
        <f>IF(Table1[[#This Row],[Age]]&lt;25,"Under 25",IF(Table1[[#This Row],[Age]]&lt;35,"25-34",IF(Table1[[#This Row],[Age]]&lt;45,"35-44",IF(Table1[[#This Row],[Age]]&lt;55,"45-54","55+"))))</f>
        <v>35-44</v>
      </c>
      <c r="C182" s="3">
        <v>44</v>
      </c>
      <c r="D182" s="3" t="s">
        <v>7</v>
      </c>
      <c r="E182" s="3" t="s">
        <v>38</v>
      </c>
      <c r="F182" s="3" t="s">
        <v>89</v>
      </c>
      <c r="G182" s="3" t="s">
        <v>25</v>
      </c>
      <c r="H182" s="3" t="s">
        <v>11</v>
      </c>
      <c r="I182" s="3">
        <v>69429</v>
      </c>
      <c r="J182" s="3">
        <v>5</v>
      </c>
      <c r="K182" s="3">
        <v>5</v>
      </c>
      <c r="L182" s="3">
        <v>3</v>
      </c>
      <c r="M182" s="3">
        <v>2</v>
      </c>
      <c r="N182" s="3" t="s">
        <v>14</v>
      </c>
      <c r="O182" s="3" t="s">
        <v>13</v>
      </c>
      <c r="P182" s="3">
        <v>2</v>
      </c>
      <c r="Q182" s="3">
        <v>3</v>
      </c>
      <c r="R182" s="4" t="s">
        <v>14</v>
      </c>
      <c r="S182" s="4" t="s">
        <v>14</v>
      </c>
      <c r="T182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183" spans="1:20" ht="18" x14ac:dyDescent="0.35">
      <c r="A183" s="3" t="s">
        <v>226</v>
      </c>
      <c r="B183" s="3" t="str">
        <f>IF(Table1[[#This Row],[Age]]&lt;25,"Under 25",IF(Table1[[#This Row],[Age]]&lt;35,"25-34",IF(Table1[[#This Row],[Age]]&lt;45,"35-44",IF(Table1[[#This Row],[Age]]&lt;55,"45-54","55+"))))</f>
        <v>45-54</v>
      </c>
      <c r="C183" s="3">
        <v>45</v>
      </c>
      <c r="D183" s="3" t="s">
        <v>7</v>
      </c>
      <c r="E183" s="3" t="s">
        <v>31</v>
      </c>
      <c r="F183" s="3" t="s">
        <v>74</v>
      </c>
      <c r="G183" s="3" t="s">
        <v>10</v>
      </c>
      <c r="H183" s="3" t="s">
        <v>11</v>
      </c>
      <c r="I183" s="3">
        <v>43195</v>
      </c>
      <c r="J183" s="3">
        <v>6</v>
      </c>
      <c r="K183" s="3">
        <v>5</v>
      </c>
      <c r="L183" s="3">
        <v>3</v>
      </c>
      <c r="M183" s="3">
        <v>3</v>
      </c>
      <c r="N183" s="3" t="s">
        <v>14</v>
      </c>
      <c r="O183" s="3" t="s">
        <v>20</v>
      </c>
      <c r="P183" s="3">
        <v>3</v>
      </c>
      <c r="Q183" s="3">
        <v>5</v>
      </c>
      <c r="R183" s="4" t="s">
        <v>14</v>
      </c>
      <c r="S183" s="4" t="s">
        <v>14</v>
      </c>
      <c r="T183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184" spans="1:20" ht="18" x14ac:dyDescent="0.35">
      <c r="A184" s="3" t="s">
        <v>227</v>
      </c>
      <c r="B184" s="3" t="str">
        <f>IF(Table1[[#This Row],[Age]]&lt;25,"Under 25",IF(Table1[[#This Row],[Age]]&lt;35,"25-34",IF(Table1[[#This Row],[Age]]&lt;45,"35-44",IF(Table1[[#This Row],[Age]]&lt;55,"45-54","55+"))))</f>
        <v>35-44</v>
      </c>
      <c r="C184" s="3">
        <v>40</v>
      </c>
      <c r="D184" s="3" t="s">
        <v>7</v>
      </c>
      <c r="E184" s="3" t="s">
        <v>38</v>
      </c>
      <c r="F184" s="3" t="s">
        <v>39</v>
      </c>
      <c r="G184" s="3" t="s">
        <v>25</v>
      </c>
      <c r="H184" s="3" t="s">
        <v>11</v>
      </c>
      <c r="I184" s="3">
        <v>46900</v>
      </c>
      <c r="J184" s="3">
        <v>9</v>
      </c>
      <c r="K184" s="3">
        <v>3</v>
      </c>
      <c r="L184" s="3">
        <v>4</v>
      </c>
      <c r="M184" s="3">
        <v>3</v>
      </c>
      <c r="N184" s="3" t="s">
        <v>14</v>
      </c>
      <c r="O184" s="3" t="s">
        <v>26</v>
      </c>
      <c r="P184" s="3">
        <v>3</v>
      </c>
      <c r="Q184" s="3">
        <v>5</v>
      </c>
      <c r="R184" s="4" t="s">
        <v>14</v>
      </c>
      <c r="S184" s="4" t="s">
        <v>14</v>
      </c>
      <c r="T184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185" spans="1:20" ht="18" x14ac:dyDescent="0.35">
      <c r="A185" s="3" t="s">
        <v>228</v>
      </c>
      <c r="B185" s="3" t="str">
        <f>IF(Table1[[#This Row],[Age]]&lt;25,"Under 25",IF(Table1[[#This Row],[Age]]&lt;35,"25-34",IF(Table1[[#This Row],[Age]]&lt;45,"35-44",IF(Table1[[#This Row],[Age]]&lt;55,"45-54","55+"))))</f>
        <v>25-34</v>
      </c>
      <c r="C185" s="3">
        <v>33</v>
      </c>
      <c r="D185" s="3" t="s">
        <v>7</v>
      </c>
      <c r="E185" s="3" t="s">
        <v>8</v>
      </c>
      <c r="F185" s="3" t="s">
        <v>9</v>
      </c>
      <c r="G185" s="3" t="s">
        <v>10</v>
      </c>
      <c r="H185" s="3" t="s">
        <v>11</v>
      </c>
      <c r="I185" s="3">
        <v>35720</v>
      </c>
      <c r="J185" s="3">
        <v>9</v>
      </c>
      <c r="K185" s="3">
        <v>0</v>
      </c>
      <c r="L185" s="3">
        <v>3</v>
      </c>
      <c r="M185" s="3">
        <v>3</v>
      </c>
      <c r="N185" s="3" t="s">
        <v>14</v>
      </c>
      <c r="O185" s="3" t="s">
        <v>13</v>
      </c>
      <c r="P185" s="3">
        <v>3</v>
      </c>
      <c r="Q185" s="3">
        <v>2</v>
      </c>
      <c r="R185" s="4" t="s">
        <v>14</v>
      </c>
      <c r="S185" s="4" t="s">
        <v>14</v>
      </c>
      <c r="T185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186" spans="1:20" ht="18" x14ac:dyDescent="0.35">
      <c r="A186" s="3" t="s">
        <v>229</v>
      </c>
      <c r="B186" s="3" t="str">
        <f>IF(Table1[[#This Row],[Age]]&lt;25,"Under 25",IF(Table1[[#This Row],[Age]]&lt;35,"25-34",IF(Table1[[#This Row],[Age]]&lt;45,"35-44",IF(Table1[[#This Row],[Age]]&lt;55,"45-54","55+"))))</f>
        <v>45-54</v>
      </c>
      <c r="C186" s="3">
        <v>47</v>
      </c>
      <c r="D186" s="3" t="s">
        <v>22</v>
      </c>
      <c r="E186" s="3" t="s">
        <v>34</v>
      </c>
      <c r="F186" s="3" t="s">
        <v>54</v>
      </c>
      <c r="G186" s="3" t="s">
        <v>10</v>
      </c>
      <c r="H186" s="3" t="s">
        <v>42</v>
      </c>
      <c r="I186" s="3">
        <v>52855</v>
      </c>
      <c r="J186" s="3">
        <v>20</v>
      </c>
      <c r="K186" s="3">
        <v>3</v>
      </c>
      <c r="L186" s="3">
        <v>2</v>
      </c>
      <c r="M186" s="3">
        <v>3</v>
      </c>
      <c r="N186" s="3" t="s">
        <v>14</v>
      </c>
      <c r="O186" s="3" t="s">
        <v>13</v>
      </c>
      <c r="P186" s="3">
        <v>3</v>
      </c>
      <c r="Q186" s="3">
        <v>1</v>
      </c>
      <c r="R186" s="4" t="s">
        <v>14</v>
      </c>
      <c r="S186" s="4" t="s">
        <v>14</v>
      </c>
      <c r="T186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187" spans="1:20" ht="18" x14ac:dyDescent="0.35">
      <c r="A187" s="3" t="s">
        <v>230</v>
      </c>
      <c r="B187" s="3" t="str">
        <f>IF(Table1[[#This Row],[Age]]&lt;25,"Under 25",IF(Table1[[#This Row],[Age]]&lt;35,"25-34",IF(Table1[[#This Row],[Age]]&lt;45,"35-44",IF(Table1[[#This Row],[Age]]&lt;55,"45-54","55+"))))</f>
        <v>35-44</v>
      </c>
      <c r="C187" s="3">
        <v>40</v>
      </c>
      <c r="D187" s="3" t="s">
        <v>7</v>
      </c>
      <c r="E187" s="3" t="s">
        <v>38</v>
      </c>
      <c r="F187" s="3" t="s">
        <v>89</v>
      </c>
      <c r="G187" s="3" t="s">
        <v>10</v>
      </c>
      <c r="H187" s="3" t="s">
        <v>19</v>
      </c>
      <c r="I187" s="3">
        <v>57757</v>
      </c>
      <c r="J187" s="3">
        <v>18</v>
      </c>
      <c r="K187" s="3">
        <v>10</v>
      </c>
      <c r="L187" s="3">
        <v>3</v>
      </c>
      <c r="M187" s="3">
        <v>4</v>
      </c>
      <c r="N187" s="3" t="s">
        <v>14</v>
      </c>
      <c r="O187" s="3" t="s">
        <v>13</v>
      </c>
      <c r="P187" s="3">
        <v>3</v>
      </c>
      <c r="Q187" s="3">
        <v>5</v>
      </c>
      <c r="R187" s="4" t="s">
        <v>14</v>
      </c>
      <c r="S187" s="4" t="s">
        <v>14</v>
      </c>
      <c r="T187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188" spans="1:20" ht="18" x14ac:dyDescent="0.35">
      <c r="A188" s="3" t="s">
        <v>231</v>
      </c>
      <c r="B188" s="3" t="str">
        <f>IF(Table1[[#This Row],[Age]]&lt;25,"Under 25",IF(Table1[[#This Row],[Age]]&lt;35,"25-34",IF(Table1[[#This Row],[Age]]&lt;45,"35-44",IF(Table1[[#This Row],[Age]]&lt;55,"45-54","55+"))))</f>
        <v>45-54</v>
      </c>
      <c r="C188" s="3">
        <v>54</v>
      </c>
      <c r="D188" s="3" t="s">
        <v>7</v>
      </c>
      <c r="E188" s="3" t="s">
        <v>16</v>
      </c>
      <c r="F188" s="3" t="s">
        <v>17</v>
      </c>
      <c r="G188" s="3" t="s">
        <v>25</v>
      </c>
      <c r="H188" s="3" t="s">
        <v>11</v>
      </c>
      <c r="I188" s="3">
        <v>23248</v>
      </c>
      <c r="J188" s="3">
        <v>16</v>
      </c>
      <c r="K188" s="3">
        <v>0</v>
      </c>
      <c r="L188" s="3">
        <v>4</v>
      </c>
      <c r="M188" s="3">
        <v>2</v>
      </c>
      <c r="N188" s="3" t="s">
        <v>14</v>
      </c>
      <c r="O188" s="3" t="s">
        <v>20</v>
      </c>
      <c r="P188" s="3">
        <v>2</v>
      </c>
      <c r="Q188" s="3">
        <v>1</v>
      </c>
      <c r="R188" s="4" t="s">
        <v>14</v>
      </c>
      <c r="S188" s="4" t="s">
        <v>14</v>
      </c>
      <c r="T188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189" spans="1:20" ht="18" x14ac:dyDescent="0.35">
      <c r="A189" s="3" t="s">
        <v>232</v>
      </c>
      <c r="B189" s="3" t="str">
        <f>IF(Table1[[#This Row],[Age]]&lt;25,"Under 25",IF(Table1[[#This Row],[Age]]&lt;35,"25-34",IF(Table1[[#This Row],[Age]]&lt;45,"35-44",IF(Table1[[#This Row],[Age]]&lt;55,"45-54","55+"))))</f>
        <v>Under 25</v>
      </c>
      <c r="C189" s="3">
        <v>23</v>
      </c>
      <c r="D189" s="3" t="s">
        <v>22</v>
      </c>
      <c r="E189" s="3" t="s">
        <v>16</v>
      </c>
      <c r="F189" s="3" t="s">
        <v>47</v>
      </c>
      <c r="G189" s="3" t="s">
        <v>25</v>
      </c>
      <c r="H189" s="3" t="s">
        <v>11</v>
      </c>
      <c r="I189" s="3">
        <v>67613</v>
      </c>
      <c r="J189" s="3">
        <v>5</v>
      </c>
      <c r="K189" s="3">
        <v>4</v>
      </c>
      <c r="L189" s="3">
        <v>3</v>
      </c>
      <c r="M189" s="3">
        <v>4</v>
      </c>
      <c r="N189" s="3" t="s">
        <v>14</v>
      </c>
      <c r="O189" s="3" t="s">
        <v>13</v>
      </c>
      <c r="P189" s="3">
        <v>3</v>
      </c>
      <c r="Q189" s="3">
        <v>0</v>
      </c>
      <c r="R189" s="4" t="s">
        <v>14</v>
      </c>
      <c r="S189" s="4" t="s">
        <v>14</v>
      </c>
      <c r="T189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190" spans="1:20" ht="18" x14ac:dyDescent="0.35">
      <c r="A190" s="3" t="s">
        <v>233</v>
      </c>
      <c r="B190" s="3" t="str">
        <f>IF(Table1[[#This Row],[Age]]&lt;25,"Under 25",IF(Table1[[#This Row],[Age]]&lt;35,"25-34",IF(Table1[[#This Row],[Age]]&lt;45,"35-44",IF(Table1[[#This Row],[Age]]&lt;55,"45-54","55+"))))</f>
        <v>Under 25</v>
      </c>
      <c r="C190" s="3">
        <v>21</v>
      </c>
      <c r="D190" s="3" t="s">
        <v>7</v>
      </c>
      <c r="E190" s="3" t="s">
        <v>8</v>
      </c>
      <c r="F190" s="3" t="s">
        <v>66</v>
      </c>
      <c r="G190" s="3" t="s">
        <v>10</v>
      </c>
      <c r="H190" s="3" t="s">
        <v>11</v>
      </c>
      <c r="I190" s="3">
        <v>92123</v>
      </c>
      <c r="J190" s="3">
        <v>2</v>
      </c>
      <c r="K190" s="3">
        <v>0</v>
      </c>
      <c r="L190" s="3">
        <v>4</v>
      </c>
      <c r="M190" s="3">
        <v>3</v>
      </c>
      <c r="N190" s="3" t="s">
        <v>12</v>
      </c>
      <c r="O190" s="3" t="s">
        <v>13</v>
      </c>
      <c r="P190" s="3">
        <v>3</v>
      </c>
      <c r="Q190" s="3">
        <v>5</v>
      </c>
      <c r="R190" s="4" t="s">
        <v>14</v>
      </c>
      <c r="S190" s="4" t="s">
        <v>12</v>
      </c>
      <c r="T190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191" spans="1:20" ht="18" x14ac:dyDescent="0.35">
      <c r="A191" s="3" t="s">
        <v>234</v>
      </c>
      <c r="B191" s="3" t="str">
        <f>IF(Table1[[#This Row],[Age]]&lt;25,"Under 25",IF(Table1[[#This Row],[Age]]&lt;35,"25-34",IF(Table1[[#This Row],[Age]]&lt;45,"35-44",IF(Table1[[#This Row],[Age]]&lt;55,"45-54","55+"))))</f>
        <v>25-34</v>
      </c>
      <c r="C191" s="3">
        <v>34</v>
      </c>
      <c r="D191" s="3" t="s">
        <v>22</v>
      </c>
      <c r="E191" s="3" t="s">
        <v>16</v>
      </c>
      <c r="F191" s="3" t="s">
        <v>28</v>
      </c>
      <c r="G191" s="3" t="s">
        <v>45</v>
      </c>
      <c r="H191" s="3" t="s">
        <v>11</v>
      </c>
      <c r="I191" s="3">
        <v>95781</v>
      </c>
      <c r="J191" s="3">
        <v>6</v>
      </c>
      <c r="K191" s="3">
        <v>5</v>
      </c>
      <c r="L191" s="3">
        <v>3</v>
      </c>
      <c r="M191" s="3">
        <v>3</v>
      </c>
      <c r="N191" s="3" t="s">
        <v>14</v>
      </c>
      <c r="O191" s="3" t="s">
        <v>13</v>
      </c>
      <c r="P191" s="3">
        <v>4</v>
      </c>
      <c r="Q191" s="3">
        <v>4</v>
      </c>
      <c r="R191" s="4" t="s">
        <v>14</v>
      </c>
      <c r="S191" s="4" t="s">
        <v>14</v>
      </c>
      <c r="T191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192" spans="1:20" ht="18" x14ac:dyDescent="0.35">
      <c r="A192" s="3" t="s">
        <v>235</v>
      </c>
      <c r="B192" s="3" t="str">
        <f>IF(Table1[[#This Row],[Age]]&lt;25,"Under 25",IF(Table1[[#This Row],[Age]]&lt;35,"25-34",IF(Table1[[#This Row],[Age]]&lt;45,"35-44",IF(Table1[[#This Row],[Age]]&lt;55,"45-54","55+"))))</f>
        <v>Under 25</v>
      </c>
      <c r="C192" s="3">
        <v>21</v>
      </c>
      <c r="D192" s="3" t="s">
        <v>7</v>
      </c>
      <c r="E192" s="3" t="s">
        <v>8</v>
      </c>
      <c r="F192" s="3" t="s">
        <v>66</v>
      </c>
      <c r="G192" s="3" t="s">
        <v>18</v>
      </c>
      <c r="H192" s="3" t="s">
        <v>19</v>
      </c>
      <c r="I192" s="3">
        <v>62506</v>
      </c>
      <c r="J192" s="3">
        <v>3</v>
      </c>
      <c r="K192" s="3">
        <v>1</v>
      </c>
      <c r="L192" s="3">
        <v>4</v>
      </c>
      <c r="M192" s="3">
        <v>1</v>
      </c>
      <c r="N192" s="3" t="s">
        <v>12</v>
      </c>
      <c r="O192" s="3" t="s">
        <v>13</v>
      </c>
      <c r="P192" s="3">
        <v>3</v>
      </c>
      <c r="Q192" s="3">
        <v>1</v>
      </c>
      <c r="R192" s="4" t="s">
        <v>14</v>
      </c>
      <c r="S192" s="4" t="s">
        <v>14</v>
      </c>
      <c r="T192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193" spans="1:20" ht="18" x14ac:dyDescent="0.35">
      <c r="A193" s="3" t="s">
        <v>236</v>
      </c>
      <c r="B193" s="3" t="str">
        <f>IF(Table1[[#This Row],[Age]]&lt;25,"Under 25",IF(Table1[[#This Row],[Age]]&lt;35,"25-34",IF(Table1[[#This Row],[Age]]&lt;45,"35-44",IF(Table1[[#This Row],[Age]]&lt;55,"45-54","55+"))))</f>
        <v>45-54</v>
      </c>
      <c r="C193" s="3">
        <v>45</v>
      </c>
      <c r="D193" s="3" t="s">
        <v>22</v>
      </c>
      <c r="E193" s="3" t="s">
        <v>51</v>
      </c>
      <c r="F193" s="3" t="s">
        <v>52</v>
      </c>
      <c r="G193" s="3" t="s">
        <v>10</v>
      </c>
      <c r="H193" s="3" t="s">
        <v>11</v>
      </c>
      <c r="I193" s="3">
        <v>68952</v>
      </c>
      <c r="J193" s="3">
        <v>8</v>
      </c>
      <c r="K193" s="3">
        <v>1</v>
      </c>
      <c r="L193" s="3">
        <v>3</v>
      </c>
      <c r="M193" s="3">
        <v>3</v>
      </c>
      <c r="N193" s="3" t="s">
        <v>12</v>
      </c>
      <c r="O193" s="3" t="s">
        <v>13</v>
      </c>
      <c r="P193" s="3">
        <v>3</v>
      </c>
      <c r="Q193" s="3">
        <v>4</v>
      </c>
      <c r="R193" s="4" t="s">
        <v>14</v>
      </c>
      <c r="S193" s="4" t="s">
        <v>14</v>
      </c>
      <c r="T193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194" spans="1:20" ht="18" x14ac:dyDescent="0.35">
      <c r="A194" s="3" t="s">
        <v>237</v>
      </c>
      <c r="B194" s="3" t="str">
        <f>IF(Table1[[#This Row],[Age]]&lt;25,"Under 25",IF(Table1[[#This Row],[Age]]&lt;35,"25-34",IF(Table1[[#This Row],[Age]]&lt;45,"35-44",IF(Table1[[#This Row],[Age]]&lt;55,"45-54","55+"))))</f>
        <v>25-34</v>
      </c>
      <c r="C194" s="3">
        <v>27</v>
      </c>
      <c r="D194" s="3" t="s">
        <v>7</v>
      </c>
      <c r="E194" s="3" t="s">
        <v>51</v>
      </c>
      <c r="F194" s="3" t="s">
        <v>80</v>
      </c>
      <c r="G194" s="3" t="s">
        <v>18</v>
      </c>
      <c r="H194" s="3" t="s">
        <v>19</v>
      </c>
      <c r="I194" s="3">
        <v>119081</v>
      </c>
      <c r="J194" s="3">
        <v>3</v>
      </c>
      <c r="K194" s="3">
        <v>3</v>
      </c>
      <c r="L194" s="3">
        <v>3</v>
      </c>
      <c r="M194" s="3">
        <v>1</v>
      </c>
      <c r="N194" s="3" t="s">
        <v>14</v>
      </c>
      <c r="O194" s="3" t="s">
        <v>26</v>
      </c>
      <c r="P194" s="3">
        <v>3</v>
      </c>
      <c r="Q194" s="3">
        <v>5</v>
      </c>
      <c r="R194" s="4" t="s">
        <v>14</v>
      </c>
      <c r="S194" s="4" t="s">
        <v>14</v>
      </c>
      <c r="T194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195" spans="1:20" ht="18" x14ac:dyDescent="0.35">
      <c r="A195" s="3" t="s">
        <v>238</v>
      </c>
      <c r="B195" s="3" t="str">
        <f>IF(Table1[[#This Row],[Age]]&lt;25,"Under 25",IF(Table1[[#This Row],[Age]]&lt;35,"25-34",IF(Table1[[#This Row],[Age]]&lt;45,"35-44",IF(Table1[[#This Row],[Age]]&lt;55,"45-54","55+"))))</f>
        <v>25-34</v>
      </c>
      <c r="C195" s="3">
        <v>26</v>
      </c>
      <c r="D195" s="3" t="s">
        <v>22</v>
      </c>
      <c r="E195" s="3" t="s">
        <v>38</v>
      </c>
      <c r="F195" s="3" t="s">
        <v>39</v>
      </c>
      <c r="G195" s="3" t="s">
        <v>45</v>
      </c>
      <c r="H195" s="3" t="s">
        <v>42</v>
      </c>
      <c r="I195" s="3">
        <v>56339</v>
      </c>
      <c r="J195" s="3">
        <v>3</v>
      </c>
      <c r="K195" s="3">
        <v>0</v>
      </c>
      <c r="L195" s="3">
        <v>3</v>
      </c>
      <c r="M195" s="3">
        <v>2</v>
      </c>
      <c r="N195" s="3" t="s">
        <v>14</v>
      </c>
      <c r="O195" s="3" t="s">
        <v>13</v>
      </c>
      <c r="P195" s="3">
        <v>4</v>
      </c>
      <c r="Q195" s="3">
        <v>5</v>
      </c>
      <c r="R195" s="4" t="s">
        <v>14</v>
      </c>
      <c r="S195" s="4" t="s">
        <v>12</v>
      </c>
      <c r="T195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196" spans="1:20" ht="18" x14ac:dyDescent="0.35">
      <c r="A196" s="3" t="s">
        <v>239</v>
      </c>
      <c r="B196" s="3" t="str">
        <f>IF(Table1[[#This Row],[Age]]&lt;25,"Under 25",IF(Table1[[#This Row],[Age]]&lt;35,"25-34",IF(Table1[[#This Row],[Age]]&lt;45,"35-44",IF(Table1[[#This Row],[Age]]&lt;55,"45-54","55+"))))</f>
        <v>25-34</v>
      </c>
      <c r="C196" s="3">
        <v>30</v>
      </c>
      <c r="D196" s="3" t="s">
        <v>22</v>
      </c>
      <c r="E196" s="3" t="s">
        <v>8</v>
      </c>
      <c r="F196" s="3" t="s">
        <v>66</v>
      </c>
      <c r="G196" s="3" t="s">
        <v>25</v>
      </c>
      <c r="H196" s="3" t="s">
        <v>19</v>
      </c>
      <c r="I196" s="3">
        <v>24930</v>
      </c>
      <c r="J196" s="3">
        <v>6</v>
      </c>
      <c r="K196" s="3">
        <v>5</v>
      </c>
      <c r="L196" s="3">
        <v>2</v>
      </c>
      <c r="M196" s="3">
        <v>3</v>
      </c>
      <c r="N196" s="3" t="s">
        <v>14</v>
      </c>
      <c r="O196" s="3" t="s">
        <v>20</v>
      </c>
      <c r="P196" s="3">
        <v>3</v>
      </c>
      <c r="Q196" s="3">
        <v>5</v>
      </c>
      <c r="R196" s="4" t="s">
        <v>14</v>
      </c>
      <c r="S196" s="4" t="s">
        <v>14</v>
      </c>
      <c r="T196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197" spans="1:20" ht="18" x14ac:dyDescent="0.35">
      <c r="A197" s="3" t="s">
        <v>240</v>
      </c>
      <c r="B197" s="3" t="str">
        <f>IF(Table1[[#This Row],[Age]]&lt;25,"Under 25",IF(Table1[[#This Row],[Age]]&lt;35,"25-34",IF(Table1[[#This Row],[Age]]&lt;45,"35-44",IF(Table1[[#This Row],[Age]]&lt;55,"45-54","55+"))))</f>
        <v>35-44</v>
      </c>
      <c r="C197" s="3">
        <v>38</v>
      </c>
      <c r="D197" s="3" t="s">
        <v>22</v>
      </c>
      <c r="E197" s="3" t="s">
        <v>8</v>
      </c>
      <c r="F197" s="3" t="s">
        <v>66</v>
      </c>
      <c r="G197" s="3" t="s">
        <v>10</v>
      </c>
      <c r="H197" s="3" t="s">
        <v>19</v>
      </c>
      <c r="I197" s="3">
        <v>98099</v>
      </c>
      <c r="J197" s="3">
        <v>11</v>
      </c>
      <c r="K197" s="3">
        <v>5</v>
      </c>
      <c r="L197" s="3">
        <v>2</v>
      </c>
      <c r="M197" s="3">
        <v>3</v>
      </c>
      <c r="N197" s="3" t="s">
        <v>14</v>
      </c>
      <c r="O197" s="3" t="s">
        <v>26</v>
      </c>
      <c r="P197" s="3">
        <v>3</v>
      </c>
      <c r="Q197" s="3">
        <v>5</v>
      </c>
      <c r="R197" s="4" t="s">
        <v>14</v>
      </c>
      <c r="S197" s="4" t="s">
        <v>14</v>
      </c>
      <c r="T197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198" spans="1:20" ht="18" x14ac:dyDescent="0.35">
      <c r="A198" s="3" t="s">
        <v>241</v>
      </c>
      <c r="B198" s="3" t="str">
        <f>IF(Table1[[#This Row],[Age]]&lt;25,"Under 25",IF(Table1[[#This Row],[Age]]&lt;35,"25-34",IF(Table1[[#This Row],[Age]]&lt;45,"35-44",IF(Table1[[#This Row],[Age]]&lt;55,"45-54","55+"))))</f>
        <v>25-34</v>
      </c>
      <c r="C198" s="3">
        <v>30</v>
      </c>
      <c r="D198" s="3" t="s">
        <v>7</v>
      </c>
      <c r="E198" s="3" t="s">
        <v>8</v>
      </c>
      <c r="F198" s="3" t="s">
        <v>66</v>
      </c>
      <c r="G198" s="3" t="s">
        <v>45</v>
      </c>
      <c r="H198" s="3" t="s">
        <v>19</v>
      </c>
      <c r="I198" s="3">
        <v>79863</v>
      </c>
      <c r="J198" s="3">
        <v>12</v>
      </c>
      <c r="K198" s="3">
        <v>12</v>
      </c>
      <c r="L198" s="3">
        <v>3</v>
      </c>
      <c r="M198" s="3">
        <v>3</v>
      </c>
      <c r="N198" s="3" t="s">
        <v>14</v>
      </c>
      <c r="O198" s="3" t="s">
        <v>26</v>
      </c>
      <c r="P198" s="3">
        <v>3</v>
      </c>
      <c r="Q198" s="3">
        <v>3</v>
      </c>
      <c r="R198" s="4" t="s">
        <v>12</v>
      </c>
      <c r="S198" s="4" t="s">
        <v>14</v>
      </c>
      <c r="T198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199" spans="1:20" ht="18" x14ac:dyDescent="0.35">
      <c r="A199" s="3" t="s">
        <v>242</v>
      </c>
      <c r="B199" s="3" t="str">
        <f>IF(Table1[[#This Row],[Age]]&lt;25,"Under 25",IF(Table1[[#This Row],[Age]]&lt;35,"25-34",IF(Table1[[#This Row],[Age]]&lt;45,"35-44",IF(Table1[[#This Row],[Age]]&lt;55,"45-54","55+"))))</f>
        <v>Under 25</v>
      </c>
      <c r="C199" s="3">
        <v>21</v>
      </c>
      <c r="D199" s="3" t="s">
        <v>22</v>
      </c>
      <c r="E199" s="3" t="s">
        <v>51</v>
      </c>
      <c r="F199" s="3" t="s">
        <v>72</v>
      </c>
      <c r="G199" s="3" t="s">
        <v>25</v>
      </c>
      <c r="H199" s="3" t="s">
        <v>11</v>
      </c>
      <c r="I199" s="3">
        <v>34727</v>
      </c>
      <c r="J199" s="3">
        <v>0</v>
      </c>
      <c r="K199" s="3">
        <v>0</v>
      </c>
      <c r="L199" s="3">
        <v>2</v>
      </c>
      <c r="M199" s="3">
        <v>2</v>
      </c>
      <c r="N199" s="3" t="s">
        <v>14</v>
      </c>
      <c r="O199" s="3" t="s">
        <v>13</v>
      </c>
      <c r="P199" s="3">
        <v>2</v>
      </c>
      <c r="Q199" s="3">
        <v>0</v>
      </c>
      <c r="R199" s="4" t="s">
        <v>14</v>
      </c>
      <c r="S199" s="4" t="s">
        <v>12</v>
      </c>
      <c r="T199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Less than 1 Year</v>
      </c>
    </row>
    <row r="200" spans="1:20" ht="18" x14ac:dyDescent="0.35">
      <c r="A200" s="3" t="s">
        <v>243</v>
      </c>
      <c r="B200" s="3" t="str">
        <f>IF(Table1[[#This Row],[Age]]&lt;25,"Under 25",IF(Table1[[#This Row],[Age]]&lt;35,"25-34",IF(Table1[[#This Row],[Age]]&lt;45,"35-44",IF(Table1[[#This Row],[Age]]&lt;55,"45-54","55+"))))</f>
        <v>35-44</v>
      </c>
      <c r="C200" s="3">
        <v>37</v>
      </c>
      <c r="D200" s="3" t="s">
        <v>7</v>
      </c>
      <c r="E200" s="3" t="s">
        <v>16</v>
      </c>
      <c r="F200" s="3" t="s">
        <v>17</v>
      </c>
      <c r="G200" s="3" t="s">
        <v>25</v>
      </c>
      <c r="H200" s="3" t="s">
        <v>11</v>
      </c>
      <c r="I200" s="3">
        <v>42313</v>
      </c>
      <c r="J200" s="3">
        <v>9</v>
      </c>
      <c r="K200" s="3">
        <v>9</v>
      </c>
      <c r="L200" s="3">
        <v>2</v>
      </c>
      <c r="M200" s="3">
        <v>2</v>
      </c>
      <c r="N200" s="3" t="s">
        <v>12</v>
      </c>
      <c r="O200" s="3" t="s">
        <v>13</v>
      </c>
      <c r="P200" s="3">
        <v>3</v>
      </c>
      <c r="Q200" s="3">
        <v>3</v>
      </c>
      <c r="R200" s="4" t="s">
        <v>12</v>
      </c>
      <c r="S200" s="4" t="s">
        <v>14</v>
      </c>
      <c r="T200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201" spans="1:20" ht="18" x14ac:dyDescent="0.35">
      <c r="A201" s="3" t="s">
        <v>244</v>
      </c>
      <c r="B201" s="3" t="str">
        <f>IF(Table1[[#This Row],[Age]]&lt;25,"Under 25",IF(Table1[[#This Row],[Age]]&lt;35,"25-34",IF(Table1[[#This Row],[Age]]&lt;45,"35-44",IF(Table1[[#This Row],[Age]]&lt;55,"45-54","55+"))))</f>
        <v>35-44</v>
      </c>
      <c r="C201" s="3">
        <v>39</v>
      </c>
      <c r="D201" s="3" t="s">
        <v>7</v>
      </c>
      <c r="E201" s="3" t="s">
        <v>34</v>
      </c>
      <c r="F201" s="3" t="s">
        <v>91</v>
      </c>
      <c r="G201" s="3" t="s">
        <v>25</v>
      </c>
      <c r="H201" s="3" t="s">
        <v>11</v>
      </c>
      <c r="I201" s="3">
        <v>91319</v>
      </c>
      <c r="J201" s="3">
        <v>8</v>
      </c>
      <c r="K201" s="3">
        <v>2</v>
      </c>
      <c r="L201" s="3">
        <v>3</v>
      </c>
      <c r="M201" s="3">
        <v>3</v>
      </c>
      <c r="N201" s="3" t="s">
        <v>12</v>
      </c>
      <c r="O201" s="3" t="s">
        <v>26</v>
      </c>
      <c r="P201" s="3">
        <v>4</v>
      </c>
      <c r="Q201" s="3">
        <v>1</v>
      </c>
      <c r="R201" s="4" t="s">
        <v>14</v>
      </c>
      <c r="S201" s="4" t="s">
        <v>14</v>
      </c>
      <c r="T201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202" spans="1:20" ht="18" x14ac:dyDescent="0.35">
      <c r="A202" s="3" t="s">
        <v>245</v>
      </c>
      <c r="B202" s="3" t="str">
        <f>IF(Table1[[#This Row],[Age]]&lt;25,"Under 25",IF(Table1[[#This Row],[Age]]&lt;35,"25-34",IF(Table1[[#This Row],[Age]]&lt;45,"35-44",IF(Table1[[#This Row],[Age]]&lt;55,"45-54","55+"))))</f>
        <v>25-34</v>
      </c>
      <c r="C202" s="3">
        <v>33</v>
      </c>
      <c r="D202" s="3" t="s">
        <v>7</v>
      </c>
      <c r="E202" s="3" t="s">
        <v>31</v>
      </c>
      <c r="F202" s="3" t="s">
        <v>136</v>
      </c>
      <c r="G202" s="3" t="s">
        <v>10</v>
      </c>
      <c r="H202" s="3" t="s">
        <v>11</v>
      </c>
      <c r="I202" s="3">
        <v>95106</v>
      </c>
      <c r="J202" s="3">
        <v>13</v>
      </c>
      <c r="K202" s="3">
        <v>3</v>
      </c>
      <c r="L202" s="3">
        <v>1</v>
      </c>
      <c r="M202" s="3">
        <v>3</v>
      </c>
      <c r="N202" s="3" t="s">
        <v>12</v>
      </c>
      <c r="O202" s="3" t="s">
        <v>26</v>
      </c>
      <c r="P202" s="3">
        <v>3</v>
      </c>
      <c r="Q202" s="3">
        <v>0</v>
      </c>
      <c r="R202" s="4" t="s">
        <v>12</v>
      </c>
      <c r="S202" s="4" t="s">
        <v>14</v>
      </c>
      <c r="T202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203" spans="1:20" ht="18" x14ac:dyDescent="0.35">
      <c r="A203" s="3" t="s">
        <v>246</v>
      </c>
      <c r="B203" s="3" t="str">
        <f>IF(Table1[[#This Row],[Age]]&lt;25,"Under 25",IF(Table1[[#This Row],[Age]]&lt;35,"25-34",IF(Table1[[#This Row],[Age]]&lt;45,"35-44",IF(Table1[[#This Row],[Age]]&lt;55,"45-54","55+"))))</f>
        <v>Under 25</v>
      </c>
      <c r="C203" s="3">
        <v>24</v>
      </c>
      <c r="D203" s="3" t="s">
        <v>22</v>
      </c>
      <c r="E203" s="3" t="s">
        <v>34</v>
      </c>
      <c r="F203" s="3" t="s">
        <v>150</v>
      </c>
      <c r="G203" s="3" t="s">
        <v>25</v>
      </c>
      <c r="H203" s="3" t="s">
        <v>11</v>
      </c>
      <c r="I203" s="3">
        <v>98644</v>
      </c>
      <c r="J203" s="3">
        <v>4</v>
      </c>
      <c r="K203" s="3">
        <v>2</v>
      </c>
      <c r="L203" s="3">
        <v>4</v>
      </c>
      <c r="M203" s="3">
        <v>3</v>
      </c>
      <c r="N203" s="3" t="s">
        <v>14</v>
      </c>
      <c r="O203" s="3" t="s">
        <v>13</v>
      </c>
      <c r="P203" s="3">
        <v>2</v>
      </c>
      <c r="Q203" s="3">
        <v>1</v>
      </c>
      <c r="R203" s="4" t="s">
        <v>14</v>
      </c>
      <c r="S203" s="4" t="s">
        <v>12</v>
      </c>
      <c r="T203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204" spans="1:20" ht="18" x14ac:dyDescent="0.35">
      <c r="A204" s="3" t="s">
        <v>247</v>
      </c>
      <c r="B204" s="3" t="str">
        <f>IF(Table1[[#This Row],[Age]]&lt;25,"Under 25",IF(Table1[[#This Row],[Age]]&lt;35,"25-34",IF(Table1[[#This Row],[Age]]&lt;45,"35-44",IF(Table1[[#This Row],[Age]]&lt;55,"45-54","55+"))))</f>
        <v>35-44</v>
      </c>
      <c r="C204" s="3">
        <v>38</v>
      </c>
      <c r="D204" s="3" t="s">
        <v>22</v>
      </c>
      <c r="E204" s="3" t="s">
        <v>16</v>
      </c>
      <c r="F204" s="3" t="s">
        <v>47</v>
      </c>
      <c r="G204" s="3" t="s">
        <v>1245</v>
      </c>
      <c r="H204" s="3" t="s">
        <v>19</v>
      </c>
      <c r="I204" s="3">
        <v>84663</v>
      </c>
      <c r="J204" s="3">
        <v>15</v>
      </c>
      <c r="K204" s="3">
        <v>5</v>
      </c>
      <c r="L204" s="3">
        <v>4</v>
      </c>
      <c r="M204" s="3">
        <v>4</v>
      </c>
      <c r="N204" s="3" t="s">
        <v>12</v>
      </c>
      <c r="O204" s="3" t="s">
        <v>13</v>
      </c>
      <c r="P204" s="3">
        <v>3</v>
      </c>
      <c r="Q204" s="3">
        <v>1</v>
      </c>
      <c r="R204" s="4" t="s">
        <v>14</v>
      </c>
      <c r="S204" s="4" t="s">
        <v>14</v>
      </c>
      <c r="T204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205" spans="1:20" ht="18" x14ac:dyDescent="0.35">
      <c r="A205" s="3" t="s">
        <v>248</v>
      </c>
      <c r="B205" s="3" t="str">
        <f>IF(Table1[[#This Row],[Age]]&lt;25,"Under 25",IF(Table1[[#This Row],[Age]]&lt;35,"25-34",IF(Table1[[#This Row],[Age]]&lt;45,"35-44",IF(Table1[[#This Row],[Age]]&lt;55,"45-54","55+"))))</f>
        <v>25-34</v>
      </c>
      <c r="C205" s="3">
        <v>29</v>
      </c>
      <c r="D205" s="3" t="s">
        <v>7</v>
      </c>
      <c r="E205" s="3" t="s">
        <v>16</v>
      </c>
      <c r="F205" s="3" t="s">
        <v>28</v>
      </c>
      <c r="G205" s="3" t="s">
        <v>25</v>
      </c>
      <c r="H205" s="3" t="s">
        <v>11</v>
      </c>
      <c r="I205" s="3">
        <v>50430</v>
      </c>
      <c r="J205" s="3">
        <v>2</v>
      </c>
      <c r="K205" s="3">
        <v>0</v>
      </c>
      <c r="L205" s="3">
        <v>1</v>
      </c>
      <c r="M205" s="3">
        <v>3</v>
      </c>
      <c r="N205" s="3" t="s">
        <v>14</v>
      </c>
      <c r="O205" s="3" t="s">
        <v>13</v>
      </c>
      <c r="P205" s="3">
        <v>3</v>
      </c>
      <c r="Q205" s="3">
        <v>5</v>
      </c>
      <c r="R205" s="4" t="s">
        <v>14</v>
      </c>
      <c r="S205" s="4" t="s">
        <v>14</v>
      </c>
      <c r="T205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206" spans="1:20" ht="18" x14ac:dyDescent="0.35">
      <c r="A206" s="3" t="s">
        <v>249</v>
      </c>
      <c r="B206" s="3" t="str">
        <f>IF(Table1[[#This Row],[Age]]&lt;25,"Under 25",IF(Table1[[#This Row],[Age]]&lt;35,"25-34",IF(Table1[[#This Row],[Age]]&lt;45,"35-44",IF(Table1[[#This Row],[Age]]&lt;55,"45-54","55+"))))</f>
        <v>35-44</v>
      </c>
      <c r="C206" s="3">
        <v>44</v>
      </c>
      <c r="D206" s="3" t="s">
        <v>22</v>
      </c>
      <c r="E206" s="3" t="s">
        <v>16</v>
      </c>
      <c r="F206" s="3" t="s">
        <v>28</v>
      </c>
      <c r="G206" s="3" t="s">
        <v>18</v>
      </c>
      <c r="H206" s="3" t="s">
        <v>19</v>
      </c>
      <c r="I206" s="3">
        <v>38619</v>
      </c>
      <c r="J206" s="3">
        <v>24</v>
      </c>
      <c r="K206" s="3">
        <v>6</v>
      </c>
      <c r="L206" s="3">
        <v>3</v>
      </c>
      <c r="M206" s="3">
        <v>3</v>
      </c>
      <c r="N206" s="3" t="s">
        <v>14</v>
      </c>
      <c r="O206" s="3" t="s">
        <v>20</v>
      </c>
      <c r="P206" s="3">
        <v>3</v>
      </c>
      <c r="Q206" s="3">
        <v>5</v>
      </c>
      <c r="R206" s="4" t="s">
        <v>12</v>
      </c>
      <c r="S206" s="4" t="s">
        <v>14</v>
      </c>
      <c r="T206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207" spans="1:20" ht="18" x14ac:dyDescent="0.35">
      <c r="A207" s="3" t="s">
        <v>250</v>
      </c>
      <c r="B207" s="3" t="str">
        <f>IF(Table1[[#This Row],[Age]]&lt;25,"Under 25",IF(Table1[[#This Row],[Age]]&lt;35,"25-34",IF(Table1[[#This Row],[Age]]&lt;45,"35-44",IF(Table1[[#This Row],[Age]]&lt;55,"45-54","55+"))))</f>
        <v>35-44</v>
      </c>
      <c r="C207" s="3">
        <v>36</v>
      </c>
      <c r="D207" s="3" t="s">
        <v>7</v>
      </c>
      <c r="E207" s="3" t="s">
        <v>16</v>
      </c>
      <c r="F207" s="3" t="s">
        <v>47</v>
      </c>
      <c r="G207" s="3" t="s">
        <v>18</v>
      </c>
      <c r="H207" s="3" t="s">
        <v>11</v>
      </c>
      <c r="I207" s="3">
        <v>50821</v>
      </c>
      <c r="J207" s="3">
        <v>10</v>
      </c>
      <c r="K207" s="3">
        <v>2</v>
      </c>
      <c r="L207" s="3">
        <v>4</v>
      </c>
      <c r="M207" s="3">
        <v>2</v>
      </c>
      <c r="N207" s="3" t="s">
        <v>14</v>
      </c>
      <c r="O207" s="3" t="s">
        <v>13</v>
      </c>
      <c r="P207" s="3">
        <v>3</v>
      </c>
      <c r="Q207" s="3">
        <v>4</v>
      </c>
      <c r="R207" s="4" t="s">
        <v>14</v>
      </c>
      <c r="S207" s="4" t="s">
        <v>14</v>
      </c>
      <c r="T207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208" spans="1:20" ht="18" x14ac:dyDescent="0.35">
      <c r="A208" s="3" t="s">
        <v>251</v>
      </c>
      <c r="B208" s="3" t="str">
        <f>IF(Table1[[#This Row],[Age]]&lt;25,"Under 25",IF(Table1[[#This Row],[Age]]&lt;35,"25-34",IF(Table1[[#This Row],[Age]]&lt;45,"35-44",IF(Table1[[#This Row],[Age]]&lt;55,"45-54","55+"))))</f>
        <v>Under 25</v>
      </c>
      <c r="C208" s="3">
        <v>21</v>
      </c>
      <c r="D208" s="3" t="s">
        <v>22</v>
      </c>
      <c r="E208" s="3" t="s">
        <v>51</v>
      </c>
      <c r="F208" s="3" t="s">
        <v>80</v>
      </c>
      <c r="G208" s="3" t="s">
        <v>10</v>
      </c>
      <c r="H208" s="3" t="s">
        <v>19</v>
      </c>
      <c r="I208" s="3">
        <v>96275</v>
      </c>
      <c r="J208" s="3">
        <v>1</v>
      </c>
      <c r="K208" s="3">
        <v>1</v>
      </c>
      <c r="L208" s="3">
        <v>4</v>
      </c>
      <c r="M208" s="3">
        <v>3</v>
      </c>
      <c r="N208" s="3" t="s">
        <v>14</v>
      </c>
      <c r="O208" s="3" t="s">
        <v>26</v>
      </c>
      <c r="P208" s="3">
        <v>3</v>
      </c>
      <c r="Q208" s="3">
        <v>1</v>
      </c>
      <c r="R208" s="4" t="s">
        <v>14</v>
      </c>
      <c r="S208" s="4" t="s">
        <v>14</v>
      </c>
      <c r="T208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209" spans="1:20" ht="18" x14ac:dyDescent="0.35">
      <c r="A209" s="3" t="s">
        <v>252</v>
      </c>
      <c r="B209" s="3" t="str">
        <f>IF(Table1[[#This Row],[Age]]&lt;25,"Under 25",IF(Table1[[#This Row],[Age]]&lt;35,"25-34",IF(Table1[[#This Row],[Age]]&lt;45,"35-44",IF(Table1[[#This Row],[Age]]&lt;55,"45-54","55+"))))</f>
        <v>25-34</v>
      </c>
      <c r="C209" s="3">
        <v>25</v>
      </c>
      <c r="D209" s="3" t="s">
        <v>22</v>
      </c>
      <c r="E209" s="3" t="s">
        <v>8</v>
      </c>
      <c r="F209" s="3" t="s">
        <v>23</v>
      </c>
      <c r="G209" s="3" t="s">
        <v>25</v>
      </c>
      <c r="H209" s="3" t="s">
        <v>11</v>
      </c>
      <c r="I209" s="3">
        <v>58519</v>
      </c>
      <c r="J209" s="3">
        <v>7</v>
      </c>
      <c r="K209" s="3">
        <v>4</v>
      </c>
      <c r="L209" s="3">
        <v>4</v>
      </c>
      <c r="M209" s="3">
        <v>3</v>
      </c>
      <c r="N209" s="3" t="s">
        <v>14</v>
      </c>
      <c r="O209" s="3" t="s">
        <v>13</v>
      </c>
      <c r="P209" s="3">
        <v>3</v>
      </c>
      <c r="Q209" s="3">
        <v>2</v>
      </c>
      <c r="R209" s="4" t="s">
        <v>14</v>
      </c>
      <c r="S209" s="4" t="s">
        <v>14</v>
      </c>
      <c r="T209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210" spans="1:20" ht="18" x14ac:dyDescent="0.35">
      <c r="A210" s="3" t="s">
        <v>253</v>
      </c>
      <c r="B210" s="3" t="str">
        <f>IF(Table1[[#This Row],[Age]]&lt;25,"Under 25",IF(Table1[[#This Row],[Age]]&lt;35,"25-34",IF(Table1[[#This Row],[Age]]&lt;45,"35-44",IF(Table1[[#This Row],[Age]]&lt;55,"45-54","55+"))))</f>
        <v>35-44</v>
      </c>
      <c r="C210" s="3">
        <v>35</v>
      </c>
      <c r="D210" s="3" t="s">
        <v>22</v>
      </c>
      <c r="E210" s="3" t="s">
        <v>16</v>
      </c>
      <c r="F210" s="3" t="s">
        <v>17</v>
      </c>
      <c r="G210" s="3" t="s">
        <v>25</v>
      </c>
      <c r="H210" s="3" t="s">
        <v>11</v>
      </c>
      <c r="I210" s="3">
        <v>96017</v>
      </c>
      <c r="J210" s="3">
        <v>6</v>
      </c>
      <c r="K210" s="3">
        <v>1</v>
      </c>
      <c r="L210" s="3">
        <v>3</v>
      </c>
      <c r="M210" s="3">
        <v>3</v>
      </c>
      <c r="N210" s="3" t="s">
        <v>14</v>
      </c>
      <c r="O210" s="3" t="s">
        <v>13</v>
      </c>
      <c r="P210" s="3">
        <v>3</v>
      </c>
      <c r="Q210" s="3">
        <v>6</v>
      </c>
      <c r="R210" s="4" t="s">
        <v>14</v>
      </c>
      <c r="S210" s="4" t="s">
        <v>14</v>
      </c>
      <c r="T210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211" spans="1:20" ht="18" x14ac:dyDescent="0.35">
      <c r="A211" s="3" t="s">
        <v>254</v>
      </c>
      <c r="B211" s="3" t="str">
        <f>IF(Table1[[#This Row],[Age]]&lt;25,"Under 25",IF(Table1[[#This Row],[Age]]&lt;35,"25-34",IF(Table1[[#This Row],[Age]]&lt;45,"35-44",IF(Table1[[#This Row],[Age]]&lt;55,"45-54","55+"))))</f>
        <v>25-34</v>
      </c>
      <c r="C211" s="3">
        <v>33</v>
      </c>
      <c r="D211" s="3" t="s">
        <v>22</v>
      </c>
      <c r="E211" s="3" t="s">
        <v>38</v>
      </c>
      <c r="F211" s="3" t="s">
        <v>39</v>
      </c>
      <c r="G211" s="3" t="s">
        <v>25</v>
      </c>
      <c r="H211" s="3" t="s">
        <v>19</v>
      </c>
      <c r="I211" s="3">
        <v>115592</v>
      </c>
      <c r="J211" s="3">
        <v>7</v>
      </c>
      <c r="K211" s="3">
        <v>5</v>
      </c>
      <c r="L211" s="3">
        <v>4</v>
      </c>
      <c r="M211" s="3">
        <v>1</v>
      </c>
      <c r="N211" s="3" t="s">
        <v>14</v>
      </c>
      <c r="O211" s="3" t="s">
        <v>20</v>
      </c>
      <c r="P211" s="3">
        <v>3</v>
      </c>
      <c r="Q211" s="3">
        <v>6</v>
      </c>
      <c r="R211" s="4" t="s">
        <v>14</v>
      </c>
      <c r="S211" s="4" t="s">
        <v>14</v>
      </c>
      <c r="T211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212" spans="1:20" ht="18" x14ac:dyDescent="0.35">
      <c r="A212" s="3" t="s">
        <v>255</v>
      </c>
      <c r="B212" s="3" t="str">
        <f>IF(Table1[[#This Row],[Age]]&lt;25,"Under 25",IF(Table1[[#This Row],[Age]]&lt;35,"25-34",IF(Table1[[#This Row],[Age]]&lt;45,"35-44",IF(Table1[[#This Row],[Age]]&lt;55,"45-54","55+"))))</f>
        <v>35-44</v>
      </c>
      <c r="C212" s="3">
        <v>40</v>
      </c>
      <c r="D212" s="3" t="s">
        <v>22</v>
      </c>
      <c r="E212" s="3" t="s">
        <v>51</v>
      </c>
      <c r="F212" s="3" t="s">
        <v>52</v>
      </c>
      <c r="G212" s="3" t="s">
        <v>10</v>
      </c>
      <c r="H212" s="3" t="s">
        <v>11</v>
      </c>
      <c r="I212" s="3">
        <v>63701</v>
      </c>
      <c r="J212" s="3">
        <v>3</v>
      </c>
      <c r="K212" s="3">
        <v>0</v>
      </c>
      <c r="L212" s="3">
        <v>3</v>
      </c>
      <c r="M212" s="3">
        <v>3</v>
      </c>
      <c r="N212" s="3" t="s">
        <v>14</v>
      </c>
      <c r="O212" s="3" t="s">
        <v>13</v>
      </c>
      <c r="P212" s="3">
        <v>3</v>
      </c>
      <c r="Q212" s="3">
        <v>0</v>
      </c>
      <c r="R212" s="4" t="s">
        <v>12</v>
      </c>
      <c r="S212" s="4" t="s">
        <v>14</v>
      </c>
      <c r="T212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213" spans="1:20" ht="18" x14ac:dyDescent="0.35">
      <c r="A213" s="3" t="s">
        <v>256</v>
      </c>
      <c r="B213" s="3" t="str">
        <f>IF(Table1[[#This Row],[Age]]&lt;25,"Under 25",IF(Table1[[#This Row],[Age]]&lt;35,"25-34",IF(Table1[[#This Row],[Age]]&lt;45,"35-44",IF(Table1[[#This Row],[Age]]&lt;55,"45-54","55+"))))</f>
        <v>25-34</v>
      </c>
      <c r="C213" s="3">
        <v>31</v>
      </c>
      <c r="D213" s="3" t="s">
        <v>7</v>
      </c>
      <c r="E213" s="3" t="s">
        <v>38</v>
      </c>
      <c r="F213" s="3" t="s">
        <v>39</v>
      </c>
      <c r="G213" s="3" t="s">
        <v>25</v>
      </c>
      <c r="H213" s="3" t="s">
        <v>11</v>
      </c>
      <c r="I213" s="3">
        <v>88327</v>
      </c>
      <c r="J213" s="3">
        <v>12</v>
      </c>
      <c r="K213" s="3">
        <v>0</v>
      </c>
      <c r="L213" s="3">
        <v>2</v>
      </c>
      <c r="M213" s="3">
        <v>2</v>
      </c>
      <c r="N213" s="3" t="s">
        <v>14</v>
      </c>
      <c r="O213" s="3" t="s">
        <v>13</v>
      </c>
      <c r="P213" s="3">
        <v>3</v>
      </c>
      <c r="Q213" s="3">
        <v>4</v>
      </c>
      <c r="R213" s="4" t="s">
        <v>14</v>
      </c>
      <c r="S213" s="4" t="s">
        <v>14</v>
      </c>
      <c r="T213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214" spans="1:20" ht="18" x14ac:dyDescent="0.35">
      <c r="A214" s="3" t="s">
        <v>257</v>
      </c>
      <c r="B214" s="3" t="str">
        <f>IF(Table1[[#This Row],[Age]]&lt;25,"Under 25",IF(Table1[[#This Row],[Age]]&lt;35,"25-34",IF(Table1[[#This Row],[Age]]&lt;45,"35-44",IF(Table1[[#This Row],[Age]]&lt;55,"45-54","55+"))))</f>
        <v>Under 25</v>
      </c>
      <c r="C214" s="3">
        <v>21</v>
      </c>
      <c r="D214" s="3" t="s">
        <v>7</v>
      </c>
      <c r="E214" s="3" t="s">
        <v>38</v>
      </c>
      <c r="F214" s="3" t="s">
        <v>39</v>
      </c>
      <c r="G214" s="3" t="s">
        <v>10</v>
      </c>
      <c r="H214" s="3" t="s">
        <v>11</v>
      </c>
      <c r="I214" s="3">
        <v>98027</v>
      </c>
      <c r="J214" s="3">
        <v>1</v>
      </c>
      <c r="K214" s="3">
        <v>1</v>
      </c>
      <c r="L214" s="3">
        <v>1</v>
      </c>
      <c r="M214" s="3">
        <v>1</v>
      </c>
      <c r="N214" s="3" t="s">
        <v>14</v>
      </c>
      <c r="O214" s="3" t="s">
        <v>13</v>
      </c>
      <c r="P214" s="3">
        <v>3</v>
      </c>
      <c r="Q214" s="3">
        <v>6</v>
      </c>
      <c r="R214" s="4" t="s">
        <v>14</v>
      </c>
      <c r="S214" s="4" t="s">
        <v>14</v>
      </c>
      <c r="T214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215" spans="1:20" ht="18" x14ac:dyDescent="0.35">
      <c r="A215" s="3" t="s">
        <v>258</v>
      </c>
      <c r="B215" s="3" t="str">
        <f>IF(Table1[[#This Row],[Age]]&lt;25,"Under 25",IF(Table1[[#This Row],[Age]]&lt;35,"25-34",IF(Table1[[#This Row],[Age]]&lt;45,"35-44",IF(Table1[[#This Row],[Age]]&lt;55,"45-54","55+"))))</f>
        <v>35-44</v>
      </c>
      <c r="C215" s="3">
        <v>37</v>
      </c>
      <c r="D215" s="3" t="s">
        <v>7</v>
      </c>
      <c r="E215" s="3" t="s">
        <v>8</v>
      </c>
      <c r="F215" s="3" t="s">
        <v>9</v>
      </c>
      <c r="G215" s="3" t="s">
        <v>25</v>
      </c>
      <c r="H215" s="3" t="s">
        <v>19</v>
      </c>
      <c r="I215" s="3">
        <v>75710</v>
      </c>
      <c r="J215" s="3">
        <v>6</v>
      </c>
      <c r="K215" s="3">
        <v>3</v>
      </c>
      <c r="L215" s="3">
        <v>2</v>
      </c>
      <c r="M215" s="3">
        <v>2</v>
      </c>
      <c r="N215" s="3" t="s">
        <v>14</v>
      </c>
      <c r="O215" s="3" t="s">
        <v>13</v>
      </c>
      <c r="P215" s="3">
        <v>3</v>
      </c>
      <c r="Q215" s="3">
        <v>1</v>
      </c>
      <c r="R215" s="4" t="s">
        <v>14</v>
      </c>
      <c r="S215" s="4" t="s">
        <v>14</v>
      </c>
      <c r="T215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216" spans="1:20" ht="18" x14ac:dyDescent="0.35">
      <c r="A216" s="3" t="s">
        <v>259</v>
      </c>
      <c r="B216" s="3" t="str">
        <f>IF(Table1[[#This Row],[Age]]&lt;25,"Under 25",IF(Table1[[#This Row],[Age]]&lt;35,"25-34",IF(Table1[[#This Row],[Age]]&lt;45,"35-44",IF(Table1[[#This Row],[Age]]&lt;55,"45-54","55+"))))</f>
        <v>35-44</v>
      </c>
      <c r="C216" s="3">
        <v>39</v>
      </c>
      <c r="D216" s="3" t="s">
        <v>7</v>
      </c>
      <c r="E216" s="3" t="s">
        <v>16</v>
      </c>
      <c r="F216" s="3" t="s">
        <v>47</v>
      </c>
      <c r="G216" s="3" t="s">
        <v>18</v>
      </c>
      <c r="H216" s="3" t="s">
        <v>19</v>
      </c>
      <c r="I216" s="3">
        <v>96318</v>
      </c>
      <c r="J216" s="3">
        <v>17</v>
      </c>
      <c r="K216" s="3">
        <v>4</v>
      </c>
      <c r="L216" s="3">
        <v>2</v>
      </c>
      <c r="M216" s="3">
        <v>2</v>
      </c>
      <c r="N216" s="3" t="s">
        <v>14</v>
      </c>
      <c r="O216" s="3" t="s">
        <v>13</v>
      </c>
      <c r="P216" s="3">
        <v>3</v>
      </c>
      <c r="Q216" s="3">
        <v>5</v>
      </c>
      <c r="R216" s="4" t="s">
        <v>14</v>
      </c>
      <c r="S216" s="4" t="s">
        <v>14</v>
      </c>
      <c r="T216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217" spans="1:20" ht="18" x14ac:dyDescent="0.35">
      <c r="A217" s="3" t="s">
        <v>260</v>
      </c>
      <c r="B217" s="3" t="str">
        <f>IF(Table1[[#This Row],[Age]]&lt;25,"Under 25",IF(Table1[[#This Row],[Age]]&lt;35,"25-34",IF(Table1[[#This Row],[Age]]&lt;45,"35-44",IF(Table1[[#This Row],[Age]]&lt;55,"45-54","55+"))))</f>
        <v>45-54</v>
      </c>
      <c r="C217" s="3">
        <v>54</v>
      </c>
      <c r="D217" s="3" t="s">
        <v>22</v>
      </c>
      <c r="E217" s="3" t="s">
        <v>8</v>
      </c>
      <c r="F217" s="3" t="s">
        <v>9</v>
      </c>
      <c r="G217" s="3" t="s">
        <v>10</v>
      </c>
      <c r="H217" s="3" t="s">
        <v>11</v>
      </c>
      <c r="I217" s="3">
        <v>58618</v>
      </c>
      <c r="J217" s="3">
        <v>19</v>
      </c>
      <c r="K217" s="3">
        <v>7</v>
      </c>
      <c r="L217" s="3">
        <v>3</v>
      </c>
      <c r="M217" s="3">
        <v>2</v>
      </c>
      <c r="N217" s="3" t="s">
        <v>14</v>
      </c>
      <c r="O217" s="3" t="s">
        <v>20</v>
      </c>
      <c r="P217" s="3">
        <v>2</v>
      </c>
      <c r="Q217" s="3">
        <v>0</v>
      </c>
      <c r="R217" s="4" t="s">
        <v>14</v>
      </c>
      <c r="S217" s="4" t="s">
        <v>14</v>
      </c>
      <c r="T217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218" spans="1:20" ht="18" x14ac:dyDescent="0.35">
      <c r="A218" s="3" t="s">
        <v>261</v>
      </c>
      <c r="B218" s="3" t="str">
        <f>IF(Table1[[#This Row],[Age]]&lt;25,"Under 25",IF(Table1[[#This Row],[Age]]&lt;35,"25-34",IF(Table1[[#This Row],[Age]]&lt;45,"35-44",IF(Table1[[#This Row],[Age]]&lt;55,"45-54","55+"))))</f>
        <v>25-34</v>
      </c>
      <c r="C218" s="3">
        <v>34</v>
      </c>
      <c r="D218" s="3" t="s">
        <v>7</v>
      </c>
      <c r="E218" s="3" t="s">
        <v>16</v>
      </c>
      <c r="F218" s="3" t="s">
        <v>47</v>
      </c>
      <c r="G218" s="3" t="s">
        <v>45</v>
      </c>
      <c r="H218" s="3" t="s">
        <v>19</v>
      </c>
      <c r="I218" s="3">
        <v>37306</v>
      </c>
      <c r="J218" s="3">
        <v>2</v>
      </c>
      <c r="K218" s="3">
        <v>1</v>
      </c>
      <c r="L218" s="3">
        <v>2</v>
      </c>
      <c r="M218" s="3">
        <v>2</v>
      </c>
      <c r="N218" s="3" t="s">
        <v>14</v>
      </c>
      <c r="O218" s="3" t="s">
        <v>26</v>
      </c>
      <c r="P218" s="3">
        <v>2</v>
      </c>
      <c r="Q218" s="3">
        <v>5</v>
      </c>
      <c r="R218" s="4" t="s">
        <v>14</v>
      </c>
      <c r="S218" s="4" t="s">
        <v>14</v>
      </c>
      <c r="T218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219" spans="1:20" ht="18" x14ac:dyDescent="0.35">
      <c r="A219" s="3" t="s">
        <v>262</v>
      </c>
      <c r="B219" s="3" t="str">
        <f>IF(Table1[[#This Row],[Age]]&lt;25,"Under 25",IF(Table1[[#This Row],[Age]]&lt;35,"25-34",IF(Table1[[#This Row],[Age]]&lt;45,"35-44",IF(Table1[[#This Row],[Age]]&lt;55,"45-54","55+"))))</f>
        <v>25-34</v>
      </c>
      <c r="C219" s="3">
        <v>29</v>
      </c>
      <c r="D219" s="3" t="s">
        <v>22</v>
      </c>
      <c r="E219" s="3" t="s">
        <v>8</v>
      </c>
      <c r="F219" s="3" t="s">
        <v>66</v>
      </c>
      <c r="G219" s="3" t="s">
        <v>10</v>
      </c>
      <c r="H219" s="3" t="s">
        <v>19</v>
      </c>
      <c r="I219" s="3">
        <v>47748</v>
      </c>
      <c r="J219" s="3">
        <v>7</v>
      </c>
      <c r="K219" s="3">
        <v>1</v>
      </c>
      <c r="L219" s="3">
        <v>1</v>
      </c>
      <c r="M219" s="3">
        <v>3</v>
      </c>
      <c r="N219" s="3" t="s">
        <v>12</v>
      </c>
      <c r="O219" s="3" t="s">
        <v>13</v>
      </c>
      <c r="P219" s="3">
        <v>3</v>
      </c>
      <c r="Q219" s="3">
        <v>0</v>
      </c>
      <c r="R219" s="4" t="s">
        <v>14</v>
      </c>
      <c r="S219" s="4" t="s">
        <v>14</v>
      </c>
      <c r="T219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220" spans="1:20" ht="18" x14ac:dyDescent="0.35">
      <c r="A220" s="3" t="s">
        <v>263</v>
      </c>
      <c r="B220" s="3" t="str">
        <f>IF(Table1[[#This Row],[Age]]&lt;25,"Under 25",IF(Table1[[#This Row],[Age]]&lt;35,"25-34",IF(Table1[[#This Row],[Age]]&lt;45,"35-44",IF(Table1[[#This Row],[Age]]&lt;55,"45-54","55+"))))</f>
        <v>35-44</v>
      </c>
      <c r="C220" s="3">
        <v>35</v>
      </c>
      <c r="D220" s="3" t="s">
        <v>7</v>
      </c>
      <c r="E220" s="3" t="s">
        <v>16</v>
      </c>
      <c r="F220" s="3" t="s">
        <v>28</v>
      </c>
      <c r="G220" s="3" t="s">
        <v>25</v>
      </c>
      <c r="H220" s="3" t="s">
        <v>19</v>
      </c>
      <c r="I220" s="3">
        <v>67899</v>
      </c>
      <c r="J220" s="3">
        <v>11</v>
      </c>
      <c r="K220" s="3">
        <v>11</v>
      </c>
      <c r="L220" s="3">
        <v>3</v>
      </c>
      <c r="M220" s="3">
        <v>2</v>
      </c>
      <c r="N220" s="3" t="s">
        <v>14</v>
      </c>
      <c r="O220" s="3" t="s">
        <v>26</v>
      </c>
      <c r="P220" s="3">
        <v>3</v>
      </c>
      <c r="Q220" s="3">
        <v>1</v>
      </c>
      <c r="R220" s="4" t="s">
        <v>12</v>
      </c>
      <c r="S220" s="4" t="s">
        <v>14</v>
      </c>
      <c r="T220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221" spans="1:20" ht="18" x14ac:dyDescent="0.35">
      <c r="A221" s="3" t="s">
        <v>264</v>
      </c>
      <c r="B221" s="3" t="str">
        <f>IF(Table1[[#This Row],[Age]]&lt;25,"Under 25",IF(Table1[[#This Row],[Age]]&lt;35,"25-34",IF(Table1[[#This Row],[Age]]&lt;45,"35-44",IF(Table1[[#This Row],[Age]]&lt;55,"45-54","55+"))))</f>
        <v>35-44</v>
      </c>
      <c r="C221" s="3">
        <v>37</v>
      </c>
      <c r="D221" s="3" t="s">
        <v>7</v>
      </c>
      <c r="E221" s="3" t="s">
        <v>51</v>
      </c>
      <c r="F221" s="3" t="s">
        <v>72</v>
      </c>
      <c r="G221" s="3" t="s">
        <v>25</v>
      </c>
      <c r="H221" s="3" t="s">
        <v>19</v>
      </c>
      <c r="I221" s="3">
        <v>80128</v>
      </c>
      <c r="J221" s="3">
        <v>13</v>
      </c>
      <c r="K221" s="3">
        <v>9</v>
      </c>
      <c r="L221" s="3">
        <v>1</v>
      </c>
      <c r="M221" s="3">
        <v>2</v>
      </c>
      <c r="N221" s="3" t="s">
        <v>12</v>
      </c>
      <c r="O221" s="3" t="s">
        <v>13</v>
      </c>
      <c r="P221" s="3">
        <v>4</v>
      </c>
      <c r="Q221" s="3">
        <v>2</v>
      </c>
      <c r="R221" s="4" t="s">
        <v>14</v>
      </c>
      <c r="S221" s="4" t="s">
        <v>14</v>
      </c>
      <c r="T221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222" spans="1:20" ht="18" x14ac:dyDescent="0.35">
      <c r="A222" s="3" t="s">
        <v>265</v>
      </c>
      <c r="B222" s="3" t="str">
        <f>IF(Table1[[#This Row],[Age]]&lt;25,"Under 25",IF(Table1[[#This Row],[Age]]&lt;35,"25-34",IF(Table1[[#This Row],[Age]]&lt;45,"35-44",IF(Table1[[#This Row],[Age]]&lt;55,"45-54","55+"))))</f>
        <v>25-34</v>
      </c>
      <c r="C222" s="3">
        <v>30</v>
      </c>
      <c r="D222" s="3" t="s">
        <v>22</v>
      </c>
      <c r="E222" s="3" t="s">
        <v>16</v>
      </c>
      <c r="F222" s="3" t="s">
        <v>47</v>
      </c>
      <c r="G222" s="3" t="s">
        <v>25</v>
      </c>
      <c r="H222" s="3" t="s">
        <v>19</v>
      </c>
      <c r="I222" s="3">
        <v>92847</v>
      </c>
      <c r="J222" s="3">
        <v>12</v>
      </c>
      <c r="K222" s="3">
        <v>1</v>
      </c>
      <c r="L222" s="3">
        <v>3</v>
      </c>
      <c r="M222" s="3">
        <v>4</v>
      </c>
      <c r="N222" s="3" t="s">
        <v>14</v>
      </c>
      <c r="O222" s="3" t="s">
        <v>13</v>
      </c>
      <c r="P222" s="3">
        <v>3</v>
      </c>
      <c r="Q222" s="3">
        <v>1</v>
      </c>
      <c r="R222" s="4" t="s">
        <v>12</v>
      </c>
      <c r="S222" s="4" t="s">
        <v>14</v>
      </c>
      <c r="T222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223" spans="1:20" ht="18" x14ac:dyDescent="0.35">
      <c r="A223" s="3" t="s">
        <v>266</v>
      </c>
      <c r="B223" s="3" t="str">
        <f>IF(Table1[[#This Row],[Age]]&lt;25,"Under 25",IF(Table1[[#This Row],[Age]]&lt;35,"25-34",IF(Table1[[#This Row],[Age]]&lt;45,"35-44",IF(Table1[[#This Row],[Age]]&lt;55,"45-54","55+"))))</f>
        <v>45-54</v>
      </c>
      <c r="C223" s="3">
        <v>49</v>
      </c>
      <c r="D223" s="3" t="s">
        <v>22</v>
      </c>
      <c r="E223" s="3" t="s">
        <v>8</v>
      </c>
      <c r="F223" s="3" t="s">
        <v>66</v>
      </c>
      <c r="G223" s="3" t="s">
        <v>18</v>
      </c>
      <c r="H223" s="3" t="s">
        <v>19</v>
      </c>
      <c r="I223" s="3">
        <v>70950</v>
      </c>
      <c r="J223" s="3">
        <v>19</v>
      </c>
      <c r="K223" s="3">
        <v>2</v>
      </c>
      <c r="L223" s="3">
        <v>3</v>
      </c>
      <c r="M223" s="3">
        <v>2</v>
      </c>
      <c r="N223" s="3" t="s">
        <v>14</v>
      </c>
      <c r="O223" s="3" t="s">
        <v>13</v>
      </c>
      <c r="P223" s="3">
        <v>3</v>
      </c>
      <c r="Q223" s="3">
        <v>0</v>
      </c>
      <c r="R223" s="4" t="s">
        <v>12</v>
      </c>
      <c r="S223" s="4" t="s">
        <v>14</v>
      </c>
      <c r="T223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224" spans="1:20" ht="18" x14ac:dyDescent="0.35">
      <c r="A224" s="3" t="s">
        <v>267</v>
      </c>
      <c r="B224" s="3" t="str">
        <f>IF(Table1[[#This Row],[Age]]&lt;25,"Under 25",IF(Table1[[#This Row],[Age]]&lt;35,"25-34",IF(Table1[[#This Row],[Age]]&lt;45,"35-44",IF(Table1[[#This Row],[Age]]&lt;55,"45-54","55+"))))</f>
        <v>35-44</v>
      </c>
      <c r="C224" s="3">
        <v>39</v>
      </c>
      <c r="D224" s="3" t="s">
        <v>7</v>
      </c>
      <c r="E224" s="3" t="s">
        <v>38</v>
      </c>
      <c r="F224" s="3" t="s">
        <v>39</v>
      </c>
      <c r="G224" s="3" t="s">
        <v>10</v>
      </c>
      <c r="H224" s="3" t="s">
        <v>11</v>
      </c>
      <c r="I224" s="3">
        <v>50813</v>
      </c>
      <c r="J224" s="3">
        <v>5</v>
      </c>
      <c r="K224" s="3">
        <v>2</v>
      </c>
      <c r="L224" s="3">
        <v>4</v>
      </c>
      <c r="M224" s="3">
        <v>3</v>
      </c>
      <c r="N224" s="3" t="s">
        <v>12</v>
      </c>
      <c r="O224" s="3" t="s">
        <v>13</v>
      </c>
      <c r="P224" s="3">
        <v>2</v>
      </c>
      <c r="Q224" s="3">
        <v>6</v>
      </c>
      <c r="R224" s="4" t="s">
        <v>14</v>
      </c>
      <c r="S224" s="4" t="s">
        <v>14</v>
      </c>
      <c r="T224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225" spans="1:20" ht="18" x14ac:dyDescent="0.35">
      <c r="A225" s="3" t="s">
        <v>268</v>
      </c>
      <c r="B225" s="3" t="str">
        <f>IF(Table1[[#This Row],[Age]]&lt;25,"Under 25",IF(Table1[[#This Row],[Age]]&lt;35,"25-34",IF(Table1[[#This Row],[Age]]&lt;45,"35-44",IF(Table1[[#This Row],[Age]]&lt;55,"45-54","55+"))))</f>
        <v>35-44</v>
      </c>
      <c r="C225" s="3">
        <v>36</v>
      </c>
      <c r="D225" s="3" t="s">
        <v>22</v>
      </c>
      <c r="E225" s="3" t="s">
        <v>38</v>
      </c>
      <c r="F225" s="3" t="s">
        <v>89</v>
      </c>
      <c r="G225" s="3" t="s">
        <v>25</v>
      </c>
      <c r="H225" s="3" t="s">
        <v>19</v>
      </c>
      <c r="I225" s="3">
        <v>73360</v>
      </c>
      <c r="J225" s="3">
        <v>10</v>
      </c>
      <c r="K225" s="3">
        <v>10</v>
      </c>
      <c r="L225" s="3">
        <v>4</v>
      </c>
      <c r="M225" s="3">
        <v>2</v>
      </c>
      <c r="N225" s="3" t="s">
        <v>14</v>
      </c>
      <c r="O225" s="3" t="s">
        <v>13</v>
      </c>
      <c r="P225" s="3">
        <v>2</v>
      </c>
      <c r="Q225" s="3">
        <v>3</v>
      </c>
      <c r="R225" s="4" t="s">
        <v>12</v>
      </c>
      <c r="S225" s="4" t="s">
        <v>14</v>
      </c>
      <c r="T225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226" spans="1:20" ht="18" x14ac:dyDescent="0.35">
      <c r="A226" s="3" t="s">
        <v>269</v>
      </c>
      <c r="B226" s="3" t="str">
        <f>IF(Table1[[#This Row],[Age]]&lt;25,"Under 25",IF(Table1[[#This Row],[Age]]&lt;35,"25-34",IF(Table1[[#This Row],[Age]]&lt;45,"35-44",IF(Table1[[#This Row],[Age]]&lt;55,"45-54","55+"))))</f>
        <v>25-34</v>
      </c>
      <c r="C226" s="3">
        <v>28</v>
      </c>
      <c r="D226" s="3" t="s">
        <v>7</v>
      </c>
      <c r="E226" s="3" t="s">
        <v>16</v>
      </c>
      <c r="F226" s="3" t="s">
        <v>28</v>
      </c>
      <c r="G226" s="3" t="s">
        <v>25</v>
      </c>
      <c r="H226" s="3" t="s">
        <v>19</v>
      </c>
      <c r="I226" s="3">
        <v>39026</v>
      </c>
      <c r="J226" s="3">
        <v>10</v>
      </c>
      <c r="K226" s="3">
        <v>8</v>
      </c>
      <c r="L226" s="3">
        <v>2</v>
      </c>
      <c r="M226" s="3">
        <v>4</v>
      </c>
      <c r="N226" s="3" t="s">
        <v>14</v>
      </c>
      <c r="O226" s="3" t="s">
        <v>13</v>
      </c>
      <c r="P226" s="3">
        <v>3</v>
      </c>
      <c r="Q226" s="3">
        <v>3</v>
      </c>
      <c r="R226" s="4" t="s">
        <v>14</v>
      </c>
      <c r="S226" s="4" t="s">
        <v>14</v>
      </c>
      <c r="T226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227" spans="1:20" ht="18" x14ac:dyDescent="0.35">
      <c r="A227" s="3" t="s">
        <v>270</v>
      </c>
      <c r="B227" s="3" t="str">
        <f>IF(Table1[[#This Row],[Age]]&lt;25,"Under 25",IF(Table1[[#This Row],[Age]]&lt;35,"25-34",IF(Table1[[#This Row],[Age]]&lt;45,"35-44",IF(Table1[[#This Row],[Age]]&lt;55,"45-54","55+"))))</f>
        <v>35-44</v>
      </c>
      <c r="C227" s="3">
        <v>38</v>
      </c>
      <c r="D227" s="3" t="s">
        <v>7</v>
      </c>
      <c r="E227" s="3" t="s">
        <v>16</v>
      </c>
      <c r="F227" s="3" t="s">
        <v>17</v>
      </c>
      <c r="G227" s="3" t="s">
        <v>25</v>
      </c>
      <c r="H227" s="3" t="s">
        <v>11</v>
      </c>
      <c r="I227" s="3">
        <v>87459</v>
      </c>
      <c r="J227" s="3">
        <v>13</v>
      </c>
      <c r="K227" s="3">
        <v>0</v>
      </c>
      <c r="L227" s="3">
        <v>2</v>
      </c>
      <c r="M227" s="3">
        <v>3</v>
      </c>
      <c r="N227" s="3" t="s">
        <v>14</v>
      </c>
      <c r="O227" s="3" t="s">
        <v>13</v>
      </c>
      <c r="P227" s="3">
        <v>2</v>
      </c>
      <c r="Q227" s="3">
        <v>1</v>
      </c>
      <c r="R227" s="4" t="s">
        <v>14</v>
      </c>
      <c r="S227" s="4" t="s">
        <v>14</v>
      </c>
      <c r="T227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228" spans="1:20" ht="18" x14ac:dyDescent="0.35">
      <c r="A228" s="3" t="s">
        <v>271</v>
      </c>
      <c r="B228" s="3" t="str">
        <f>IF(Table1[[#This Row],[Age]]&lt;25,"Under 25",IF(Table1[[#This Row],[Age]]&lt;35,"25-34",IF(Table1[[#This Row],[Age]]&lt;45,"35-44",IF(Table1[[#This Row],[Age]]&lt;55,"45-54","55+"))))</f>
        <v>45-54</v>
      </c>
      <c r="C228" s="3">
        <v>46</v>
      </c>
      <c r="D228" s="3" t="s">
        <v>7</v>
      </c>
      <c r="E228" s="3" t="s">
        <v>31</v>
      </c>
      <c r="F228" s="3" t="s">
        <v>32</v>
      </c>
      <c r="G228" s="3" t="s">
        <v>18</v>
      </c>
      <c r="H228" s="3" t="s">
        <v>19</v>
      </c>
      <c r="I228" s="3">
        <v>28446</v>
      </c>
      <c r="J228" s="3">
        <v>9</v>
      </c>
      <c r="K228" s="3">
        <v>7</v>
      </c>
      <c r="L228" s="3">
        <v>3</v>
      </c>
      <c r="M228" s="3">
        <v>1</v>
      </c>
      <c r="N228" s="3" t="s">
        <v>12</v>
      </c>
      <c r="O228" s="3" t="s">
        <v>13</v>
      </c>
      <c r="P228" s="3">
        <v>3</v>
      </c>
      <c r="Q228" s="3">
        <v>6</v>
      </c>
      <c r="R228" s="4" t="s">
        <v>14</v>
      </c>
      <c r="S228" s="4" t="s">
        <v>12</v>
      </c>
      <c r="T228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229" spans="1:20" ht="18" x14ac:dyDescent="0.35">
      <c r="A229" s="3" t="s">
        <v>272</v>
      </c>
      <c r="B229" s="3" t="str">
        <f>IF(Table1[[#This Row],[Age]]&lt;25,"Under 25",IF(Table1[[#This Row],[Age]]&lt;35,"25-34",IF(Table1[[#This Row],[Age]]&lt;45,"35-44",IF(Table1[[#This Row],[Age]]&lt;55,"45-54","55+"))))</f>
        <v>35-44</v>
      </c>
      <c r="C229" s="3">
        <v>41</v>
      </c>
      <c r="D229" s="3" t="s">
        <v>22</v>
      </c>
      <c r="E229" s="3" t="s">
        <v>51</v>
      </c>
      <c r="F229" s="3" t="s">
        <v>52</v>
      </c>
      <c r="G229" s="3" t="s">
        <v>25</v>
      </c>
      <c r="H229" s="3" t="s">
        <v>11</v>
      </c>
      <c r="I229" s="3">
        <v>77007</v>
      </c>
      <c r="J229" s="3">
        <v>1</v>
      </c>
      <c r="K229" s="3">
        <v>1</v>
      </c>
      <c r="L229" s="3">
        <v>3</v>
      </c>
      <c r="M229" s="3">
        <v>2</v>
      </c>
      <c r="N229" s="3" t="s">
        <v>14</v>
      </c>
      <c r="O229" s="3" t="s">
        <v>13</v>
      </c>
      <c r="P229" s="3">
        <v>2</v>
      </c>
      <c r="Q229" s="3">
        <v>6</v>
      </c>
      <c r="R229" s="4" t="s">
        <v>12</v>
      </c>
      <c r="S229" s="4" t="s">
        <v>14</v>
      </c>
      <c r="T229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230" spans="1:20" ht="18" x14ac:dyDescent="0.35">
      <c r="A230" s="3" t="s">
        <v>273</v>
      </c>
      <c r="B230" s="3" t="str">
        <f>IF(Table1[[#This Row],[Age]]&lt;25,"Under 25",IF(Table1[[#This Row],[Age]]&lt;35,"25-34",IF(Table1[[#This Row],[Age]]&lt;45,"35-44",IF(Table1[[#This Row],[Age]]&lt;55,"45-54","55+"))))</f>
        <v>Under 25</v>
      </c>
      <c r="C230" s="3">
        <v>24</v>
      </c>
      <c r="D230" s="3" t="s">
        <v>22</v>
      </c>
      <c r="E230" s="3" t="s">
        <v>8</v>
      </c>
      <c r="F230" s="3" t="s">
        <v>66</v>
      </c>
      <c r="G230" s="3" t="s">
        <v>25</v>
      </c>
      <c r="H230" s="3" t="s">
        <v>11</v>
      </c>
      <c r="I230" s="3">
        <v>69088</v>
      </c>
      <c r="J230" s="3">
        <v>1</v>
      </c>
      <c r="K230" s="3">
        <v>1</v>
      </c>
      <c r="L230" s="3">
        <v>4</v>
      </c>
      <c r="M230" s="3">
        <v>3</v>
      </c>
      <c r="N230" s="3" t="s">
        <v>14</v>
      </c>
      <c r="O230" s="3" t="s">
        <v>20</v>
      </c>
      <c r="P230" s="3">
        <v>3</v>
      </c>
      <c r="Q230" s="3">
        <v>4</v>
      </c>
      <c r="R230" s="4" t="s">
        <v>14</v>
      </c>
      <c r="S230" s="4" t="s">
        <v>14</v>
      </c>
      <c r="T230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231" spans="1:20" ht="18" x14ac:dyDescent="0.35">
      <c r="A231" s="3" t="s">
        <v>274</v>
      </c>
      <c r="B231" s="3" t="str">
        <f>IF(Table1[[#This Row],[Age]]&lt;25,"Under 25",IF(Table1[[#This Row],[Age]]&lt;35,"25-34",IF(Table1[[#This Row],[Age]]&lt;45,"35-44",IF(Table1[[#This Row],[Age]]&lt;55,"45-54","55+"))))</f>
        <v>35-44</v>
      </c>
      <c r="C231" s="3">
        <v>37</v>
      </c>
      <c r="D231" s="3" t="s">
        <v>22</v>
      </c>
      <c r="E231" s="3" t="s">
        <v>38</v>
      </c>
      <c r="F231" s="3" t="s">
        <v>59</v>
      </c>
      <c r="G231" s="3" t="s">
        <v>18</v>
      </c>
      <c r="H231" s="3" t="s">
        <v>19</v>
      </c>
      <c r="I231" s="3">
        <v>54209</v>
      </c>
      <c r="J231" s="3">
        <v>5</v>
      </c>
      <c r="K231" s="3">
        <v>1</v>
      </c>
      <c r="L231" s="3">
        <v>2</v>
      </c>
      <c r="M231" s="3">
        <v>2</v>
      </c>
      <c r="N231" s="3" t="s">
        <v>14</v>
      </c>
      <c r="O231" s="3" t="s">
        <v>13</v>
      </c>
      <c r="P231" s="3">
        <v>3</v>
      </c>
      <c r="Q231" s="3">
        <v>2</v>
      </c>
      <c r="R231" s="4" t="s">
        <v>14</v>
      </c>
      <c r="S231" s="4" t="s">
        <v>14</v>
      </c>
      <c r="T231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232" spans="1:20" ht="18" x14ac:dyDescent="0.35">
      <c r="A232" s="3" t="s">
        <v>275</v>
      </c>
      <c r="B232" s="3" t="str">
        <f>IF(Table1[[#This Row],[Age]]&lt;25,"Under 25",IF(Table1[[#This Row],[Age]]&lt;35,"25-34",IF(Table1[[#This Row],[Age]]&lt;45,"35-44",IF(Table1[[#This Row],[Age]]&lt;55,"45-54","55+"))))</f>
        <v>35-44</v>
      </c>
      <c r="C232" s="3">
        <v>42</v>
      </c>
      <c r="D232" s="3" t="s">
        <v>22</v>
      </c>
      <c r="E232" s="3" t="s">
        <v>16</v>
      </c>
      <c r="F232" s="3" t="s">
        <v>17</v>
      </c>
      <c r="G232" s="3" t="s">
        <v>25</v>
      </c>
      <c r="H232" s="3" t="s">
        <v>19</v>
      </c>
      <c r="I232" s="3">
        <v>48141</v>
      </c>
      <c r="J232" s="3">
        <v>5</v>
      </c>
      <c r="K232" s="3">
        <v>2</v>
      </c>
      <c r="L232" s="3">
        <v>3</v>
      </c>
      <c r="M232" s="3">
        <v>3</v>
      </c>
      <c r="N232" s="3" t="s">
        <v>14</v>
      </c>
      <c r="O232" s="3" t="s">
        <v>13</v>
      </c>
      <c r="P232" s="3">
        <v>3</v>
      </c>
      <c r="Q232" s="3">
        <v>1</v>
      </c>
      <c r="R232" s="4" t="s">
        <v>14</v>
      </c>
      <c r="S232" s="4" t="s">
        <v>14</v>
      </c>
      <c r="T232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233" spans="1:20" ht="18" x14ac:dyDescent="0.35">
      <c r="A233" s="3" t="s">
        <v>276</v>
      </c>
      <c r="B233" s="3" t="str">
        <f>IF(Table1[[#This Row],[Age]]&lt;25,"Under 25",IF(Table1[[#This Row],[Age]]&lt;35,"25-34",IF(Table1[[#This Row],[Age]]&lt;45,"35-44",IF(Table1[[#This Row],[Age]]&lt;55,"45-54","55+"))))</f>
        <v>35-44</v>
      </c>
      <c r="C233" s="3">
        <v>37</v>
      </c>
      <c r="D233" s="3" t="s">
        <v>7</v>
      </c>
      <c r="E233" s="3" t="s">
        <v>8</v>
      </c>
      <c r="F233" s="3" t="s">
        <v>66</v>
      </c>
      <c r="G233" s="3" t="s">
        <v>45</v>
      </c>
      <c r="H233" s="3" t="s">
        <v>19</v>
      </c>
      <c r="I233" s="3">
        <v>77186</v>
      </c>
      <c r="J233" s="3">
        <v>12</v>
      </c>
      <c r="K233" s="3">
        <v>4</v>
      </c>
      <c r="L233" s="3">
        <v>1</v>
      </c>
      <c r="M233" s="3">
        <v>4</v>
      </c>
      <c r="N233" s="3" t="s">
        <v>14</v>
      </c>
      <c r="O233" s="3" t="s">
        <v>13</v>
      </c>
      <c r="P233" s="3">
        <v>3</v>
      </c>
      <c r="Q233" s="3">
        <v>3</v>
      </c>
      <c r="R233" s="4" t="s">
        <v>12</v>
      </c>
      <c r="S233" s="4" t="s">
        <v>14</v>
      </c>
      <c r="T233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234" spans="1:20" ht="18" x14ac:dyDescent="0.35">
      <c r="A234" s="3" t="s">
        <v>277</v>
      </c>
      <c r="B234" s="3" t="str">
        <f>IF(Table1[[#This Row],[Age]]&lt;25,"Under 25",IF(Table1[[#This Row],[Age]]&lt;35,"25-34",IF(Table1[[#This Row],[Age]]&lt;45,"35-44",IF(Table1[[#This Row],[Age]]&lt;55,"45-54","55+"))))</f>
        <v>35-44</v>
      </c>
      <c r="C234" s="3">
        <v>39</v>
      </c>
      <c r="D234" s="3" t="s">
        <v>22</v>
      </c>
      <c r="E234" s="3" t="s">
        <v>38</v>
      </c>
      <c r="F234" s="3" t="s">
        <v>89</v>
      </c>
      <c r="G234" s="3" t="s">
        <v>18</v>
      </c>
      <c r="H234" s="3" t="s">
        <v>11</v>
      </c>
      <c r="I234" s="3">
        <v>80488</v>
      </c>
      <c r="J234" s="3">
        <v>14</v>
      </c>
      <c r="K234" s="3">
        <v>7</v>
      </c>
      <c r="L234" s="3">
        <v>3</v>
      </c>
      <c r="M234" s="3">
        <v>3</v>
      </c>
      <c r="N234" s="3" t="s">
        <v>12</v>
      </c>
      <c r="O234" s="3" t="s">
        <v>13</v>
      </c>
      <c r="P234" s="3">
        <v>3</v>
      </c>
      <c r="Q234" s="3">
        <v>6</v>
      </c>
      <c r="R234" s="4" t="s">
        <v>14</v>
      </c>
      <c r="S234" s="4" t="s">
        <v>14</v>
      </c>
      <c r="T234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235" spans="1:20" ht="18" x14ac:dyDescent="0.35">
      <c r="A235" s="3" t="s">
        <v>278</v>
      </c>
      <c r="B235" s="3" t="str">
        <f>IF(Table1[[#This Row],[Age]]&lt;25,"Under 25",IF(Table1[[#This Row],[Age]]&lt;35,"25-34",IF(Table1[[#This Row],[Age]]&lt;45,"35-44",IF(Table1[[#This Row],[Age]]&lt;55,"45-54","55+"))))</f>
        <v>Under 25</v>
      </c>
      <c r="C235" s="3">
        <v>22</v>
      </c>
      <c r="D235" s="3" t="s">
        <v>7</v>
      </c>
      <c r="E235" s="3" t="s">
        <v>38</v>
      </c>
      <c r="F235" s="3" t="s">
        <v>59</v>
      </c>
      <c r="G235" s="3" t="s">
        <v>25</v>
      </c>
      <c r="H235" s="3" t="s">
        <v>11</v>
      </c>
      <c r="I235" s="3">
        <v>58110</v>
      </c>
      <c r="J235" s="3">
        <v>0</v>
      </c>
      <c r="K235" s="3">
        <v>0</v>
      </c>
      <c r="L235" s="3">
        <v>3</v>
      </c>
      <c r="M235" s="3">
        <v>1</v>
      </c>
      <c r="N235" s="3" t="s">
        <v>12</v>
      </c>
      <c r="O235" s="3" t="s">
        <v>13</v>
      </c>
      <c r="P235" s="3">
        <v>4</v>
      </c>
      <c r="Q235" s="3">
        <v>0</v>
      </c>
      <c r="R235" s="4" t="s">
        <v>14</v>
      </c>
      <c r="S235" s="4" t="s">
        <v>14</v>
      </c>
      <c r="T235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Less than 1 Year</v>
      </c>
    </row>
    <row r="236" spans="1:20" ht="18" x14ac:dyDescent="0.35">
      <c r="A236" s="3" t="s">
        <v>279</v>
      </c>
      <c r="B236" s="3" t="str">
        <f>IF(Table1[[#This Row],[Age]]&lt;25,"Under 25",IF(Table1[[#This Row],[Age]]&lt;35,"25-34",IF(Table1[[#This Row],[Age]]&lt;45,"35-44",IF(Table1[[#This Row],[Age]]&lt;55,"45-54","55+"))))</f>
        <v>35-44</v>
      </c>
      <c r="C236" s="3">
        <v>35</v>
      </c>
      <c r="D236" s="3" t="s">
        <v>22</v>
      </c>
      <c r="E236" s="3" t="s">
        <v>16</v>
      </c>
      <c r="F236" s="3" t="s">
        <v>47</v>
      </c>
      <c r="G236" s="3" t="s">
        <v>10</v>
      </c>
      <c r="H236" s="3" t="s">
        <v>11</v>
      </c>
      <c r="I236" s="3">
        <v>59569</v>
      </c>
      <c r="J236" s="3">
        <v>11</v>
      </c>
      <c r="K236" s="3">
        <v>6</v>
      </c>
      <c r="L236" s="3">
        <v>2</v>
      </c>
      <c r="M236" s="3">
        <v>2</v>
      </c>
      <c r="N236" s="3" t="s">
        <v>14</v>
      </c>
      <c r="O236" s="3" t="s">
        <v>20</v>
      </c>
      <c r="P236" s="3">
        <v>2</v>
      </c>
      <c r="Q236" s="3">
        <v>3</v>
      </c>
      <c r="R236" s="4" t="s">
        <v>14</v>
      </c>
      <c r="S236" s="4" t="s">
        <v>14</v>
      </c>
      <c r="T236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237" spans="1:20" ht="18" x14ac:dyDescent="0.35">
      <c r="A237" s="3" t="s">
        <v>280</v>
      </c>
      <c r="B237" s="3" t="str">
        <f>IF(Table1[[#This Row],[Age]]&lt;25,"Under 25",IF(Table1[[#This Row],[Age]]&lt;35,"25-34",IF(Table1[[#This Row],[Age]]&lt;45,"35-44",IF(Table1[[#This Row],[Age]]&lt;55,"45-54","55+"))))</f>
        <v>35-44</v>
      </c>
      <c r="C237" s="3">
        <v>39</v>
      </c>
      <c r="D237" s="3" t="s">
        <v>22</v>
      </c>
      <c r="E237" s="3" t="s">
        <v>16</v>
      </c>
      <c r="F237" s="3" t="s">
        <v>17</v>
      </c>
      <c r="G237" s="3" t="s">
        <v>25</v>
      </c>
      <c r="H237" s="3" t="s">
        <v>19</v>
      </c>
      <c r="I237" s="3">
        <v>66428</v>
      </c>
      <c r="J237" s="3">
        <v>14</v>
      </c>
      <c r="K237" s="3">
        <v>1</v>
      </c>
      <c r="L237" s="3">
        <v>4</v>
      </c>
      <c r="M237" s="3">
        <v>4</v>
      </c>
      <c r="N237" s="3" t="s">
        <v>14</v>
      </c>
      <c r="O237" s="3" t="s">
        <v>13</v>
      </c>
      <c r="P237" s="3">
        <v>4</v>
      </c>
      <c r="Q237" s="3">
        <v>3</v>
      </c>
      <c r="R237" s="4" t="s">
        <v>12</v>
      </c>
      <c r="S237" s="4" t="s">
        <v>14</v>
      </c>
      <c r="T237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238" spans="1:20" ht="18" x14ac:dyDescent="0.35">
      <c r="A238" s="3" t="s">
        <v>281</v>
      </c>
      <c r="B238" s="3" t="str">
        <f>IF(Table1[[#This Row],[Age]]&lt;25,"Under 25",IF(Table1[[#This Row],[Age]]&lt;35,"25-34",IF(Table1[[#This Row],[Age]]&lt;45,"35-44",IF(Table1[[#This Row],[Age]]&lt;55,"45-54","55+"))))</f>
        <v>35-44</v>
      </c>
      <c r="C238" s="3">
        <v>36</v>
      </c>
      <c r="D238" s="3" t="s">
        <v>22</v>
      </c>
      <c r="E238" s="3" t="s">
        <v>16</v>
      </c>
      <c r="F238" s="3" t="s">
        <v>17</v>
      </c>
      <c r="G238" s="3" t="s">
        <v>25</v>
      </c>
      <c r="H238" s="3" t="s">
        <v>19</v>
      </c>
      <c r="I238" s="3">
        <v>75685</v>
      </c>
      <c r="J238" s="3">
        <v>11</v>
      </c>
      <c r="K238" s="3">
        <v>9</v>
      </c>
      <c r="L238" s="3">
        <v>3</v>
      </c>
      <c r="M238" s="3">
        <v>4</v>
      </c>
      <c r="N238" s="3" t="s">
        <v>14</v>
      </c>
      <c r="O238" s="3" t="s">
        <v>13</v>
      </c>
      <c r="P238" s="3">
        <v>3</v>
      </c>
      <c r="Q238" s="3">
        <v>1</v>
      </c>
      <c r="R238" s="4" t="s">
        <v>14</v>
      </c>
      <c r="S238" s="4" t="s">
        <v>14</v>
      </c>
      <c r="T238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239" spans="1:20" ht="18" x14ac:dyDescent="0.35">
      <c r="A239" s="3" t="s">
        <v>282</v>
      </c>
      <c r="B239" s="3" t="str">
        <f>IF(Table1[[#This Row],[Age]]&lt;25,"Under 25",IF(Table1[[#This Row],[Age]]&lt;35,"25-34",IF(Table1[[#This Row],[Age]]&lt;45,"35-44",IF(Table1[[#This Row],[Age]]&lt;55,"45-54","55+"))))</f>
        <v>35-44</v>
      </c>
      <c r="C239" s="3">
        <v>40</v>
      </c>
      <c r="D239" s="3" t="s">
        <v>22</v>
      </c>
      <c r="E239" s="3" t="s">
        <v>16</v>
      </c>
      <c r="F239" s="3" t="s">
        <v>47</v>
      </c>
      <c r="G239" s="3" t="s">
        <v>10</v>
      </c>
      <c r="H239" s="3" t="s">
        <v>11</v>
      </c>
      <c r="I239" s="3">
        <v>43769</v>
      </c>
      <c r="J239" s="3">
        <v>14</v>
      </c>
      <c r="K239" s="3">
        <v>10</v>
      </c>
      <c r="L239" s="3">
        <v>4</v>
      </c>
      <c r="M239" s="3">
        <v>1</v>
      </c>
      <c r="N239" s="3" t="s">
        <v>12</v>
      </c>
      <c r="O239" s="3" t="s">
        <v>13</v>
      </c>
      <c r="P239" s="3">
        <v>3</v>
      </c>
      <c r="Q239" s="3">
        <v>2</v>
      </c>
      <c r="R239" s="4" t="s">
        <v>14</v>
      </c>
      <c r="S239" s="4" t="s">
        <v>14</v>
      </c>
      <c r="T239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240" spans="1:20" ht="18" x14ac:dyDescent="0.35">
      <c r="A240" s="3" t="s">
        <v>283</v>
      </c>
      <c r="B240" s="3" t="str">
        <f>IF(Table1[[#This Row],[Age]]&lt;25,"Under 25",IF(Table1[[#This Row],[Age]]&lt;35,"25-34",IF(Table1[[#This Row],[Age]]&lt;45,"35-44",IF(Table1[[#This Row],[Age]]&lt;55,"45-54","55+"))))</f>
        <v>Under 25</v>
      </c>
      <c r="C240" s="3">
        <v>21</v>
      </c>
      <c r="D240" s="3" t="s">
        <v>22</v>
      </c>
      <c r="E240" s="3" t="s">
        <v>34</v>
      </c>
      <c r="F240" s="3" t="s">
        <v>150</v>
      </c>
      <c r="G240" s="3" t="s">
        <v>25</v>
      </c>
      <c r="H240" s="3" t="s">
        <v>11</v>
      </c>
      <c r="I240" s="3">
        <v>41963</v>
      </c>
      <c r="J240" s="3">
        <v>1</v>
      </c>
      <c r="K240" s="3">
        <v>1</v>
      </c>
      <c r="L240" s="3">
        <v>3</v>
      </c>
      <c r="M240" s="3">
        <v>3</v>
      </c>
      <c r="N240" s="3" t="s">
        <v>14</v>
      </c>
      <c r="O240" s="3" t="s">
        <v>13</v>
      </c>
      <c r="P240" s="3">
        <v>3</v>
      </c>
      <c r="Q240" s="3">
        <v>3</v>
      </c>
      <c r="R240" s="4" t="s">
        <v>14</v>
      </c>
      <c r="S240" s="4" t="s">
        <v>14</v>
      </c>
      <c r="T240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241" spans="1:20" ht="18" x14ac:dyDescent="0.35">
      <c r="A241" s="3" t="s">
        <v>284</v>
      </c>
      <c r="B241" s="3" t="str">
        <f>IF(Table1[[#This Row],[Age]]&lt;25,"Under 25",IF(Table1[[#This Row],[Age]]&lt;35,"25-34",IF(Table1[[#This Row],[Age]]&lt;45,"35-44",IF(Table1[[#This Row],[Age]]&lt;55,"45-54","55+"))))</f>
        <v>25-34</v>
      </c>
      <c r="C241" s="3">
        <v>25</v>
      </c>
      <c r="D241" s="3" t="s">
        <v>7</v>
      </c>
      <c r="E241" s="3" t="s">
        <v>8</v>
      </c>
      <c r="F241" s="3" t="s">
        <v>9</v>
      </c>
      <c r="G241" s="3" t="s">
        <v>10</v>
      </c>
      <c r="H241" s="3" t="s">
        <v>11</v>
      </c>
      <c r="I241" s="3">
        <v>101764</v>
      </c>
      <c r="J241" s="3">
        <v>4</v>
      </c>
      <c r="K241" s="3">
        <v>3</v>
      </c>
      <c r="L241" s="3">
        <v>2</v>
      </c>
      <c r="M241" s="3">
        <v>3</v>
      </c>
      <c r="N241" s="3" t="s">
        <v>14</v>
      </c>
      <c r="O241" s="3" t="s">
        <v>26</v>
      </c>
      <c r="P241" s="3">
        <v>4</v>
      </c>
      <c r="Q241" s="3">
        <v>3</v>
      </c>
      <c r="R241" s="4" t="s">
        <v>12</v>
      </c>
      <c r="S241" s="4" t="s">
        <v>14</v>
      </c>
      <c r="T241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242" spans="1:20" ht="18" x14ac:dyDescent="0.35">
      <c r="A242" s="3" t="s">
        <v>285</v>
      </c>
      <c r="B242" s="3" t="str">
        <f>IF(Table1[[#This Row],[Age]]&lt;25,"Under 25",IF(Table1[[#This Row],[Age]]&lt;35,"25-34",IF(Table1[[#This Row],[Age]]&lt;45,"35-44",IF(Table1[[#This Row],[Age]]&lt;55,"45-54","55+"))))</f>
        <v>35-44</v>
      </c>
      <c r="C242" s="3">
        <v>36</v>
      </c>
      <c r="D242" s="3" t="s">
        <v>7</v>
      </c>
      <c r="E242" s="3" t="s">
        <v>34</v>
      </c>
      <c r="F242" s="3" t="s">
        <v>150</v>
      </c>
      <c r="G242" s="3" t="s">
        <v>10</v>
      </c>
      <c r="H242" s="3" t="s">
        <v>42</v>
      </c>
      <c r="I242" s="3">
        <v>65175</v>
      </c>
      <c r="J242" s="3">
        <v>16</v>
      </c>
      <c r="K242" s="3">
        <v>12</v>
      </c>
      <c r="L242" s="3">
        <v>3</v>
      </c>
      <c r="M242" s="3">
        <v>3</v>
      </c>
      <c r="N242" s="3" t="s">
        <v>14</v>
      </c>
      <c r="O242" s="3" t="s">
        <v>13</v>
      </c>
      <c r="P242" s="3">
        <v>3</v>
      </c>
      <c r="Q242" s="3">
        <v>3</v>
      </c>
      <c r="R242" s="4" t="s">
        <v>14</v>
      </c>
      <c r="S242" s="4" t="s">
        <v>14</v>
      </c>
      <c r="T242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243" spans="1:20" ht="18" x14ac:dyDescent="0.35">
      <c r="A243" s="3" t="s">
        <v>286</v>
      </c>
      <c r="B243" s="3" t="str">
        <f>IF(Table1[[#This Row],[Age]]&lt;25,"Under 25",IF(Table1[[#This Row],[Age]]&lt;35,"25-34",IF(Table1[[#This Row],[Age]]&lt;45,"35-44",IF(Table1[[#This Row],[Age]]&lt;55,"45-54","55+"))))</f>
        <v>25-34</v>
      </c>
      <c r="C243" s="3">
        <v>32</v>
      </c>
      <c r="D243" s="3" t="s">
        <v>22</v>
      </c>
      <c r="E243" s="3" t="s">
        <v>38</v>
      </c>
      <c r="F243" s="3" t="s">
        <v>59</v>
      </c>
      <c r="G243" s="3" t="s">
        <v>25</v>
      </c>
      <c r="H243" s="3" t="s">
        <v>19</v>
      </c>
      <c r="I243" s="3">
        <v>36856</v>
      </c>
      <c r="J243" s="3">
        <v>13</v>
      </c>
      <c r="K243" s="3">
        <v>9</v>
      </c>
      <c r="L243" s="3">
        <v>2</v>
      </c>
      <c r="M243" s="3">
        <v>3</v>
      </c>
      <c r="N243" s="3" t="s">
        <v>12</v>
      </c>
      <c r="O243" s="3" t="s">
        <v>13</v>
      </c>
      <c r="P243" s="3">
        <v>4</v>
      </c>
      <c r="Q243" s="3">
        <v>5</v>
      </c>
      <c r="R243" s="4" t="s">
        <v>14</v>
      </c>
      <c r="S243" s="4" t="s">
        <v>14</v>
      </c>
      <c r="T243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244" spans="1:20" ht="18" x14ac:dyDescent="0.35">
      <c r="A244" s="3" t="s">
        <v>287</v>
      </c>
      <c r="B244" s="3" t="str">
        <f>IF(Table1[[#This Row],[Age]]&lt;25,"Under 25",IF(Table1[[#This Row],[Age]]&lt;35,"25-34",IF(Table1[[#This Row],[Age]]&lt;45,"35-44",IF(Table1[[#This Row],[Age]]&lt;55,"45-54","55+"))))</f>
        <v>35-44</v>
      </c>
      <c r="C244" s="3">
        <v>42</v>
      </c>
      <c r="D244" s="3" t="s">
        <v>22</v>
      </c>
      <c r="E244" s="3" t="s">
        <v>16</v>
      </c>
      <c r="F244" s="3" t="s">
        <v>17</v>
      </c>
      <c r="G244" s="3" t="s">
        <v>10</v>
      </c>
      <c r="H244" s="3" t="s">
        <v>11</v>
      </c>
      <c r="I244" s="3">
        <v>64169</v>
      </c>
      <c r="J244" s="3">
        <v>20</v>
      </c>
      <c r="K244" s="3">
        <v>6</v>
      </c>
      <c r="L244" s="3">
        <v>3</v>
      </c>
      <c r="M244" s="3">
        <v>2</v>
      </c>
      <c r="N244" s="3" t="s">
        <v>14</v>
      </c>
      <c r="O244" s="3" t="s">
        <v>20</v>
      </c>
      <c r="P244" s="3">
        <v>3</v>
      </c>
      <c r="Q244" s="3">
        <v>0</v>
      </c>
      <c r="R244" s="4" t="s">
        <v>14</v>
      </c>
      <c r="S244" s="4" t="s">
        <v>14</v>
      </c>
      <c r="T244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245" spans="1:20" ht="18" x14ac:dyDescent="0.35">
      <c r="A245" s="3" t="s">
        <v>288</v>
      </c>
      <c r="B245" s="3" t="str">
        <f>IF(Table1[[#This Row],[Age]]&lt;25,"Under 25",IF(Table1[[#This Row],[Age]]&lt;35,"25-34",IF(Table1[[#This Row],[Age]]&lt;45,"35-44",IF(Table1[[#This Row],[Age]]&lt;55,"45-54","55+"))))</f>
        <v>Under 25</v>
      </c>
      <c r="C245" s="3">
        <v>23</v>
      </c>
      <c r="D245" s="3" t="s">
        <v>22</v>
      </c>
      <c r="E245" s="3" t="s">
        <v>38</v>
      </c>
      <c r="F245" s="3" t="s">
        <v>39</v>
      </c>
      <c r="G245" s="3" t="s">
        <v>25</v>
      </c>
      <c r="H245" s="3" t="s">
        <v>11</v>
      </c>
      <c r="I245" s="3">
        <v>34614</v>
      </c>
      <c r="J245" s="3">
        <v>0</v>
      </c>
      <c r="K245" s="3">
        <v>0</v>
      </c>
      <c r="L245" s="3">
        <v>3</v>
      </c>
      <c r="M245" s="3">
        <v>4</v>
      </c>
      <c r="N245" s="3" t="s">
        <v>14</v>
      </c>
      <c r="O245" s="3" t="s">
        <v>20</v>
      </c>
      <c r="P245" s="3">
        <v>4</v>
      </c>
      <c r="Q245" s="3">
        <v>2</v>
      </c>
      <c r="R245" s="4" t="s">
        <v>14</v>
      </c>
      <c r="S245" s="4" t="s">
        <v>14</v>
      </c>
      <c r="T245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Less than 1 Year</v>
      </c>
    </row>
    <row r="246" spans="1:20" ht="18" x14ac:dyDescent="0.35">
      <c r="A246" s="3" t="s">
        <v>289</v>
      </c>
      <c r="B246" s="3" t="str">
        <f>IF(Table1[[#This Row],[Age]]&lt;25,"Under 25",IF(Table1[[#This Row],[Age]]&lt;35,"25-34",IF(Table1[[#This Row],[Age]]&lt;45,"35-44",IF(Table1[[#This Row],[Age]]&lt;55,"45-54","55+"))))</f>
        <v>35-44</v>
      </c>
      <c r="C246" s="3">
        <v>39</v>
      </c>
      <c r="D246" s="3" t="s">
        <v>7</v>
      </c>
      <c r="E246" s="3" t="s">
        <v>31</v>
      </c>
      <c r="F246" s="3" t="s">
        <v>74</v>
      </c>
      <c r="G246" s="3" t="s">
        <v>10</v>
      </c>
      <c r="H246" s="3" t="s">
        <v>19</v>
      </c>
      <c r="I246" s="3">
        <v>60097</v>
      </c>
      <c r="J246" s="3">
        <v>11</v>
      </c>
      <c r="K246" s="3">
        <v>7</v>
      </c>
      <c r="L246" s="3">
        <v>3</v>
      </c>
      <c r="M246" s="3">
        <v>3</v>
      </c>
      <c r="N246" s="3" t="s">
        <v>12</v>
      </c>
      <c r="O246" s="3" t="s">
        <v>13</v>
      </c>
      <c r="P246" s="3">
        <v>4</v>
      </c>
      <c r="Q246" s="3">
        <v>2</v>
      </c>
      <c r="R246" s="4" t="s">
        <v>14</v>
      </c>
      <c r="S246" s="4" t="s">
        <v>14</v>
      </c>
      <c r="T246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247" spans="1:20" ht="18" x14ac:dyDescent="0.35">
      <c r="A247" s="3" t="s">
        <v>290</v>
      </c>
      <c r="B247" s="3" t="str">
        <f>IF(Table1[[#This Row],[Age]]&lt;25,"Under 25",IF(Table1[[#This Row],[Age]]&lt;35,"25-34",IF(Table1[[#This Row],[Age]]&lt;45,"35-44",IF(Table1[[#This Row],[Age]]&lt;55,"45-54","55+"))))</f>
        <v>25-34</v>
      </c>
      <c r="C247" s="3">
        <v>25</v>
      </c>
      <c r="D247" s="3" t="s">
        <v>7</v>
      </c>
      <c r="E247" s="3" t="s">
        <v>8</v>
      </c>
      <c r="F247" s="3" t="s">
        <v>23</v>
      </c>
      <c r="G247" s="3" t="s">
        <v>10</v>
      </c>
      <c r="H247" s="3" t="s">
        <v>42</v>
      </c>
      <c r="I247" s="3">
        <v>58795</v>
      </c>
      <c r="J247" s="3">
        <v>1</v>
      </c>
      <c r="K247" s="3">
        <v>1</v>
      </c>
      <c r="L247" s="3">
        <v>3</v>
      </c>
      <c r="M247" s="3">
        <v>4</v>
      </c>
      <c r="N247" s="3" t="s">
        <v>14</v>
      </c>
      <c r="O247" s="3" t="s">
        <v>13</v>
      </c>
      <c r="P247" s="3">
        <v>2</v>
      </c>
      <c r="Q247" s="3">
        <v>3</v>
      </c>
      <c r="R247" s="4" t="s">
        <v>14</v>
      </c>
      <c r="S247" s="4" t="s">
        <v>14</v>
      </c>
      <c r="T247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248" spans="1:20" ht="18" x14ac:dyDescent="0.35">
      <c r="A248" s="3" t="s">
        <v>291</v>
      </c>
      <c r="B248" s="3" t="str">
        <f>IF(Table1[[#This Row],[Age]]&lt;25,"Under 25",IF(Table1[[#This Row],[Age]]&lt;35,"25-34",IF(Table1[[#This Row],[Age]]&lt;45,"35-44",IF(Table1[[#This Row],[Age]]&lt;55,"45-54","55+"))))</f>
        <v>35-44</v>
      </c>
      <c r="C248" s="3">
        <v>36</v>
      </c>
      <c r="D248" s="3" t="s">
        <v>22</v>
      </c>
      <c r="E248" s="3" t="s">
        <v>8</v>
      </c>
      <c r="F248" s="3" t="s">
        <v>9</v>
      </c>
      <c r="G248" s="3" t="s">
        <v>10</v>
      </c>
      <c r="H248" s="3" t="s">
        <v>42</v>
      </c>
      <c r="I248" s="3">
        <v>61012</v>
      </c>
      <c r="J248" s="3">
        <v>2</v>
      </c>
      <c r="K248" s="3">
        <v>1</v>
      </c>
      <c r="L248" s="3">
        <v>2</v>
      </c>
      <c r="M248" s="3">
        <v>4</v>
      </c>
      <c r="N248" s="3" t="s">
        <v>14</v>
      </c>
      <c r="O248" s="3" t="s">
        <v>20</v>
      </c>
      <c r="P248" s="3">
        <v>2</v>
      </c>
      <c r="Q248" s="3">
        <v>1</v>
      </c>
      <c r="R248" s="4" t="s">
        <v>14</v>
      </c>
      <c r="S248" s="4" t="s">
        <v>14</v>
      </c>
      <c r="T248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249" spans="1:20" ht="18" x14ac:dyDescent="0.35">
      <c r="A249" s="3" t="s">
        <v>292</v>
      </c>
      <c r="B249" s="3" t="str">
        <f>IF(Table1[[#This Row],[Age]]&lt;25,"Under 25",IF(Table1[[#This Row],[Age]]&lt;35,"25-34",IF(Table1[[#This Row],[Age]]&lt;45,"35-44",IF(Table1[[#This Row],[Age]]&lt;55,"45-54","55+"))))</f>
        <v>25-34</v>
      </c>
      <c r="C249" s="3">
        <v>34</v>
      </c>
      <c r="D249" s="3" t="s">
        <v>22</v>
      </c>
      <c r="E249" s="3" t="s">
        <v>31</v>
      </c>
      <c r="F249" s="3" t="s">
        <v>32</v>
      </c>
      <c r="G249" s="3" t="s">
        <v>25</v>
      </c>
      <c r="H249" s="3" t="s">
        <v>11</v>
      </c>
      <c r="I249" s="3">
        <v>79450</v>
      </c>
      <c r="J249" s="3">
        <v>4</v>
      </c>
      <c r="K249" s="3">
        <v>0</v>
      </c>
      <c r="L249" s="3">
        <v>4</v>
      </c>
      <c r="M249" s="3">
        <v>1</v>
      </c>
      <c r="N249" s="3" t="s">
        <v>14</v>
      </c>
      <c r="O249" s="3" t="s">
        <v>13</v>
      </c>
      <c r="P249" s="3">
        <v>3</v>
      </c>
      <c r="Q249" s="3">
        <v>3</v>
      </c>
      <c r="R249" s="4" t="s">
        <v>14</v>
      </c>
      <c r="S249" s="4" t="s">
        <v>14</v>
      </c>
      <c r="T249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250" spans="1:20" ht="18" x14ac:dyDescent="0.35">
      <c r="A250" s="3" t="s">
        <v>293</v>
      </c>
      <c r="B250" s="3" t="str">
        <f>IF(Table1[[#This Row],[Age]]&lt;25,"Under 25",IF(Table1[[#This Row],[Age]]&lt;35,"25-34",IF(Table1[[#This Row],[Age]]&lt;45,"35-44",IF(Table1[[#This Row],[Age]]&lt;55,"45-54","55+"))))</f>
        <v>25-34</v>
      </c>
      <c r="C250" s="3">
        <v>33</v>
      </c>
      <c r="D250" s="3" t="s">
        <v>7</v>
      </c>
      <c r="E250" s="3" t="s">
        <v>51</v>
      </c>
      <c r="F250" s="3" t="s">
        <v>52</v>
      </c>
      <c r="G250" s="3" t="s">
        <v>10</v>
      </c>
      <c r="H250" s="3" t="s">
        <v>11</v>
      </c>
      <c r="I250" s="3">
        <v>72742</v>
      </c>
      <c r="J250" s="3">
        <v>7</v>
      </c>
      <c r="K250" s="3">
        <v>2</v>
      </c>
      <c r="L250" s="3">
        <v>2</v>
      </c>
      <c r="M250" s="3">
        <v>4</v>
      </c>
      <c r="N250" s="3" t="s">
        <v>14</v>
      </c>
      <c r="O250" s="3" t="s">
        <v>13</v>
      </c>
      <c r="P250" s="3">
        <v>3</v>
      </c>
      <c r="Q250" s="3">
        <v>1</v>
      </c>
      <c r="R250" s="4" t="s">
        <v>14</v>
      </c>
      <c r="S250" s="4" t="s">
        <v>14</v>
      </c>
      <c r="T250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251" spans="1:20" ht="18" x14ac:dyDescent="0.35">
      <c r="A251" s="3" t="s">
        <v>294</v>
      </c>
      <c r="B251" s="3" t="str">
        <f>IF(Table1[[#This Row],[Age]]&lt;25,"Under 25",IF(Table1[[#This Row],[Age]]&lt;35,"25-34",IF(Table1[[#This Row],[Age]]&lt;45,"35-44",IF(Table1[[#This Row],[Age]]&lt;55,"45-54","55+"))))</f>
        <v>45-54</v>
      </c>
      <c r="C251" s="3">
        <v>47</v>
      </c>
      <c r="D251" s="3" t="s">
        <v>7</v>
      </c>
      <c r="E251" s="3" t="s">
        <v>51</v>
      </c>
      <c r="F251" s="3" t="s">
        <v>52</v>
      </c>
      <c r="G251" s="3" t="s">
        <v>18</v>
      </c>
      <c r="H251" s="3" t="s">
        <v>11</v>
      </c>
      <c r="I251" s="3">
        <v>48260</v>
      </c>
      <c r="J251" s="3">
        <v>4</v>
      </c>
      <c r="K251" s="3">
        <v>3</v>
      </c>
      <c r="L251" s="3">
        <v>3</v>
      </c>
      <c r="M251" s="3">
        <v>3</v>
      </c>
      <c r="N251" s="3" t="s">
        <v>14</v>
      </c>
      <c r="O251" s="3" t="s">
        <v>20</v>
      </c>
      <c r="P251" s="3">
        <v>3</v>
      </c>
      <c r="Q251" s="3">
        <v>6</v>
      </c>
      <c r="R251" s="4" t="s">
        <v>14</v>
      </c>
      <c r="S251" s="4" t="s">
        <v>14</v>
      </c>
      <c r="T251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252" spans="1:20" ht="18" x14ac:dyDescent="0.35">
      <c r="A252" s="3" t="s">
        <v>295</v>
      </c>
      <c r="B252" s="3" t="str">
        <f>IF(Table1[[#This Row],[Age]]&lt;25,"Under 25",IF(Table1[[#This Row],[Age]]&lt;35,"25-34",IF(Table1[[#This Row],[Age]]&lt;45,"35-44",IF(Table1[[#This Row],[Age]]&lt;55,"45-54","55+"))))</f>
        <v>35-44</v>
      </c>
      <c r="C252" s="3">
        <v>40</v>
      </c>
      <c r="D252" s="3" t="s">
        <v>22</v>
      </c>
      <c r="E252" s="3" t="s">
        <v>16</v>
      </c>
      <c r="F252" s="3" t="s">
        <v>28</v>
      </c>
      <c r="G252" s="3" t="s">
        <v>18</v>
      </c>
      <c r="H252" s="3" t="s">
        <v>19</v>
      </c>
      <c r="I252" s="3">
        <v>37366</v>
      </c>
      <c r="J252" s="3">
        <v>15</v>
      </c>
      <c r="K252" s="3">
        <v>9</v>
      </c>
      <c r="L252" s="3">
        <v>3</v>
      </c>
      <c r="M252" s="3">
        <v>2</v>
      </c>
      <c r="N252" s="3" t="s">
        <v>12</v>
      </c>
      <c r="O252" s="3" t="s">
        <v>13</v>
      </c>
      <c r="P252" s="3">
        <v>3</v>
      </c>
      <c r="Q252" s="3">
        <v>6</v>
      </c>
      <c r="R252" s="4" t="s">
        <v>14</v>
      </c>
      <c r="S252" s="4" t="s">
        <v>14</v>
      </c>
      <c r="T252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253" spans="1:20" ht="18" x14ac:dyDescent="0.35">
      <c r="A253" s="3" t="s">
        <v>296</v>
      </c>
      <c r="B253" s="3" t="str">
        <f>IF(Table1[[#This Row],[Age]]&lt;25,"Under 25",IF(Table1[[#This Row],[Age]]&lt;35,"25-34",IF(Table1[[#This Row],[Age]]&lt;45,"35-44",IF(Table1[[#This Row],[Age]]&lt;55,"45-54","55+"))))</f>
        <v>25-34</v>
      </c>
      <c r="C253" s="3">
        <v>30</v>
      </c>
      <c r="D253" s="3" t="s">
        <v>22</v>
      </c>
      <c r="E253" s="3" t="s">
        <v>34</v>
      </c>
      <c r="F253" s="3" t="s">
        <v>54</v>
      </c>
      <c r="G253" s="3" t="s">
        <v>25</v>
      </c>
      <c r="H253" s="3" t="s">
        <v>11</v>
      </c>
      <c r="I253" s="3">
        <v>72472</v>
      </c>
      <c r="J253" s="3">
        <v>11</v>
      </c>
      <c r="K253" s="3">
        <v>2</v>
      </c>
      <c r="L253" s="3">
        <v>4</v>
      </c>
      <c r="M253" s="3">
        <v>3</v>
      </c>
      <c r="N253" s="3" t="s">
        <v>14</v>
      </c>
      <c r="O253" s="3" t="s">
        <v>13</v>
      </c>
      <c r="P253" s="3">
        <v>3</v>
      </c>
      <c r="Q253" s="3">
        <v>1</v>
      </c>
      <c r="R253" s="4" t="s">
        <v>12</v>
      </c>
      <c r="S253" s="4" t="s">
        <v>14</v>
      </c>
      <c r="T253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254" spans="1:20" ht="18" x14ac:dyDescent="0.35">
      <c r="A254" s="3" t="s">
        <v>297</v>
      </c>
      <c r="B254" s="3" t="str">
        <f>IF(Table1[[#This Row],[Age]]&lt;25,"Under 25",IF(Table1[[#This Row],[Age]]&lt;35,"25-34",IF(Table1[[#This Row],[Age]]&lt;45,"35-44",IF(Table1[[#This Row],[Age]]&lt;55,"45-54","55+"))))</f>
        <v>25-34</v>
      </c>
      <c r="C254" s="3">
        <v>28</v>
      </c>
      <c r="D254" s="3" t="s">
        <v>22</v>
      </c>
      <c r="E254" s="3" t="s">
        <v>34</v>
      </c>
      <c r="F254" s="3" t="s">
        <v>54</v>
      </c>
      <c r="G254" s="3" t="s">
        <v>25</v>
      </c>
      <c r="H254" s="3" t="s">
        <v>19</v>
      </c>
      <c r="I254" s="3">
        <v>63909</v>
      </c>
      <c r="J254" s="3">
        <v>10</v>
      </c>
      <c r="K254" s="3">
        <v>8</v>
      </c>
      <c r="L254" s="3">
        <v>2</v>
      </c>
      <c r="M254" s="3">
        <v>3</v>
      </c>
      <c r="N254" s="3" t="s">
        <v>14</v>
      </c>
      <c r="O254" s="3" t="s">
        <v>26</v>
      </c>
      <c r="P254" s="3">
        <v>3</v>
      </c>
      <c r="Q254" s="3">
        <v>0</v>
      </c>
      <c r="R254" s="4" t="s">
        <v>14</v>
      </c>
      <c r="S254" s="4" t="s">
        <v>14</v>
      </c>
      <c r="T254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255" spans="1:20" ht="18" x14ac:dyDescent="0.35">
      <c r="A255" s="3" t="s">
        <v>298</v>
      </c>
      <c r="B255" s="3" t="str">
        <f>IF(Table1[[#This Row],[Age]]&lt;25,"Under 25",IF(Table1[[#This Row],[Age]]&lt;35,"25-34",IF(Table1[[#This Row],[Age]]&lt;45,"35-44",IF(Table1[[#This Row],[Age]]&lt;55,"45-54","55+"))))</f>
        <v>45-54</v>
      </c>
      <c r="C255" s="3">
        <v>46</v>
      </c>
      <c r="D255" s="3" t="s">
        <v>22</v>
      </c>
      <c r="E255" s="3" t="s">
        <v>34</v>
      </c>
      <c r="F255" s="3" t="s">
        <v>150</v>
      </c>
      <c r="G255" s="3" t="s">
        <v>25</v>
      </c>
      <c r="H255" s="3" t="s">
        <v>11</v>
      </c>
      <c r="I255" s="3">
        <v>82734</v>
      </c>
      <c r="J255" s="3">
        <v>24</v>
      </c>
      <c r="K255" s="3">
        <v>4</v>
      </c>
      <c r="L255" s="3">
        <v>3</v>
      </c>
      <c r="M255" s="3">
        <v>1</v>
      </c>
      <c r="N255" s="3" t="s">
        <v>14</v>
      </c>
      <c r="O255" s="3" t="s">
        <v>13</v>
      </c>
      <c r="P255" s="3">
        <v>3</v>
      </c>
      <c r="Q255" s="3">
        <v>2</v>
      </c>
      <c r="R255" s="4" t="s">
        <v>14</v>
      </c>
      <c r="S255" s="4" t="s">
        <v>12</v>
      </c>
      <c r="T255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256" spans="1:20" ht="18" x14ac:dyDescent="0.35">
      <c r="A256" s="3" t="s">
        <v>299</v>
      </c>
      <c r="B256" s="3" t="str">
        <f>IF(Table1[[#This Row],[Age]]&lt;25,"Under 25",IF(Table1[[#This Row],[Age]]&lt;35,"25-34",IF(Table1[[#This Row],[Age]]&lt;45,"35-44",IF(Table1[[#This Row],[Age]]&lt;55,"45-54","55+"))))</f>
        <v>35-44</v>
      </c>
      <c r="C256" s="3">
        <v>41</v>
      </c>
      <c r="D256" s="3" t="s">
        <v>7</v>
      </c>
      <c r="E256" s="3" t="s">
        <v>34</v>
      </c>
      <c r="F256" s="3" t="s">
        <v>91</v>
      </c>
      <c r="G256" s="3" t="s">
        <v>10</v>
      </c>
      <c r="H256" s="3" t="s">
        <v>11</v>
      </c>
      <c r="I256" s="3">
        <v>49570</v>
      </c>
      <c r="J256" s="3">
        <v>23</v>
      </c>
      <c r="K256" s="3">
        <v>8</v>
      </c>
      <c r="L256" s="3">
        <v>2</v>
      </c>
      <c r="M256" s="3">
        <v>2</v>
      </c>
      <c r="N256" s="3" t="s">
        <v>14</v>
      </c>
      <c r="O256" s="3" t="s">
        <v>13</v>
      </c>
      <c r="P256" s="3">
        <v>3</v>
      </c>
      <c r="Q256" s="3">
        <v>5</v>
      </c>
      <c r="R256" s="4" t="s">
        <v>14</v>
      </c>
      <c r="S256" s="4" t="s">
        <v>14</v>
      </c>
      <c r="T256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257" spans="1:20" ht="18" x14ac:dyDescent="0.35">
      <c r="A257" s="3" t="s">
        <v>300</v>
      </c>
      <c r="B257" s="3" t="str">
        <f>IF(Table1[[#This Row],[Age]]&lt;25,"Under 25",IF(Table1[[#This Row],[Age]]&lt;35,"25-34",IF(Table1[[#This Row],[Age]]&lt;45,"35-44",IF(Table1[[#This Row],[Age]]&lt;55,"45-54","55+"))))</f>
        <v>35-44</v>
      </c>
      <c r="C257" s="3">
        <v>40</v>
      </c>
      <c r="D257" s="3" t="s">
        <v>7</v>
      </c>
      <c r="E257" s="3" t="s">
        <v>8</v>
      </c>
      <c r="F257" s="3" t="s">
        <v>9</v>
      </c>
      <c r="G257" s="3" t="s">
        <v>10</v>
      </c>
      <c r="H257" s="3" t="s">
        <v>11</v>
      </c>
      <c r="I257" s="3">
        <v>50638</v>
      </c>
      <c r="J257" s="3">
        <v>16</v>
      </c>
      <c r="K257" s="3">
        <v>10</v>
      </c>
      <c r="L257" s="3">
        <v>3</v>
      </c>
      <c r="M257" s="3">
        <v>3</v>
      </c>
      <c r="N257" s="3" t="s">
        <v>12</v>
      </c>
      <c r="O257" s="3" t="s">
        <v>13</v>
      </c>
      <c r="P257" s="3">
        <v>3</v>
      </c>
      <c r="Q257" s="3">
        <v>6</v>
      </c>
      <c r="R257" s="4" t="s">
        <v>14</v>
      </c>
      <c r="S257" s="4" t="s">
        <v>14</v>
      </c>
      <c r="T257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258" spans="1:20" ht="18" x14ac:dyDescent="0.35">
      <c r="A258" s="3" t="s">
        <v>301</v>
      </c>
      <c r="B258" s="3" t="str">
        <f>IF(Table1[[#This Row],[Age]]&lt;25,"Under 25",IF(Table1[[#This Row],[Age]]&lt;35,"25-34",IF(Table1[[#This Row],[Age]]&lt;45,"35-44",IF(Table1[[#This Row],[Age]]&lt;55,"45-54","55+"))))</f>
        <v>25-34</v>
      </c>
      <c r="C258" s="3">
        <v>32</v>
      </c>
      <c r="D258" s="3" t="s">
        <v>22</v>
      </c>
      <c r="E258" s="3" t="s">
        <v>38</v>
      </c>
      <c r="F258" s="3" t="s">
        <v>39</v>
      </c>
      <c r="G258" s="3" t="s">
        <v>10</v>
      </c>
      <c r="H258" s="3" t="s">
        <v>11</v>
      </c>
      <c r="I258" s="3">
        <v>96308</v>
      </c>
      <c r="J258" s="3">
        <v>6</v>
      </c>
      <c r="K258" s="3">
        <v>4</v>
      </c>
      <c r="L258" s="3">
        <v>2</v>
      </c>
      <c r="M258" s="3">
        <v>4</v>
      </c>
      <c r="N258" s="3" t="s">
        <v>14</v>
      </c>
      <c r="O258" s="3" t="s">
        <v>13</v>
      </c>
      <c r="P258" s="3">
        <v>3</v>
      </c>
      <c r="Q258" s="3">
        <v>5</v>
      </c>
      <c r="R258" s="4" t="s">
        <v>14</v>
      </c>
      <c r="S258" s="4" t="s">
        <v>14</v>
      </c>
      <c r="T258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259" spans="1:20" ht="18" x14ac:dyDescent="0.35">
      <c r="A259" s="3" t="s">
        <v>302</v>
      </c>
      <c r="B259" s="3" t="str">
        <f>IF(Table1[[#This Row],[Age]]&lt;25,"Under 25",IF(Table1[[#This Row],[Age]]&lt;35,"25-34",IF(Table1[[#This Row],[Age]]&lt;45,"35-44",IF(Table1[[#This Row],[Age]]&lt;55,"45-54","55+"))))</f>
        <v>35-44</v>
      </c>
      <c r="C259" s="3">
        <v>35</v>
      </c>
      <c r="D259" s="3" t="s">
        <v>22</v>
      </c>
      <c r="E259" s="3" t="s">
        <v>16</v>
      </c>
      <c r="F259" s="3" t="s">
        <v>28</v>
      </c>
      <c r="G259" s="3" t="s">
        <v>25</v>
      </c>
      <c r="H259" s="3" t="s">
        <v>42</v>
      </c>
      <c r="I259" s="3">
        <v>73853</v>
      </c>
      <c r="J259" s="3">
        <v>12</v>
      </c>
      <c r="K259" s="3">
        <v>11</v>
      </c>
      <c r="L259" s="3">
        <v>2</v>
      </c>
      <c r="M259" s="3">
        <v>1</v>
      </c>
      <c r="N259" s="3" t="s">
        <v>14</v>
      </c>
      <c r="O259" s="3" t="s">
        <v>13</v>
      </c>
      <c r="P259" s="3">
        <v>3</v>
      </c>
      <c r="Q259" s="3">
        <v>6</v>
      </c>
      <c r="R259" s="4" t="s">
        <v>14</v>
      </c>
      <c r="S259" s="4" t="s">
        <v>14</v>
      </c>
      <c r="T259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260" spans="1:20" ht="18" x14ac:dyDescent="0.35">
      <c r="A260" s="3" t="s">
        <v>303</v>
      </c>
      <c r="B260" s="3" t="str">
        <f>IF(Table1[[#This Row],[Age]]&lt;25,"Under 25",IF(Table1[[#This Row],[Age]]&lt;35,"25-34",IF(Table1[[#This Row],[Age]]&lt;45,"35-44",IF(Table1[[#This Row],[Age]]&lt;55,"45-54","55+"))))</f>
        <v>Under 25</v>
      </c>
      <c r="C260" s="3">
        <v>21</v>
      </c>
      <c r="D260" s="3" t="s">
        <v>7</v>
      </c>
      <c r="E260" s="3" t="s">
        <v>16</v>
      </c>
      <c r="F260" s="3" t="s">
        <v>28</v>
      </c>
      <c r="G260" s="3" t="s">
        <v>45</v>
      </c>
      <c r="H260" s="3" t="s">
        <v>11</v>
      </c>
      <c r="I260" s="3">
        <v>108417</v>
      </c>
      <c r="J260" s="3">
        <v>1</v>
      </c>
      <c r="K260" s="3">
        <v>0</v>
      </c>
      <c r="L260" s="3">
        <v>2</v>
      </c>
      <c r="M260" s="3">
        <v>1</v>
      </c>
      <c r="N260" s="3" t="s">
        <v>12</v>
      </c>
      <c r="O260" s="3" t="s">
        <v>13</v>
      </c>
      <c r="P260" s="3">
        <v>3</v>
      </c>
      <c r="Q260" s="3">
        <v>1</v>
      </c>
      <c r="R260" s="4" t="s">
        <v>14</v>
      </c>
      <c r="S260" s="4" t="s">
        <v>14</v>
      </c>
      <c r="T260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261" spans="1:20" ht="18" x14ac:dyDescent="0.35">
      <c r="A261" s="3" t="s">
        <v>304</v>
      </c>
      <c r="B261" s="3" t="str">
        <f>IF(Table1[[#This Row],[Age]]&lt;25,"Under 25",IF(Table1[[#This Row],[Age]]&lt;35,"25-34",IF(Table1[[#This Row],[Age]]&lt;45,"35-44",IF(Table1[[#This Row],[Age]]&lt;55,"45-54","55+"))))</f>
        <v>55+</v>
      </c>
      <c r="C261" s="3">
        <v>56</v>
      </c>
      <c r="D261" s="3" t="s">
        <v>7</v>
      </c>
      <c r="E261" s="3" t="s">
        <v>8</v>
      </c>
      <c r="F261" s="3" t="s">
        <v>9</v>
      </c>
      <c r="G261" s="3" t="s">
        <v>45</v>
      </c>
      <c r="H261" s="3" t="s">
        <v>19</v>
      </c>
      <c r="I261" s="3">
        <v>80803</v>
      </c>
      <c r="J261" s="3">
        <v>20</v>
      </c>
      <c r="K261" s="3">
        <v>6</v>
      </c>
      <c r="L261" s="3">
        <v>4</v>
      </c>
      <c r="M261" s="3">
        <v>4</v>
      </c>
      <c r="N261" s="3" t="s">
        <v>14</v>
      </c>
      <c r="O261" s="3" t="s">
        <v>20</v>
      </c>
      <c r="P261" s="3">
        <v>4</v>
      </c>
      <c r="Q261" s="3">
        <v>4</v>
      </c>
      <c r="R261" s="4" t="s">
        <v>14</v>
      </c>
      <c r="S261" s="4" t="s">
        <v>14</v>
      </c>
      <c r="T261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262" spans="1:20" ht="18" x14ac:dyDescent="0.35">
      <c r="A262" s="3" t="s">
        <v>305</v>
      </c>
      <c r="B262" s="3" t="str">
        <f>IF(Table1[[#This Row],[Age]]&lt;25,"Under 25",IF(Table1[[#This Row],[Age]]&lt;35,"25-34",IF(Table1[[#This Row],[Age]]&lt;45,"35-44",IF(Table1[[#This Row],[Age]]&lt;55,"45-54","55+"))))</f>
        <v>25-34</v>
      </c>
      <c r="C262" s="3">
        <v>29</v>
      </c>
      <c r="D262" s="3" t="s">
        <v>22</v>
      </c>
      <c r="E262" s="3" t="s">
        <v>34</v>
      </c>
      <c r="F262" s="3" t="s">
        <v>35</v>
      </c>
      <c r="G262" s="3" t="s">
        <v>18</v>
      </c>
      <c r="H262" s="3" t="s">
        <v>19</v>
      </c>
      <c r="I262" s="3">
        <v>76491</v>
      </c>
      <c r="J262" s="3">
        <v>0</v>
      </c>
      <c r="K262" s="3">
        <v>0</v>
      </c>
      <c r="L262" s="3">
        <v>1</v>
      </c>
      <c r="M262" s="3">
        <v>2</v>
      </c>
      <c r="N262" s="3" t="s">
        <v>14</v>
      </c>
      <c r="O262" s="3" t="s">
        <v>13</v>
      </c>
      <c r="P262" s="3">
        <v>3</v>
      </c>
      <c r="Q262" s="3">
        <v>1</v>
      </c>
      <c r="R262" s="4" t="s">
        <v>14</v>
      </c>
      <c r="S262" s="4" t="s">
        <v>14</v>
      </c>
      <c r="T262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Less than 1 Year</v>
      </c>
    </row>
    <row r="263" spans="1:20" ht="18" x14ac:dyDescent="0.35">
      <c r="A263" s="3" t="s">
        <v>306</v>
      </c>
      <c r="B263" s="3" t="str">
        <f>IF(Table1[[#This Row],[Age]]&lt;25,"Under 25",IF(Table1[[#This Row],[Age]]&lt;35,"25-34",IF(Table1[[#This Row],[Age]]&lt;45,"35-44",IF(Table1[[#This Row],[Age]]&lt;55,"45-54","55+"))))</f>
        <v>35-44</v>
      </c>
      <c r="C263" s="3">
        <v>41</v>
      </c>
      <c r="D263" s="3" t="s">
        <v>22</v>
      </c>
      <c r="E263" s="3" t="s">
        <v>34</v>
      </c>
      <c r="F263" s="3" t="s">
        <v>150</v>
      </c>
      <c r="G263" s="3" t="s">
        <v>25</v>
      </c>
      <c r="H263" s="3" t="s">
        <v>11</v>
      </c>
      <c r="I263" s="3">
        <v>75016</v>
      </c>
      <c r="J263" s="3">
        <v>6</v>
      </c>
      <c r="K263" s="3">
        <v>0</v>
      </c>
      <c r="L263" s="3">
        <v>3</v>
      </c>
      <c r="M263" s="3">
        <v>3</v>
      </c>
      <c r="N263" s="3" t="s">
        <v>12</v>
      </c>
      <c r="O263" s="3" t="s">
        <v>20</v>
      </c>
      <c r="P263" s="3">
        <v>3</v>
      </c>
      <c r="Q263" s="3">
        <v>5</v>
      </c>
      <c r="R263" s="4" t="s">
        <v>14</v>
      </c>
      <c r="S263" s="4" t="s">
        <v>12</v>
      </c>
      <c r="T263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264" spans="1:20" ht="18" x14ac:dyDescent="0.35">
      <c r="A264" s="3" t="s">
        <v>307</v>
      </c>
      <c r="B264" s="3" t="str">
        <f>IF(Table1[[#This Row],[Age]]&lt;25,"Under 25",IF(Table1[[#This Row],[Age]]&lt;35,"25-34",IF(Table1[[#This Row],[Age]]&lt;45,"35-44",IF(Table1[[#This Row],[Age]]&lt;55,"45-54","55+"))))</f>
        <v>35-44</v>
      </c>
      <c r="C264" s="3">
        <v>40</v>
      </c>
      <c r="D264" s="3" t="s">
        <v>7</v>
      </c>
      <c r="E264" s="3" t="s">
        <v>34</v>
      </c>
      <c r="F264" s="3" t="s">
        <v>91</v>
      </c>
      <c r="G264" s="3" t="s">
        <v>10</v>
      </c>
      <c r="H264" s="3" t="s">
        <v>11</v>
      </c>
      <c r="I264" s="3">
        <v>56754</v>
      </c>
      <c r="J264" s="3">
        <v>6</v>
      </c>
      <c r="K264" s="3">
        <v>5</v>
      </c>
      <c r="L264" s="3">
        <v>3</v>
      </c>
      <c r="M264" s="3">
        <v>3</v>
      </c>
      <c r="N264" s="3" t="s">
        <v>14</v>
      </c>
      <c r="O264" s="3" t="s">
        <v>13</v>
      </c>
      <c r="P264" s="3">
        <v>3</v>
      </c>
      <c r="Q264" s="3">
        <v>5</v>
      </c>
      <c r="R264" s="4" t="s">
        <v>14</v>
      </c>
      <c r="S264" s="4" t="s">
        <v>14</v>
      </c>
      <c r="T264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265" spans="1:20" ht="18" x14ac:dyDescent="0.35">
      <c r="A265" s="3" t="s">
        <v>308</v>
      </c>
      <c r="B265" s="3" t="str">
        <f>IF(Table1[[#This Row],[Age]]&lt;25,"Under 25",IF(Table1[[#This Row],[Age]]&lt;35,"25-34",IF(Table1[[#This Row],[Age]]&lt;45,"35-44",IF(Table1[[#This Row],[Age]]&lt;55,"45-54","55+"))))</f>
        <v>25-34</v>
      </c>
      <c r="C265" s="3">
        <v>32</v>
      </c>
      <c r="D265" s="3" t="s">
        <v>7</v>
      </c>
      <c r="E265" s="3" t="s">
        <v>51</v>
      </c>
      <c r="F265" s="3" t="s">
        <v>80</v>
      </c>
      <c r="G265" s="3" t="s">
        <v>25</v>
      </c>
      <c r="H265" s="3" t="s">
        <v>42</v>
      </c>
      <c r="I265" s="3">
        <v>84799</v>
      </c>
      <c r="J265" s="3">
        <v>8</v>
      </c>
      <c r="K265" s="3">
        <v>4</v>
      </c>
      <c r="L265" s="3">
        <v>3</v>
      </c>
      <c r="M265" s="3">
        <v>3</v>
      </c>
      <c r="N265" s="3" t="s">
        <v>14</v>
      </c>
      <c r="O265" s="3" t="s">
        <v>20</v>
      </c>
      <c r="P265" s="3">
        <v>3</v>
      </c>
      <c r="Q265" s="3">
        <v>2</v>
      </c>
      <c r="R265" s="4" t="s">
        <v>14</v>
      </c>
      <c r="S265" s="4" t="s">
        <v>14</v>
      </c>
      <c r="T265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266" spans="1:20" ht="18" x14ac:dyDescent="0.35">
      <c r="A266" s="3" t="s">
        <v>309</v>
      </c>
      <c r="B266" s="3" t="str">
        <f>IF(Table1[[#This Row],[Age]]&lt;25,"Under 25",IF(Table1[[#This Row],[Age]]&lt;35,"25-34",IF(Table1[[#This Row],[Age]]&lt;45,"35-44",IF(Table1[[#This Row],[Age]]&lt;55,"45-54","55+"))))</f>
        <v>35-44</v>
      </c>
      <c r="C266" s="3">
        <v>38</v>
      </c>
      <c r="D266" s="3" t="s">
        <v>22</v>
      </c>
      <c r="E266" s="3" t="s">
        <v>31</v>
      </c>
      <c r="F266" s="3" t="s">
        <v>74</v>
      </c>
      <c r="G266" s="3" t="s">
        <v>10</v>
      </c>
      <c r="H266" s="3" t="s">
        <v>19</v>
      </c>
      <c r="I266" s="3">
        <v>55229</v>
      </c>
      <c r="J266" s="3">
        <v>15</v>
      </c>
      <c r="K266" s="3">
        <v>6</v>
      </c>
      <c r="L266" s="3">
        <v>3</v>
      </c>
      <c r="M266" s="3">
        <v>2</v>
      </c>
      <c r="N266" s="3" t="s">
        <v>14</v>
      </c>
      <c r="O266" s="3" t="s">
        <v>13</v>
      </c>
      <c r="P266" s="3">
        <v>3</v>
      </c>
      <c r="Q266" s="3">
        <v>1</v>
      </c>
      <c r="R266" s="4" t="s">
        <v>14</v>
      </c>
      <c r="S266" s="4" t="s">
        <v>14</v>
      </c>
      <c r="T266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267" spans="1:20" ht="18" x14ac:dyDescent="0.35">
      <c r="A267" s="3" t="s">
        <v>310</v>
      </c>
      <c r="B267" s="3" t="str">
        <f>IF(Table1[[#This Row],[Age]]&lt;25,"Under 25",IF(Table1[[#This Row],[Age]]&lt;35,"25-34",IF(Table1[[#This Row],[Age]]&lt;45,"35-44",IF(Table1[[#This Row],[Age]]&lt;55,"45-54","55+"))))</f>
        <v>35-44</v>
      </c>
      <c r="C267" s="3">
        <v>38</v>
      </c>
      <c r="D267" s="3" t="s">
        <v>22</v>
      </c>
      <c r="E267" s="3" t="s">
        <v>31</v>
      </c>
      <c r="F267" s="3" t="s">
        <v>74</v>
      </c>
      <c r="G267" s="3" t="s">
        <v>18</v>
      </c>
      <c r="H267" s="3" t="s">
        <v>19</v>
      </c>
      <c r="I267" s="3">
        <v>88990</v>
      </c>
      <c r="J267" s="3">
        <v>18</v>
      </c>
      <c r="K267" s="3">
        <v>8</v>
      </c>
      <c r="L267" s="3">
        <v>4</v>
      </c>
      <c r="M267" s="3">
        <v>2</v>
      </c>
      <c r="N267" s="3" t="s">
        <v>14</v>
      </c>
      <c r="O267" s="3" t="s">
        <v>13</v>
      </c>
      <c r="P267" s="3">
        <v>3</v>
      </c>
      <c r="Q267" s="3">
        <v>4</v>
      </c>
      <c r="R267" s="4" t="s">
        <v>14</v>
      </c>
      <c r="S267" s="4" t="s">
        <v>14</v>
      </c>
      <c r="T267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268" spans="1:20" ht="18" x14ac:dyDescent="0.35">
      <c r="A268" s="3" t="s">
        <v>311</v>
      </c>
      <c r="B268" s="3" t="str">
        <f>IF(Table1[[#This Row],[Age]]&lt;25,"Under 25",IF(Table1[[#This Row],[Age]]&lt;35,"25-34",IF(Table1[[#This Row],[Age]]&lt;45,"35-44",IF(Table1[[#This Row],[Age]]&lt;55,"45-54","55+"))))</f>
        <v>35-44</v>
      </c>
      <c r="C268" s="3">
        <v>35</v>
      </c>
      <c r="D268" s="3" t="s">
        <v>7</v>
      </c>
      <c r="E268" s="3" t="s">
        <v>38</v>
      </c>
      <c r="F268" s="3" t="s">
        <v>89</v>
      </c>
      <c r="G268" s="3" t="s">
        <v>10</v>
      </c>
      <c r="H268" s="3" t="s">
        <v>42</v>
      </c>
      <c r="I268" s="3">
        <v>54156</v>
      </c>
      <c r="J268" s="3">
        <v>7</v>
      </c>
      <c r="K268" s="3">
        <v>1</v>
      </c>
      <c r="L268" s="3">
        <v>3</v>
      </c>
      <c r="M268" s="3">
        <v>3</v>
      </c>
      <c r="N268" s="3" t="s">
        <v>12</v>
      </c>
      <c r="O268" s="3" t="s">
        <v>13</v>
      </c>
      <c r="P268" s="3">
        <v>3</v>
      </c>
      <c r="Q268" s="3">
        <v>6</v>
      </c>
      <c r="R268" s="4" t="s">
        <v>14</v>
      </c>
      <c r="S268" s="4" t="s">
        <v>12</v>
      </c>
      <c r="T268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269" spans="1:20" ht="18" x14ac:dyDescent="0.35">
      <c r="A269" s="3" t="s">
        <v>312</v>
      </c>
      <c r="B269" s="3" t="str">
        <f>IF(Table1[[#This Row],[Age]]&lt;25,"Under 25",IF(Table1[[#This Row],[Age]]&lt;35,"25-34",IF(Table1[[#This Row],[Age]]&lt;45,"35-44",IF(Table1[[#This Row],[Age]]&lt;55,"45-54","55+"))))</f>
        <v>25-34</v>
      </c>
      <c r="C269" s="3">
        <v>32</v>
      </c>
      <c r="D269" s="3" t="s">
        <v>22</v>
      </c>
      <c r="E269" s="3" t="s">
        <v>34</v>
      </c>
      <c r="F269" s="3" t="s">
        <v>35</v>
      </c>
      <c r="G269" s="3" t="s">
        <v>10</v>
      </c>
      <c r="H269" s="3" t="s">
        <v>11</v>
      </c>
      <c r="I269" s="3">
        <v>60145</v>
      </c>
      <c r="J269" s="3">
        <v>12</v>
      </c>
      <c r="K269" s="3">
        <v>8</v>
      </c>
      <c r="L269" s="3">
        <v>3</v>
      </c>
      <c r="M269" s="3">
        <v>4</v>
      </c>
      <c r="N269" s="3" t="s">
        <v>14</v>
      </c>
      <c r="O269" s="3" t="s">
        <v>13</v>
      </c>
      <c r="P269" s="3">
        <v>3</v>
      </c>
      <c r="Q269" s="3">
        <v>6</v>
      </c>
      <c r="R269" s="4" t="s">
        <v>14</v>
      </c>
      <c r="S269" s="4" t="s">
        <v>14</v>
      </c>
      <c r="T269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270" spans="1:20" ht="18" x14ac:dyDescent="0.35">
      <c r="A270" s="3" t="s">
        <v>313</v>
      </c>
      <c r="B270" s="3" t="str">
        <f>IF(Table1[[#This Row],[Age]]&lt;25,"Under 25",IF(Table1[[#This Row],[Age]]&lt;35,"25-34",IF(Table1[[#This Row],[Age]]&lt;45,"35-44",IF(Table1[[#This Row],[Age]]&lt;55,"45-54","55+"))))</f>
        <v>25-34</v>
      </c>
      <c r="C270" s="3">
        <v>31</v>
      </c>
      <c r="D270" s="3" t="s">
        <v>22</v>
      </c>
      <c r="E270" s="3" t="s">
        <v>51</v>
      </c>
      <c r="F270" s="3" t="s">
        <v>52</v>
      </c>
      <c r="G270" s="3" t="s">
        <v>25</v>
      </c>
      <c r="H270" s="3" t="s">
        <v>11</v>
      </c>
      <c r="I270" s="3">
        <v>63618</v>
      </c>
      <c r="J270" s="3">
        <v>5</v>
      </c>
      <c r="K270" s="3">
        <v>0</v>
      </c>
      <c r="L270" s="3">
        <v>3</v>
      </c>
      <c r="M270" s="3">
        <v>4</v>
      </c>
      <c r="N270" s="3" t="s">
        <v>14</v>
      </c>
      <c r="O270" s="3" t="s">
        <v>13</v>
      </c>
      <c r="P270" s="3">
        <v>4</v>
      </c>
      <c r="Q270" s="3">
        <v>5</v>
      </c>
      <c r="R270" s="4" t="s">
        <v>14</v>
      </c>
      <c r="S270" s="4" t="s">
        <v>14</v>
      </c>
      <c r="T270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271" spans="1:20" ht="18" x14ac:dyDescent="0.35">
      <c r="A271" s="3" t="s">
        <v>314</v>
      </c>
      <c r="B271" s="3" t="str">
        <f>IF(Table1[[#This Row],[Age]]&lt;25,"Under 25",IF(Table1[[#This Row],[Age]]&lt;35,"25-34",IF(Table1[[#This Row],[Age]]&lt;45,"35-44",IF(Table1[[#This Row],[Age]]&lt;55,"45-54","55+"))))</f>
        <v>35-44</v>
      </c>
      <c r="C271" s="3">
        <v>36</v>
      </c>
      <c r="D271" s="3" t="s">
        <v>7</v>
      </c>
      <c r="E271" s="3" t="s">
        <v>8</v>
      </c>
      <c r="F271" s="3" t="s">
        <v>66</v>
      </c>
      <c r="G271" s="3" t="s">
        <v>25</v>
      </c>
      <c r="H271" s="3" t="s">
        <v>11</v>
      </c>
      <c r="I271" s="3">
        <v>43715</v>
      </c>
      <c r="J271" s="3">
        <v>9</v>
      </c>
      <c r="K271" s="3">
        <v>2</v>
      </c>
      <c r="L271" s="3">
        <v>3</v>
      </c>
      <c r="M271" s="3">
        <v>4</v>
      </c>
      <c r="N271" s="3" t="s">
        <v>14</v>
      </c>
      <c r="O271" s="3" t="s">
        <v>13</v>
      </c>
      <c r="P271" s="3">
        <v>3</v>
      </c>
      <c r="Q271" s="3">
        <v>5</v>
      </c>
      <c r="R271" s="4" t="s">
        <v>12</v>
      </c>
      <c r="S271" s="4" t="s">
        <v>14</v>
      </c>
      <c r="T271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272" spans="1:20" ht="18" x14ac:dyDescent="0.35">
      <c r="A272" s="3" t="s">
        <v>315</v>
      </c>
      <c r="B272" s="3" t="str">
        <f>IF(Table1[[#This Row],[Age]]&lt;25,"Under 25",IF(Table1[[#This Row],[Age]]&lt;35,"25-34",IF(Table1[[#This Row],[Age]]&lt;45,"35-44",IF(Table1[[#This Row],[Age]]&lt;55,"45-54","55+"))))</f>
        <v>45-54</v>
      </c>
      <c r="C272" s="3">
        <v>49</v>
      </c>
      <c r="D272" s="3" t="s">
        <v>22</v>
      </c>
      <c r="E272" s="3" t="s">
        <v>31</v>
      </c>
      <c r="F272" s="3" t="s">
        <v>32</v>
      </c>
      <c r="G272" s="3" t="s">
        <v>18</v>
      </c>
      <c r="H272" s="3" t="s">
        <v>11</v>
      </c>
      <c r="I272" s="3">
        <v>66891</v>
      </c>
      <c r="J272" s="3">
        <v>0</v>
      </c>
      <c r="K272" s="3">
        <v>0</v>
      </c>
      <c r="L272" s="3">
        <v>3</v>
      </c>
      <c r="M272" s="3">
        <v>3</v>
      </c>
      <c r="N272" s="3" t="s">
        <v>14</v>
      </c>
      <c r="O272" s="3" t="s">
        <v>26</v>
      </c>
      <c r="P272" s="3">
        <v>2</v>
      </c>
      <c r="Q272" s="3">
        <v>6</v>
      </c>
      <c r="R272" s="4" t="s">
        <v>14</v>
      </c>
      <c r="S272" s="4" t="s">
        <v>14</v>
      </c>
      <c r="T272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Less than 1 Year</v>
      </c>
    </row>
    <row r="273" spans="1:20" ht="18" x14ac:dyDescent="0.35">
      <c r="A273" s="3" t="s">
        <v>316</v>
      </c>
      <c r="B273" s="3" t="str">
        <f>IF(Table1[[#This Row],[Age]]&lt;25,"Under 25",IF(Table1[[#This Row],[Age]]&lt;35,"25-34",IF(Table1[[#This Row],[Age]]&lt;45,"35-44",IF(Table1[[#This Row],[Age]]&lt;55,"45-54","55+"))))</f>
        <v>35-44</v>
      </c>
      <c r="C273" s="3">
        <v>35</v>
      </c>
      <c r="D273" s="3" t="s">
        <v>7</v>
      </c>
      <c r="E273" s="3" t="s">
        <v>16</v>
      </c>
      <c r="F273" s="3" t="s">
        <v>47</v>
      </c>
      <c r="G273" s="3" t="s">
        <v>25</v>
      </c>
      <c r="H273" s="3" t="s">
        <v>19</v>
      </c>
      <c r="I273" s="3">
        <v>73685</v>
      </c>
      <c r="J273" s="3">
        <v>1</v>
      </c>
      <c r="K273" s="3">
        <v>1</v>
      </c>
      <c r="L273" s="3">
        <v>4</v>
      </c>
      <c r="M273" s="3">
        <v>4</v>
      </c>
      <c r="N273" s="3" t="s">
        <v>14</v>
      </c>
      <c r="O273" s="3" t="s">
        <v>26</v>
      </c>
      <c r="P273" s="3">
        <v>3</v>
      </c>
      <c r="Q273" s="3">
        <v>2</v>
      </c>
      <c r="R273" s="4" t="s">
        <v>14</v>
      </c>
      <c r="S273" s="4" t="s">
        <v>14</v>
      </c>
      <c r="T273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274" spans="1:20" ht="18" x14ac:dyDescent="0.35">
      <c r="A274" s="3" t="s">
        <v>317</v>
      </c>
      <c r="B274" s="3" t="str">
        <f>IF(Table1[[#This Row],[Age]]&lt;25,"Under 25",IF(Table1[[#This Row],[Age]]&lt;35,"25-34",IF(Table1[[#This Row],[Age]]&lt;45,"35-44",IF(Table1[[#This Row],[Age]]&lt;55,"45-54","55+"))))</f>
        <v>25-34</v>
      </c>
      <c r="C274" s="3">
        <v>26</v>
      </c>
      <c r="D274" s="3" t="s">
        <v>7</v>
      </c>
      <c r="E274" s="3" t="s">
        <v>16</v>
      </c>
      <c r="F274" s="3" t="s">
        <v>28</v>
      </c>
      <c r="G274" s="3" t="s">
        <v>25</v>
      </c>
      <c r="H274" s="3" t="s">
        <v>19</v>
      </c>
      <c r="I274" s="3">
        <v>38337</v>
      </c>
      <c r="J274" s="3">
        <v>8</v>
      </c>
      <c r="K274" s="3">
        <v>2</v>
      </c>
      <c r="L274" s="3">
        <v>1</v>
      </c>
      <c r="M274" s="3">
        <v>3</v>
      </c>
      <c r="N274" s="3" t="s">
        <v>14</v>
      </c>
      <c r="O274" s="3" t="s">
        <v>13</v>
      </c>
      <c r="P274" s="3">
        <v>3</v>
      </c>
      <c r="Q274" s="3">
        <v>4</v>
      </c>
      <c r="R274" s="4" t="s">
        <v>12</v>
      </c>
      <c r="S274" s="4" t="s">
        <v>14</v>
      </c>
      <c r="T274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275" spans="1:20" ht="18" x14ac:dyDescent="0.35">
      <c r="A275" s="3" t="s">
        <v>318</v>
      </c>
      <c r="B275" s="3" t="str">
        <f>IF(Table1[[#This Row],[Age]]&lt;25,"Under 25",IF(Table1[[#This Row],[Age]]&lt;35,"25-34",IF(Table1[[#This Row],[Age]]&lt;45,"35-44",IF(Table1[[#This Row],[Age]]&lt;55,"45-54","55+"))))</f>
        <v>35-44</v>
      </c>
      <c r="C275" s="3">
        <v>35</v>
      </c>
      <c r="D275" s="3" t="s">
        <v>22</v>
      </c>
      <c r="E275" s="3" t="s">
        <v>16</v>
      </c>
      <c r="F275" s="3" t="s">
        <v>47</v>
      </c>
      <c r="G275" s="3" t="s">
        <v>25</v>
      </c>
      <c r="H275" s="3" t="s">
        <v>42</v>
      </c>
      <c r="I275" s="3">
        <v>43416</v>
      </c>
      <c r="J275" s="3">
        <v>0</v>
      </c>
      <c r="K275" s="3">
        <v>0</v>
      </c>
      <c r="L275" s="3">
        <v>3</v>
      </c>
      <c r="M275" s="3">
        <v>1</v>
      </c>
      <c r="N275" s="3" t="s">
        <v>14</v>
      </c>
      <c r="O275" s="3" t="s">
        <v>13</v>
      </c>
      <c r="P275" s="3">
        <v>3</v>
      </c>
      <c r="Q275" s="3">
        <v>0</v>
      </c>
      <c r="R275" s="4" t="s">
        <v>12</v>
      </c>
      <c r="S275" s="4" t="s">
        <v>14</v>
      </c>
      <c r="T275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Less than 1 Year</v>
      </c>
    </row>
    <row r="276" spans="1:20" ht="18" x14ac:dyDescent="0.35">
      <c r="A276" s="3" t="s">
        <v>319</v>
      </c>
      <c r="B276" s="3" t="str">
        <f>IF(Table1[[#This Row],[Age]]&lt;25,"Under 25",IF(Table1[[#This Row],[Age]]&lt;35,"25-34",IF(Table1[[#This Row],[Age]]&lt;45,"35-44",IF(Table1[[#This Row],[Age]]&lt;55,"45-54","55+"))))</f>
        <v>35-44</v>
      </c>
      <c r="C276" s="3">
        <v>37</v>
      </c>
      <c r="D276" s="3" t="s">
        <v>22</v>
      </c>
      <c r="E276" s="3" t="s">
        <v>38</v>
      </c>
      <c r="F276" s="3" t="s">
        <v>59</v>
      </c>
      <c r="G276" s="3" t="s">
        <v>10</v>
      </c>
      <c r="H276" s="3" t="s">
        <v>19</v>
      </c>
      <c r="I276" s="3">
        <v>79575</v>
      </c>
      <c r="J276" s="3">
        <v>19</v>
      </c>
      <c r="K276" s="3">
        <v>9</v>
      </c>
      <c r="L276" s="3">
        <v>2</v>
      </c>
      <c r="M276" s="3">
        <v>1</v>
      </c>
      <c r="N276" s="3" t="s">
        <v>14</v>
      </c>
      <c r="O276" s="3" t="s">
        <v>13</v>
      </c>
      <c r="P276" s="3">
        <v>3</v>
      </c>
      <c r="Q276" s="3">
        <v>0</v>
      </c>
      <c r="R276" s="4" t="s">
        <v>14</v>
      </c>
      <c r="S276" s="4" t="s">
        <v>14</v>
      </c>
      <c r="T276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277" spans="1:20" ht="18" x14ac:dyDescent="0.35">
      <c r="A277" s="3" t="s">
        <v>320</v>
      </c>
      <c r="B277" s="3" t="str">
        <f>IF(Table1[[#This Row],[Age]]&lt;25,"Under 25",IF(Table1[[#This Row],[Age]]&lt;35,"25-34",IF(Table1[[#This Row],[Age]]&lt;45,"35-44",IF(Table1[[#This Row],[Age]]&lt;55,"45-54","55+"))))</f>
        <v>Under 25</v>
      </c>
      <c r="C277" s="3">
        <v>24</v>
      </c>
      <c r="D277" s="3" t="s">
        <v>22</v>
      </c>
      <c r="E277" s="3" t="s">
        <v>51</v>
      </c>
      <c r="F277" s="3" t="s">
        <v>72</v>
      </c>
      <c r="G277" s="3" t="s">
        <v>25</v>
      </c>
      <c r="H277" s="3" t="s">
        <v>11</v>
      </c>
      <c r="I277" s="3">
        <v>59629</v>
      </c>
      <c r="J277" s="3">
        <v>0</v>
      </c>
      <c r="K277" s="3">
        <v>0</v>
      </c>
      <c r="L277" s="3">
        <v>2</v>
      </c>
      <c r="M277" s="3">
        <v>3</v>
      </c>
      <c r="N277" s="3" t="s">
        <v>14</v>
      </c>
      <c r="O277" s="3" t="s">
        <v>13</v>
      </c>
      <c r="P277" s="3">
        <v>4</v>
      </c>
      <c r="Q277" s="3">
        <v>3</v>
      </c>
      <c r="R277" s="4" t="s">
        <v>12</v>
      </c>
      <c r="S277" s="4" t="s">
        <v>14</v>
      </c>
      <c r="T277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Less than 1 Year</v>
      </c>
    </row>
    <row r="278" spans="1:20" ht="18" x14ac:dyDescent="0.35">
      <c r="A278" s="3" t="s">
        <v>321</v>
      </c>
      <c r="B278" s="3" t="str">
        <f>IF(Table1[[#This Row],[Age]]&lt;25,"Under 25",IF(Table1[[#This Row],[Age]]&lt;35,"25-34",IF(Table1[[#This Row],[Age]]&lt;45,"35-44",IF(Table1[[#This Row],[Age]]&lt;55,"45-54","55+"))))</f>
        <v>Under 25</v>
      </c>
      <c r="C278" s="3">
        <v>23</v>
      </c>
      <c r="D278" s="3" t="s">
        <v>7</v>
      </c>
      <c r="E278" s="3" t="s">
        <v>16</v>
      </c>
      <c r="F278" s="3" t="s">
        <v>17</v>
      </c>
      <c r="G278" s="3" t="s">
        <v>25</v>
      </c>
      <c r="H278" s="3" t="s">
        <v>19</v>
      </c>
      <c r="I278" s="3">
        <v>48378</v>
      </c>
      <c r="J278" s="3">
        <v>5</v>
      </c>
      <c r="K278" s="3">
        <v>1</v>
      </c>
      <c r="L278" s="3">
        <v>2</v>
      </c>
      <c r="M278" s="3">
        <v>4</v>
      </c>
      <c r="N278" s="3" t="s">
        <v>12</v>
      </c>
      <c r="O278" s="3" t="s">
        <v>20</v>
      </c>
      <c r="P278" s="3">
        <v>3</v>
      </c>
      <c r="Q278" s="3">
        <v>4</v>
      </c>
      <c r="R278" s="4" t="s">
        <v>14</v>
      </c>
      <c r="S278" s="4" t="s">
        <v>14</v>
      </c>
      <c r="T278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279" spans="1:20" ht="18" x14ac:dyDescent="0.35">
      <c r="A279" s="3" t="s">
        <v>322</v>
      </c>
      <c r="B279" s="3" t="str">
        <f>IF(Table1[[#This Row],[Age]]&lt;25,"Under 25",IF(Table1[[#This Row],[Age]]&lt;35,"25-34",IF(Table1[[#This Row],[Age]]&lt;45,"35-44",IF(Table1[[#This Row],[Age]]&lt;55,"45-54","55+"))))</f>
        <v>25-34</v>
      </c>
      <c r="C279" s="3">
        <v>28</v>
      </c>
      <c r="D279" s="3" t="s">
        <v>7</v>
      </c>
      <c r="E279" s="3" t="s">
        <v>51</v>
      </c>
      <c r="F279" s="3" t="s">
        <v>52</v>
      </c>
      <c r="G279" s="3" t="s">
        <v>25</v>
      </c>
      <c r="H279" s="3" t="s">
        <v>19</v>
      </c>
      <c r="I279" s="3">
        <v>92215</v>
      </c>
      <c r="J279" s="3">
        <v>6</v>
      </c>
      <c r="K279" s="3">
        <v>4</v>
      </c>
      <c r="L279" s="3">
        <v>3</v>
      </c>
      <c r="M279" s="3">
        <v>4</v>
      </c>
      <c r="N279" s="3" t="s">
        <v>14</v>
      </c>
      <c r="O279" s="3" t="s">
        <v>13</v>
      </c>
      <c r="P279" s="3">
        <v>3</v>
      </c>
      <c r="Q279" s="3">
        <v>2</v>
      </c>
      <c r="R279" s="4" t="s">
        <v>14</v>
      </c>
      <c r="S279" s="4" t="s">
        <v>14</v>
      </c>
      <c r="T279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280" spans="1:20" ht="18" x14ac:dyDescent="0.35">
      <c r="A280" s="3" t="s">
        <v>323</v>
      </c>
      <c r="B280" s="3" t="str">
        <f>IF(Table1[[#This Row],[Age]]&lt;25,"Under 25",IF(Table1[[#This Row],[Age]]&lt;35,"25-34",IF(Table1[[#This Row],[Age]]&lt;45,"35-44",IF(Table1[[#This Row],[Age]]&lt;55,"45-54","55+"))))</f>
        <v>Under 25</v>
      </c>
      <c r="C280" s="3">
        <v>21</v>
      </c>
      <c r="D280" s="3" t="s">
        <v>7</v>
      </c>
      <c r="E280" s="3" t="s">
        <v>34</v>
      </c>
      <c r="F280" s="3" t="s">
        <v>150</v>
      </c>
      <c r="G280" s="3" t="s">
        <v>45</v>
      </c>
      <c r="H280" s="3" t="s">
        <v>11</v>
      </c>
      <c r="I280" s="3">
        <v>86631</v>
      </c>
      <c r="J280" s="3">
        <v>1</v>
      </c>
      <c r="K280" s="3">
        <v>1</v>
      </c>
      <c r="L280" s="3">
        <v>3</v>
      </c>
      <c r="M280" s="3">
        <v>3</v>
      </c>
      <c r="N280" s="3" t="s">
        <v>12</v>
      </c>
      <c r="O280" s="3" t="s">
        <v>20</v>
      </c>
      <c r="P280" s="3">
        <v>3</v>
      </c>
      <c r="Q280" s="3">
        <v>2</v>
      </c>
      <c r="R280" s="4" t="s">
        <v>14</v>
      </c>
      <c r="S280" s="4" t="s">
        <v>14</v>
      </c>
      <c r="T280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281" spans="1:20" ht="18" x14ac:dyDescent="0.35">
      <c r="A281" s="3" t="s">
        <v>324</v>
      </c>
      <c r="B281" s="3" t="str">
        <f>IF(Table1[[#This Row],[Age]]&lt;25,"Under 25",IF(Table1[[#This Row],[Age]]&lt;35,"25-34",IF(Table1[[#This Row],[Age]]&lt;45,"35-44",IF(Table1[[#This Row],[Age]]&lt;55,"45-54","55+"))))</f>
        <v>Under 25</v>
      </c>
      <c r="C281" s="3">
        <v>22</v>
      </c>
      <c r="D281" s="3" t="s">
        <v>22</v>
      </c>
      <c r="E281" s="3" t="s">
        <v>16</v>
      </c>
      <c r="F281" s="3" t="s">
        <v>17</v>
      </c>
      <c r="G281" s="3" t="s">
        <v>25</v>
      </c>
      <c r="H281" s="3" t="s">
        <v>11</v>
      </c>
      <c r="I281" s="3">
        <v>70161</v>
      </c>
      <c r="J281" s="3">
        <v>2</v>
      </c>
      <c r="K281" s="3">
        <v>0</v>
      </c>
      <c r="L281" s="3">
        <v>3</v>
      </c>
      <c r="M281" s="3">
        <v>4</v>
      </c>
      <c r="N281" s="3" t="s">
        <v>14</v>
      </c>
      <c r="O281" s="3" t="s">
        <v>13</v>
      </c>
      <c r="P281" s="3">
        <v>3</v>
      </c>
      <c r="Q281" s="3">
        <v>5</v>
      </c>
      <c r="R281" s="4" t="s">
        <v>14</v>
      </c>
      <c r="S281" s="4" t="s">
        <v>14</v>
      </c>
      <c r="T281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282" spans="1:20" ht="18" x14ac:dyDescent="0.35">
      <c r="A282" s="3" t="s">
        <v>325</v>
      </c>
      <c r="B282" s="3" t="str">
        <f>IF(Table1[[#This Row],[Age]]&lt;25,"Under 25",IF(Table1[[#This Row],[Age]]&lt;35,"25-34",IF(Table1[[#This Row],[Age]]&lt;45,"35-44",IF(Table1[[#This Row],[Age]]&lt;55,"45-54","55+"))))</f>
        <v>25-34</v>
      </c>
      <c r="C282" s="3">
        <v>28</v>
      </c>
      <c r="D282" s="3" t="s">
        <v>7</v>
      </c>
      <c r="E282" s="3" t="s">
        <v>51</v>
      </c>
      <c r="F282" s="3" t="s">
        <v>52</v>
      </c>
      <c r="G282" s="3" t="s">
        <v>18</v>
      </c>
      <c r="H282" s="3" t="s">
        <v>19</v>
      </c>
      <c r="I282" s="3">
        <v>40272</v>
      </c>
      <c r="J282" s="3">
        <v>10</v>
      </c>
      <c r="K282" s="3">
        <v>4</v>
      </c>
      <c r="L282" s="3">
        <v>2</v>
      </c>
      <c r="M282" s="3">
        <v>3</v>
      </c>
      <c r="N282" s="3" t="s">
        <v>14</v>
      </c>
      <c r="O282" s="3" t="s">
        <v>13</v>
      </c>
      <c r="P282" s="3">
        <v>4</v>
      </c>
      <c r="Q282" s="3">
        <v>2</v>
      </c>
      <c r="R282" s="4" t="s">
        <v>14</v>
      </c>
      <c r="S282" s="4" t="s">
        <v>12</v>
      </c>
      <c r="T282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283" spans="1:20" ht="18" x14ac:dyDescent="0.35">
      <c r="A283" s="3" t="s">
        <v>326</v>
      </c>
      <c r="B283" s="3" t="str">
        <f>IF(Table1[[#This Row],[Age]]&lt;25,"Under 25",IF(Table1[[#This Row],[Age]]&lt;35,"25-34",IF(Table1[[#This Row],[Age]]&lt;45,"35-44",IF(Table1[[#This Row],[Age]]&lt;55,"45-54","55+"))))</f>
        <v>Under 25</v>
      </c>
      <c r="C283" s="3">
        <v>24</v>
      </c>
      <c r="D283" s="3" t="s">
        <v>22</v>
      </c>
      <c r="E283" s="3" t="s">
        <v>8</v>
      </c>
      <c r="F283" s="3" t="s">
        <v>9</v>
      </c>
      <c r="G283" s="3" t="s">
        <v>10</v>
      </c>
      <c r="H283" s="3" t="s">
        <v>19</v>
      </c>
      <c r="I283" s="3">
        <v>84694</v>
      </c>
      <c r="J283" s="3">
        <v>5</v>
      </c>
      <c r="K283" s="3">
        <v>0</v>
      </c>
      <c r="L283" s="3">
        <v>3</v>
      </c>
      <c r="M283" s="3">
        <v>3</v>
      </c>
      <c r="N283" s="3" t="s">
        <v>14</v>
      </c>
      <c r="O283" s="3" t="s">
        <v>20</v>
      </c>
      <c r="P283" s="3">
        <v>3</v>
      </c>
      <c r="Q283" s="3">
        <v>1</v>
      </c>
      <c r="R283" s="4" t="s">
        <v>14</v>
      </c>
      <c r="S283" s="4" t="s">
        <v>14</v>
      </c>
      <c r="T283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284" spans="1:20" ht="18" x14ac:dyDescent="0.35">
      <c r="A284" s="3" t="s">
        <v>327</v>
      </c>
      <c r="B284" s="3" t="str">
        <f>IF(Table1[[#This Row],[Age]]&lt;25,"Under 25",IF(Table1[[#This Row],[Age]]&lt;35,"25-34",IF(Table1[[#This Row],[Age]]&lt;45,"35-44",IF(Table1[[#This Row],[Age]]&lt;55,"45-54","55+"))))</f>
        <v>45-54</v>
      </c>
      <c r="C284" s="3">
        <v>48</v>
      </c>
      <c r="D284" s="3" t="s">
        <v>22</v>
      </c>
      <c r="E284" s="3" t="s">
        <v>8</v>
      </c>
      <c r="F284" s="3" t="s">
        <v>66</v>
      </c>
      <c r="G284" s="3" t="s">
        <v>25</v>
      </c>
      <c r="H284" s="3" t="s">
        <v>11</v>
      </c>
      <c r="I284" s="3">
        <v>62513</v>
      </c>
      <c r="J284" s="3">
        <v>15</v>
      </c>
      <c r="K284" s="3">
        <v>11</v>
      </c>
      <c r="L284" s="3">
        <v>2</v>
      </c>
      <c r="M284" s="3">
        <v>4</v>
      </c>
      <c r="N284" s="3" t="s">
        <v>12</v>
      </c>
      <c r="O284" s="3" t="s">
        <v>13</v>
      </c>
      <c r="P284" s="3">
        <v>3</v>
      </c>
      <c r="Q284" s="3">
        <v>2</v>
      </c>
      <c r="R284" s="4" t="s">
        <v>14</v>
      </c>
      <c r="S284" s="4" t="s">
        <v>14</v>
      </c>
      <c r="T284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285" spans="1:20" ht="18" x14ac:dyDescent="0.35">
      <c r="A285" s="3" t="s">
        <v>328</v>
      </c>
      <c r="B285" s="3" t="str">
        <f>IF(Table1[[#This Row],[Age]]&lt;25,"Under 25",IF(Table1[[#This Row],[Age]]&lt;35,"25-34",IF(Table1[[#This Row],[Age]]&lt;45,"35-44",IF(Table1[[#This Row],[Age]]&lt;55,"45-54","55+"))))</f>
        <v>25-34</v>
      </c>
      <c r="C285" s="3">
        <v>33</v>
      </c>
      <c r="D285" s="3" t="s">
        <v>22</v>
      </c>
      <c r="E285" s="3" t="s">
        <v>38</v>
      </c>
      <c r="F285" s="3" t="s">
        <v>89</v>
      </c>
      <c r="G285" s="3" t="s">
        <v>25</v>
      </c>
      <c r="H285" s="3" t="s">
        <v>11</v>
      </c>
      <c r="I285" s="3">
        <v>38065</v>
      </c>
      <c r="J285" s="3">
        <v>12</v>
      </c>
      <c r="K285" s="3">
        <v>5</v>
      </c>
      <c r="L285" s="3">
        <v>2</v>
      </c>
      <c r="M285" s="3">
        <v>3</v>
      </c>
      <c r="N285" s="3" t="s">
        <v>14</v>
      </c>
      <c r="O285" s="3" t="s">
        <v>20</v>
      </c>
      <c r="P285" s="3">
        <v>4</v>
      </c>
      <c r="Q285" s="3">
        <v>2</v>
      </c>
      <c r="R285" s="4" t="s">
        <v>14</v>
      </c>
      <c r="S285" s="4" t="s">
        <v>14</v>
      </c>
      <c r="T285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286" spans="1:20" ht="18" x14ac:dyDescent="0.35">
      <c r="A286" s="3" t="s">
        <v>329</v>
      </c>
      <c r="B286" s="3" t="str">
        <f>IF(Table1[[#This Row],[Age]]&lt;25,"Under 25",IF(Table1[[#This Row],[Age]]&lt;35,"25-34",IF(Table1[[#This Row],[Age]]&lt;45,"35-44",IF(Table1[[#This Row],[Age]]&lt;55,"45-54","55+"))))</f>
        <v>25-34</v>
      </c>
      <c r="C286" s="3">
        <v>34</v>
      </c>
      <c r="D286" s="3" t="s">
        <v>22</v>
      </c>
      <c r="E286" s="3" t="s">
        <v>16</v>
      </c>
      <c r="F286" s="3" t="s">
        <v>17</v>
      </c>
      <c r="G286" s="3" t="s">
        <v>10</v>
      </c>
      <c r="H286" s="3" t="s">
        <v>11</v>
      </c>
      <c r="I286" s="3">
        <v>43822</v>
      </c>
      <c r="J286" s="3">
        <v>1</v>
      </c>
      <c r="K286" s="3">
        <v>1</v>
      </c>
      <c r="L286" s="3">
        <v>4</v>
      </c>
      <c r="M286" s="3">
        <v>3</v>
      </c>
      <c r="N286" s="3" t="s">
        <v>14</v>
      </c>
      <c r="O286" s="3" t="s">
        <v>26</v>
      </c>
      <c r="P286" s="3">
        <v>3</v>
      </c>
      <c r="Q286" s="3">
        <v>3</v>
      </c>
      <c r="R286" s="4" t="s">
        <v>14</v>
      </c>
      <c r="S286" s="4" t="s">
        <v>12</v>
      </c>
      <c r="T286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287" spans="1:20" ht="18" x14ac:dyDescent="0.35">
      <c r="A287" s="3" t="s">
        <v>330</v>
      </c>
      <c r="B287" s="3" t="str">
        <f>IF(Table1[[#This Row],[Age]]&lt;25,"Under 25",IF(Table1[[#This Row],[Age]]&lt;35,"25-34",IF(Table1[[#This Row],[Age]]&lt;45,"35-44",IF(Table1[[#This Row],[Age]]&lt;55,"45-54","55+"))))</f>
        <v>25-34</v>
      </c>
      <c r="C287" s="3">
        <v>31</v>
      </c>
      <c r="D287" s="3" t="s">
        <v>7</v>
      </c>
      <c r="E287" s="3" t="s">
        <v>34</v>
      </c>
      <c r="F287" s="3" t="s">
        <v>35</v>
      </c>
      <c r="G287" s="3" t="s">
        <v>10</v>
      </c>
      <c r="H287" s="3" t="s">
        <v>11</v>
      </c>
      <c r="I287" s="3">
        <v>80696</v>
      </c>
      <c r="J287" s="3">
        <v>3</v>
      </c>
      <c r="K287" s="3">
        <v>1</v>
      </c>
      <c r="L287" s="3">
        <v>3</v>
      </c>
      <c r="M287" s="3">
        <v>1</v>
      </c>
      <c r="N287" s="3" t="s">
        <v>12</v>
      </c>
      <c r="O287" s="3" t="s">
        <v>26</v>
      </c>
      <c r="P287" s="3">
        <v>3</v>
      </c>
      <c r="Q287" s="3">
        <v>3</v>
      </c>
      <c r="R287" s="4" t="s">
        <v>14</v>
      </c>
      <c r="S287" s="4" t="s">
        <v>14</v>
      </c>
      <c r="T287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288" spans="1:20" ht="18" x14ac:dyDescent="0.35">
      <c r="A288" s="3" t="s">
        <v>331</v>
      </c>
      <c r="B288" s="3" t="str">
        <f>IF(Table1[[#This Row],[Age]]&lt;25,"Under 25",IF(Table1[[#This Row],[Age]]&lt;35,"25-34",IF(Table1[[#This Row],[Age]]&lt;45,"35-44",IF(Table1[[#This Row],[Age]]&lt;55,"45-54","55+"))))</f>
        <v>Under 25</v>
      </c>
      <c r="C288" s="3">
        <v>21</v>
      </c>
      <c r="D288" s="3" t="s">
        <v>22</v>
      </c>
      <c r="E288" s="3" t="s">
        <v>51</v>
      </c>
      <c r="F288" s="3" t="s">
        <v>52</v>
      </c>
      <c r="G288" s="3" t="s">
        <v>25</v>
      </c>
      <c r="H288" s="3" t="s">
        <v>42</v>
      </c>
      <c r="I288" s="3">
        <v>61539</v>
      </c>
      <c r="J288" s="3">
        <v>2</v>
      </c>
      <c r="K288" s="3">
        <v>0</v>
      </c>
      <c r="L288" s="3">
        <v>3</v>
      </c>
      <c r="M288" s="3">
        <v>3</v>
      </c>
      <c r="N288" s="3" t="s">
        <v>12</v>
      </c>
      <c r="O288" s="3" t="s">
        <v>13</v>
      </c>
      <c r="P288" s="3">
        <v>4</v>
      </c>
      <c r="Q288" s="3">
        <v>1</v>
      </c>
      <c r="R288" s="4" t="s">
        <v>14</v>
      </c>
      <c r="S288" s="4" t="s">
        <v>14</v>
      </c>
      <c r="T288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289" spans="1:20" ht="18" x14ac:dyDescent="0.35">
      <c r="A289" s="3" t="s">
        <v>332</v>
      </c>
      <c r="B289" s="3" t="str">
        <f>IF(Table1[[#This Row],[Age]]&lt;25,"Under 25",IF(Table1[[#This Row],[Age]]&lt;35,"25-34",IF(Table1[[#This Row],[Age]]&lt;45,"35-44",IF(Table1[[#This Row],[Age]]&lt;55,"45-54","55+"))))</f>
        <v>35-44</v>
      </c>
      <c r="C289" s="3">
        <v>43</v>
      </c>
      <c r="D289" s="3" t="s">
        <v>22</v>
      </c>
      <c r="E289" s="3" t="s">
        <v>8</v>
      </c>
      <c r="F289" s="3" t="s">
        <v>23</v>
      </c>
      <c r="G289" s="3" t="s">
        <v>10</v>
      </c>
      <c r="H289" s="3" t="s">
        <v>11</v>
      </c>
      <c r="I289" s="3">
        <v>46998</v>
      </c>
      <c r="J289" s="3">
        <v>23</v>
      </c>
      <c r="K289" s="3">
        <v>10</v>
      </c>
      <c r="L289" s="3">
        <v>3</v>
      </c>
      <c r="M289" s="3">
        <v>4</v>
      </c>
      <c r="N289" s="3" t="s">
        <v>12</v>
      </c>
      <c r="O289" s="3" t="s">
        <v>26</v>
      </c>
      <c r="P289" s="3">
        <v>3</v>
      </c>
      <c r="Q289" s="3">
        <v>0</v>
      </c>
      <c r="R289" s="4" t="s">
        <v>12</v>
      </c>
      <c r="S289" s="4" t="s">
        <v>14</v>
      </c>
      <c r="T289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290" spans="1:20" ht="18" x14ac:dyDescent="0.35">
      <c r="A290" s="3" t="s">
        <v>333</v>
      </c>
      <c r="B290" s="3" t="str">
        <f>IF(Table1[[#This Row],[Age]]&lt;25,"Under 25",IF(Table1[[#This Row],[Age]]&lt;35,"25-34",IF(Table1[[#This Row],[Age]]&lt;45,"35-44",IF(Table1[[#This Row],[Age]]&lt;55,"45-54","55+"))))</f>
        <v>35-44</v>
      </c>
      <c r="C290" s="3">
        <v>38</v>
      </c>
      <c r="D290" s="3" t="s">
        <v>22</v>
      </c>
      <c r="E290" s="3" t="s">
        <v>8</v>
      </c>
      <c r="F290" s="3" t="s">
        <v>66</v>
      </c>
      <c r="G290" s="3" t="s">
        <v>10</v>
      </c>
      <c r="H290" s="3" t="s">
        <v>19</v>
      </c>
      <c r="I290" s="3">
        <v>77428</v>
      </c>
      <c r="J290" s="3">
        <v>20</v>
      </c>
      <c r="K290" s="3">
        <v>6</v>
      </c>
      <c r="L290" s="3">
        <v>4</v>
      </c>
      <c r="M290" s="3">
        <v>2</v>
      </c>
      <c r="N290" s="3" t="s">
        <v>14</v>
      </c>
      <c r="O290" s="3" t="s">
        <v>13</v>
      </c>
      <c r="P290" s="3">
        <v>3</v>
      </c>
      <c r="Q290" s="3">
        <v>5</v>
      </c>
      <c r="R290" s="4" t="s">
        <v>14</v>
      </c>
      <c r="S290" s="4" t="s">
        <v>14</v>
      </c>
      <c r="T290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291" spans="1:20" ht="18" x14ac:dyDescent="0.35">
      <c r="A291" s="3" t="s">
        <v>334</v>
      </c>
      <c r="B291" s="3" t="str">
        <f>IF(Table1[[#This Row],[Age]]&lt;25,"Under 25",IF(Table1[[#This Row],[Age]]&lt;35,"25-34",IF(Table1[[#This Row],[Age]]&lt;45,"35-44",IF(Table1[[#This Row],[Age]]&lt;55,"45-54","55+"))))</f>
        <v>35-44</v>
      </c>
      <c r="C291" s="3">
        <v>39</v>
      </c>
      <c r="D291" s="3" t="s">
        <v>22</v>
      </c>
      <c r="E291" s="3" t="s">
        <v>16</v>
      </c>
      <c r="F291" s="3" t="s">
        <v>17</v>
      </c>
      <c r="G291" s="3" t="s">
        <v>25</v>
      </c>
      <c r="H291" s="3" t="s">
        <v>19</v>
      </c>
      <c r="I291" s="3">
        <v>51607</v>
      </c>
      <c r="J291" s="3">
        <v>9</v>
      </c>
      <c r="K291" s="3">
        <v>7</v>
      </c>
      <c r="L291" s="3">
        <v>3</v>
      </c>
      <c r="M291" s="3">
        <v>2</v>
      </c>
      <c r="N291" s="3" t="s">
        <v>14</v>
      </c>
      <c r="O291" s="3" t="s">
        <v>13</v>
      </c>
      <c r="P291" s="3">
        <v>3</v>
      </c>
      <c r="Q291" s="3">
        <v>4</v>
      </c>
      <c r="R291" s="4" t="s">
        <v>12</v>
      </c>
      <c r="S291" s="4" t="s">
        <v>14</v>
      </c>
      <c r="T291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292" spans="1:20" ht="18" x14ac:dyDescent="0.35">
      <c r="A292" s="3" t="s">
        <v>335</v>
      </c>
      <c r="B292" s="3" t="str">
        <f>IF(Table1[[#This Row],[Age]]&lt;25,"Under 25",IF(Table1[[#This Row],[Age]]&lt;35,"25-34",IF(Table1[[#This Row],[Age]]&lt;45,"35-44",IF(Table1[[#This Row],[Age]]&lt;55,"45-54","55+"))))</f>
        <v>25-34</v>
      </c>
      <c r="C292" s="3">
        <v>32</v>
      </c>
      <c r="D292" s="3" t="s">
        <v>22</v>
      </c>
      <c r="E292" s="3" t="s">
        <v>34</v>
      </c>
      <c r="F292" s="3" t="s">
        <v>54</v>
      </c>
      <c r="G292" s="3" t="s">
        <v>18</v>
      </c>
      <c r="H292" s="3" t="s">
        <v>19</v>
      </c>
      <c r="I292" s="3">
        <v>43500</v>
      </c>
      <c r="J292" s="3">
        <v>12</v>
      </c>
      <c r="K292" s="3">
        <v>2</v>
      </c>
      <c r="L292" s="3">
        <v>3</v>
      </c>
      <c r="M292" s="3">
        <v>2</v>
      </c>
      <c r="N292" s="3" t="s">
        <v>14</v>
      </c>
      <c r="O292" s="3" t="s">
        <v>13</v>
      </c>
      <c r="P292" s="3">
        <v>4</v>
      </c>
      <c r="Q292" s="3">
        <v>4</v>
      </c>
      <c r="R292" s="4" t="s">
        <v>14</v>
      </c>
      <c r="S292" s="4" t="s">
        <v>14</v>
      </c>
      <c r="T292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293" spans="1:20" ht="18" x14ac:dyDescent="0.35">
      <c r="A293" s="3" t="s">
        <v>336</v>
      </c>
      <c r="B293" s="3" t="str">
        <f>IF(Table1[[#This Row],[Age]]&lt;25,"Under 25",IF(Table1[[#This Row],[Age]]&lt;35,"25-34",IF(Table1[[#This Row],[Age]]&lt;45,"35-44",IF(Table1[[#This Row],[Age]]&lt;55,"45-54","55+"))))</f>
        <v>25-34</v>
      </c>
      <c r="C293" s="3">
        <v>33</v>
      </c>
      <c r="D293" s="3" t="s">
        <v>7</v>
      </c>
      <c r="E293" s="3" t="s">
        <v>34</v>
      </c>
      <c r="F293" s="3" t="s">
        <v>35</v>
      </c>
      <c r="G293" s="3" t="s">
        <v>10</v>
      </c>
      <c r="H293" s="3" t="s">
        <v>19</v>
      </c>
      <c r="I293" s="3">
        <v>56626</v>
      </c>
      <c r="J293" s="3">
        <v>13</v>
      </c>
      <c r="K293" s="3">
        <v>8</v>
      </c>
      <c r="L293" s="3">
        <v>4</v>
      </c>
      <c r="M293" s="3">
        <v>3</v>
      </c>
      <c r="N293" s="3" t="s">
        <v>14</v>
      </c>
      <c r="O293" s="3" t="s">
        <v>13</v>
      </c>
      <c r="P293" s="3">
        <v>3</v>
      </c>
      <c r="Q293" s="3">
        <v>4</v>
      </c>
      <c r="R293" s="4" t="s">
        <v>14</v>
      </c>
      <c r="S293" s="4" t="s">
        <v>12</v>
      </c>
      <c r="T293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294" spans="1:20" ht="18" x14ac:dyDescent="0.35">
      <c r="A294" s="3" t="s">
        <v>337</v>
      </c>
      <c r="B294" s="3" t="str">
        <f>IF(Table1[[#This Row],[Age]]&lt;25,"Under 25",IF(Table1[[#This Row],[Age]]&lt;35,"25-34",IF(Table1[[#This Row],[Age]]&lt;45,"35-44",IF(Table1[[#This Row],[Age]]&lt;55,"45-54","55+"))))</f>
        <v>25-34</v>
      </c>
      <c r="C294" s="3">
        <v>30</v>
      </c>
      <c r="D294" s="3" t="s">
        <v>7</v>
      </c>
      <c r="E294" s="3" t="s">
        <v>16</v>
      </c>
      <c r="F294" s="3" t="s">
        <v>28</v>
      </c>
      <c r="G294" s="3" t="s">
        <v>10</v>
      </c>
      <c r="H294" s="3" t="s">
        <v>11</v>
      </c>
      <c r="I294" s="3">
        <v>94440</v>
      </c>
      <c r="J294" s="3">
        <v>5</v>
      </c>
      <c r="K294" s="3">
        <v>3</v>
      </c>
      <c r="L294" s="3">
        <v>1</v>
      </c>
      <c r="M294" s="3">
        <v>1</v>
      </c>
      <c r="N294" s="3" t="s">
        <v>14</v>
      </c>
      <c r="O294" s="3" t="s">
        <v>20</v>
      </c>
      <c r="P294" s="3">
        <v>3</v>
      </c>
      <c r="Q294" s="3">
        <v>4</v>
      </c>
      <c r="R294" s="4" t="s">
        <v>14</v>
      </c>
      <c r="S294" s="4" t="s">
        <v>14</v>
      </c>
      <c r="T294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295" spans="1:20" ht="18" x14ac:dyDescent="0.35">
      <c r="A295" s="3" t="s">
        <v>338</v>
      </c>
      <c r="B295" s="3" t="str">
        <f>IF(Table1[[#This Row],[Age]]&lt;25,"Under 25",IF(Table1[[#This Row],[Age]]&lt;35,"25-34",IF(Table1[[#This Row],[Age]]&lt;45,"35-44",IF(Table1[[#This Row],[Age]]&lt;55,"45-54","55+"))))</f>
        <v>35-44</v>
      </c>
      <c r="C295" s="3">
        <v>43</v>
      </c>
      <c r="D295" s="3" t="s">
        <v>7</v>
      </c>
      <c r="E295" s="3" t="s">
        <v>31</v>
      </c>
      <c r="F295" s="3" t="s">
        <v>136</v>
      </c>
      <c r="G295" s="3" t="s">
        <v>25</v>
      </c>
      <c r="H295" s="3" t="s">
        <v>11</v>
      </c>
      <c r="I295" s="3">
        <v>66620</v>
      </c>
      <c r="J295" s="3">
        <v>10</v>
      </c>
      <c r="K295" s="3">
        <v>6</v>
      </c>
      <c r="L295" s="3">
        <v>4</v>
      </c>
      <c r="M295" s="3">
        <v>3</v>
      </c>
      <c r="N295" s="3" t="s">
        <v>12</v>
      </c>
      <c r="O295" s="3" t="s">
        <v>20</v>
      </c>
      <c r="P295" s="3">
        <v>3</v>
      </c>
      <c r="Q295" s="3">
        <v>5</v>
      </c>
      <c r="R295" s="4" t="s">
        <v>12</v>
      </c>
      <c r="S295" s="4" t="s">
        <v>14</v>
      </c>
      <c r="T295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296" spans="1:20" ht="18" x14ac:dyDescent="0.35">
      <c r="A296" s="3" t="s">
        <v>339</v>
      </c>
      <c r="B296" s="3" t="str">
        <f>IF(Table1[[#This Row],[Age]]&lt;25,"Under 25",IF(Table1[[#This Row],[Age]]&lt;35,"25-34",IF(Table1[[#This Row],[Age]]&lt;45,"35-44",IF(Table1[[#This Row],[Age]]&lt;55,"45-54","55+"))))</f>
        <v>Under 25</v>
      </c>
      <c r="C296" s="3">
        <v>23</v>
      </c>
      <c r="D296" s="3" t="s">
        <v>22</v>
      </c>
      <c r="E296" s="3" t="s">
        <v>16</v>
      </c>
      <c r="F296" s="3" t="s">
        <v>47</v>
      </c>
      <c r="G296" s="3" t="s">
        <v>18</v>
      </c>
      <c r="H296" s="3" t="s">
        <v>11</v>
      </c>
      <c r="I296" s="3">
        <v>64363</v>
      </c>
      <c r="J296" s="3">
        <v>0</v>
      </c>
      <c r="K296" s="3">
        <v>0</v>
      </c>
      <c r="L296" s="3">
        <v>4</v>
      </c>
      <c r="M296" s="3">
        <v>2</v>
      </c>
      <c r="N296" s="3" t="s">
        <v>12</v>
      </c>
      <c r="O296" s="3" t="s">
        <v>13</v>
      </c>
      <c r="P296" s="3">
        <v>4</v>
      </c>
      <c r="Q296" s="3">
        <v>4</v>
      </c>
      <c r="R296" s="4" t="s">
        <v>14</v>
      </c>
      <c r="S296" s="4" t="s">
        <v>12</v>
      </c>
      <c r="T296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Less than 1 Year</v>
      </c>
    </row>
    <row r="297" spans="1:20" ht="18" x14ac:dyDescent="0.35">
      <c r="A297" s="3" t="s">
        <v>340</v>
      </c>
      <c r="B297" s="3" t="str">
        <f>IF(Table1[[#This Row],[Age]]&lt;25,"Under 25",IF(Table1[[#This Row],[Age]]&lt;35,"25-34",IF(Table1[[#This Row],[Age]]&lt;45,"35-44",IF(Table1[[#This Row],[Age]]&lt;55,"45-54","55+"))))</f>
        <v>35-44</v>
      </c>
      <c r="C297" s="3">
        <v>37</v>
      </c>
      <c r="D297" s="3" t="s">
        <v>22</v>
      </c>
      <c r="E297" s="3" t="s">
        <v>8</v>
      </c>
      <c r="F297" s="3" t="s">
        <v>66</v>
      </c>
      <c r="G297" s="3" t="s">
        <v>25</v>
      </c>
      <c r="H297" s="3" t="s">
        <v>19</v>
      </c>
      <c r="I297" s="3">
        <v>22000</v>
      </c>
      <c r="J297" s="3">
        <v>4</v>
      </c>
      <c r="K297" s="3">
        <v>2</v>
      </c>
      <c r="L297" s="3">
        <v>3</v>
      </c>
      <c r="M297" s="3">
        <v>3</v>
      </c>
      <c r="N297" s="3" t="s">
        <v>14</v>
      </c>
      <c r="O297" s="3" t="s">
        <v>13</v>
      </c>
      <c r="P297" s="3">
        <v>4</v>
      </c>
      <c r="Q297" s="3">
        <v>2</v>
      </c>
      <c r="R297" s="4" t="s">
        <v>12</v>
      </c>
      <c r="S297" s="4" t="s">
        <v>14</v>
      </c>
      <c r="T297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298" spans="1:20" ht="18" x14ac:dyDescent="0.35">
      <c r="A298" s="3" t="s">
        <v>341</v>
      </c>
      <c r="B298" s="3" t="str">
        <f>IF(Table1[[#This Row],[Age]]&lt;25,"Under 25",IF(Table1[[#This Row],[Age]]&lt;35,"25-34",IF(Table1[[#This Row],[Age]]&lt;45,"35-44",IF(Table1[[#This Row],[Age]]&lt;55,"45-54","55+"))))</f>
        <v>35-44</v>
      </c>
      <c r="C298" s="3">
        <v>37</v>
      </c>
      <c r="D298" s="3" t="s">
        <v>7</v>
      </c>
      <c r="E298" s="3" t="s">
        <v>38</v>
      </c>
      <c r="F298" s="3" t="s">
        <v>39</v>
      </c>
      <c r="G298" s="3" t="s">
        <v>25</v>
      </c>
      <c r="H298" s="3" t="s">
        <v>11</v>
      </c>
      <c r="I298" s="3">
        <v>62072</v>
      </c>
      <c r="J298" s="3">
        <v>12</v>
      </c>
      <c r="K298" s="3">
        <v>11</v>
      </c>
      <c r="L298" s="3">
        <v>4</v>
      </c>
      <c r="M298" s="3">
        <v>1</v>
      </c>
      <c r="N298" s="3" t="s">
        <v>14</v>
      </c>
      <c r="O298" s="3" t="s">
        <v>20</v>
      </c>
      <c r="P298" s="3">
        <v>3</v>
      </c>
      <c r="Q298" s="3">
        <v>5</v>
      </c>
      <c r="R298" s="4" t="s">
        <v>14</v>
      </c>
      <c r="S298" s="4" t="s">
        <v>14</v>
      </c>
      <c r="T298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299" spans="1:20" ht="18" x14ac:dyDescent="0.35">
      <c r="A299" s="3" t="s">
        <v>342</v>
      </c>
      <c r="B299" s="3" t="str">
        <f>IF(Table1[[#This Row],[Age]]&lt;25,"Under 25",IF(Table1[[#This Row],[Age]]&lt;35,"25-34",IF(Table1[[#This Row],[Age]]&lt;45,"35-44",IF(Table1[[#This Row],[Age]]&lt;55,"45-54","55+"))))</f>
        <v>25-34</v>
      </c>
      <c r="C299" s="3">
        <v>29</v>
      </c>
      <c r="D299" s="3" t="s">
        <v>22</v>
      </c>
      <c r="E299" s="3" t="s">
        <v>16</v>
      </c>
      <c r="F299" s="3" t="s">
        <v>47</v>
      </c>
      <c r="G299" s="3" t="s">
        <v>18</v>
      </c>
      <c r="H299" s="3" t="s">
        <v>19</v>
      </c>
      <c r="I299" s="3">
        <v>73739</v>
      </c>
      <c r="J299" s="3">
        <v>10</v>
      </c>
      <c r="K299" s="3">
        <v>6</v>
      </c>
      <c r="L299" s="3">
        <v>4</v>
      </c>
      <c r="M299" s="3">
        <v>4</v>
      </c>
      <c r="N299" s="3" t="s">
        <v>12</v>
      </c>
      <c r="O299" s="3" t="s">
        <v>26</v>
      </c>
      <c r="P299" s="3">
        <v>4</v>
      </c>
      <c r="Q299" s="3">
        <v>2</v>
      </c>
      <c r="R299" s="4" t="s">
        <v>14</v>
      </c>
      <c r="S299" s="4" t="s">
        <v>14</v>
      </c>
      <c r="T299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300" spans="1:20" ht="18" x14ac:dyDescent="0.35">
      <c r="A300" s="3" t="s">
        <v>343</v>
      </c>
      <c r="B300" s="3" t="str">
        <f>IF(Table1[[#This Row],[Age]]&lt;25,"Under 25",IF(Table1[[#This Row],[Age]]&lt;35,"25-34",IF(Table1[[#This Row],[Age]]&lt;45,"35-44",IF(Table1[[#This Row],[Age]]&lt;55,"45-54","55+"))))</f>
        <v>35-44</v>
      </c>
      <c r="C300" s="3">
        <v>40</v>
      </c>
      <c r="D300" s="3" t="s">
        <v>7</v>
      </c>
      <c r="E300" s="3" t="s">
        <v>16</v>
      </c>
      <c r="F300" s="3" t="s">
        <v>47</v>
      </c>
      <c r="G300" s="3" t="s">
        <v>10</v>
      </c>
      <c r="H300" s="3" t="s">
        <v>19</v>
      </c>
      <c r="I300" s="3">
        <v>46332</v>
      </c>
      <c r="J300" s="3">
        <v>11</v>
      </c>
      <c r="K300" s="3">
        <v>10</v>
      </c>
      <c r="L300" s="3">
        <v>3</v>
      </c>
      <c r="M300" s="3">
        <v>4</v>
      </c>
      <c r="N300" s="3" t="s">
        <v>12</v>
      </c>
      <c r="O300" s="3" t="s">
        <v>20</v>
      </c>
      <c r="P300" s="3">
        <v>3</v>
      </c>
      <c r="Q300" s="3">
        <v>0</v>
      </c>
      <c r="R300" s="4" t="s">
        <v>14</v>
      </c>
      <c r="S300" s="4" t="s">
        <v>12</v>
      </c>
      <c r="T300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301" spans="1:20" ht="18" x14ac:dyDescent="0.35">
      <c r="A301" s="3" t="s">
        <v>344</v>
      </c>
      <c r="B301" s="3" t="str">
        <f>IF(Table1[[#This Row],[Age]]&lt;25,"Under 25",IF(Table1[[#This Row],[Age]]&lt;35,"25-34",IF(Table1[[#This Row],[Age]]&lt;45,"35-44",IF(Table1[[#This Row],[Age]]&lt;55,"45-54","55+"))))</f>
        <v>Under 25</v>
      </c>
      <c r="C301" s="3">
        <v>21</v>
      </c>
      <c r="D301" s="3" t="s">
        <v>7</v>
      </c>
      <c r="E301" s="3" t="s">
        <v>38</v>
      </c>
      <c r="F301" s="3" t="s">
        <v>39</v>
      </c>
      <c r="G301" s="3" t="s">
        <v>25</v>
      </c>
      <c r="H301" s="3" t="s">
        <v>11</v>
      </c>
      <c r="I301" s="3">
        <v>86583</v>
      </c>
      <c r="J301" s="3">
        <v>3</v>
      </c>
      <c r="K301" s="3">
        <v>3</v>
      </c>
      <c r="L301" s="3">
        <v>3</v>
      </c>
      <c r="M301" s="3">
        <v>3</v>
      </c>
      <c r="N301" s="3" t="s">
        <v>14</v>
      </c>
      <c r="O301" s="3" t="s">
        <v>13</v>
      </c>
      <c r="P301" s="3">
        <v>3</v>
      </c>
      <c r="Q301" s="3">
        <v>6</v>
      </c>
      <c r="R301" s="4" t="s">
        <v>14</v>
      </c>
      <c r="S301" s="4" t="s">
        <v>14</v>
      </c>
      <c r="T301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302" spans="1:20" ht="18" x14ac:dyDescent="0.35">
      <c r="A302" s="3" t="s">
        <v>345</v>
      </c>
      <c r="B302" s="3" t="str">
        <f>IF(Table1[[#This Row],[Age]]&lt;25,"Under 25",IF(Table1[[#This Row],[Age]]&lt;35,"25-34",IF(Table1[[#This Row],[Age]]&lt;45,"35-44",IF(Table1[[#This Row],[Age]]&lt;55,"45-54","55+"))))</f>
        <v>35-44</v>
      </c>
      <c r="C302" s="3">
        <v>37</v>
      </c>
      <c r="D302" s="3" t="s">
        <v>7</v>
      </c>
      <c r="E302" s="3" t="s">
        <v>16</v>
      </c>
      <c r="F302" s="3" t="s">
        <v>47</v>
      </c>
      <c r="G302" s="3" t="s">
        <v>25</v>
      </c>
      <c r="H302" s="3" t="s">
        <v>19</v>
      </c>
      <c r="I302" s="3">
        <v>60949</v>
      </c>
      <c r="J302" s="3">
        <v>8</v>
      </c>
      <c r="K302" s="3">
        <v>7</v>
      </c>
      <c r="L302" s="3">
        <v>2</v>
      </c>
      <c r="M302" s="3">
        <v>3</v>
      </c>
      <c r="N302" s="3" t="s">
        <v>14</v>
      </c>
      <c r="O302" s="3" t="s">
        <v>13</v>
      </c>
      <c r="P302" s="3">
        <v>3</v>
      </c>
      <c r="Q302" s="3">
        <v>0</v>
      </c>
      <c r="R302" s="4" t="s">
        <v>14</v>
      </c>
      <c r="S302" s="4" t="s">
        <v>12</v>
      </c>
      <c r="T302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303" spans="1:20" ht="18" x14ac:dyDescent="0.35">
      <c r="A303" s="3" t="s">
        <v>346</v>
      </c>
      <c r="B303" s="3" t="str">
        <f>IF(Table1[[#This Row],[Age]]&lt;25,"Under 25",IF(Table1[[#This Row],[Age]]&lt;35,"25-34",IF(Table1[[#This Row],[Age]]&lt;45,"35-44",IF(Table1[[#This Row],[Age]]&lt;55,"45-54","55+"))))</f>
        <v>Under 25</v>
      </c>
      <c r="C303" s="3">
        <v>21</v>
      </c>
      <c r="D303" s="3" t="s">
        <v>7</v>
      </c>
      <c r="E303" s="3" t="s">
        <v>31</v>
      </c>
      <c r="F303" s="3" t="s">
        <v>74</v>
      </c>
      <c r="G303" s="3" t="s">
        <v>25</v>
      </c>
      <c r="H303" s="3" t="s">
        <v>19</v>
      </c>
      <c r="I303" s="3">
        <v>54797</v>
      </c>
      <c r="J303" s="3">
        <v>2</v>
      </c>
      <c r="K303" s="3">
        <v>2</v>
      </c>
      <c r="L303" s="3">
        <v>2</v>
      </c>
      <c r="M303" s="3">
        <v>3</v>
      </c>
      <c r="N303" s="3" t="s">
        <v>14</v>
      </c>
      <c r="O303" s="3" t="s">
        <v>13</v>
      </c>
      <c r="P303" s="3">
        <v>3</v>
      </c>
      <c r="Q303" s="3">
        <v>1</v>
      </c>
      <c r="R303" s="4" t="s">
        <v>14</v>
      </c>
      <c r="S303" s="4" t="s">
        <v>14</v>
      </c>
      <c r="T303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304" spans="1:20" ht="18" x14ac:dyDescent="0.35">
      <c r="A304" s="3" t="s">
        <v>347</v>
      </c>
      <c r="B304" s="3" t="str">
        <f>IF(Table1[[#This Row],[Age]]&lt;25,"Under 25",IF(Table1[[#This Row],[Age]]&lt;35,"25-34",IF(Table1[[#This Row],[Age]]&lt;45,"35-44",IF(Table1[[#This Row],[Age]]&lt;55,"45-54","55+"))))</f>
        <v>25-34</v>
      </c>
      <c r="C304" s="3">
        <v>32</v>
      </c>
      <c r="D304" s="3" t="s">
        <v>7</v>
      </c>
      <c r="E304" s="3" t="s">
        <v>8</v>
      </c>
      <c r="F304" s="3" t="s">
        <v>9</v>
      </c>
      <c r="G304" s="3" t="s">
        <v>25</v>
      </c>
      <c r="H304" s="3" t="s">
        <v>19</v>
      </c>
      <c r="I304" s="3">
        <v>101906</v>
      </c>
      <c r="J304" s="3">
        <v>2</v>
      </c>
      <c r="K304" s="3">
        <v>2</v>
      </c>
      <c r="L304" s="3">
        <v>1</v>
      </c>
      <c r="M304" s="3">
        <v>2</v>
      </c>
      <c r="N304" s="3" t="s">
        <v>14</v>
      </c>
      <c r="O304" s="3" t="s">
        <v>13</v>
      </c>
      <c r="P304" s="3">
        <v>4</v>
      </c>
      <c r="Q304" s="3">
        <v>5</v>
      </c>
      <c r="R304" s="4" t="s">
        <v>14</v>
      </c>
      <c r="S304" s="4" t="s">
        <v>14</v>
      </c>
      <c r="T304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305" spans="1:20" ht="18" x14ac:dyDescent="0.35">
      <c r="A305" s="3" t="s">
        <v>348</v>
      </c>
      <c r="B305" s="3" t="str">
        <f>IF(Table1[[#This Row],[Age]]&lt;25,"Under 25",IF(Table1[[#This Row],[Age]]&lt;35,"25-34",IF(Table1[[#This Row],[Age]]&lt;45,"35-44",IF(Table1[[#This Row],[Age]]&lt;55,"45-54","55+"))))</f>
        <v>35-44</v>
      </c>
      <c r="C305" s="3">
        <v>37</v>
      </c>
      <c r="D305" s="3" t="s">
        <v>7</v>
      </c>
      <c r="E305" s="3" t="s">
        <v>8</v>
      </c>
      <c r="F305" s="3" t="s">
        <v>66</v>
      </c>
      <c r="G305" s="3" t="s">
        <v>25</v>
      </c>
      <c r="H305" s="3" t="s">
        <v>19</v>
      </c>
      <c r="I305" s="3">
        <v>65955</v>
      </c>
      <c r="J305" s="3">
        <v>12</v>
      </c>
      <c r="K305" s="3">
        <v>3</v>
      </c>
      <c r="L305" s="3">
        <v>1</v>
      </c>
      <c r="M305" s="3">
        <v>1</v>
      </c>
      <c r="N305" s="3" t="s">
        <v>14</v>
      </c>
      <c r="O305" s="3" t="s">
        <v>13</v>
      </c>
      <c r="P305" s="3">
        <v>3</v>
      </c>
      <c r="Q305" s="3">
        <v>3</v>
      </c>
      <c r="R305" s="4" t="s">
        <v>14</v>
      </c>
      <c r="S305" s="4" t="s">
        <v>14</v>
      </c>
      <c r="T305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306" spans="1:20" ht="18" x14ac:dyDescent="0.35">
      <c r="A306" s="3" t="s">
        <v>349</v>
      </c>
      <c r="B306" s="3" t="str">
        <f>IF(Table1[[#This Row],[Age]]&lt;25,"Under 25",IF(Table1[[#This Row],[Age]]&lt;35,"25-34",IF(Table1[[#This Row],[Age]]&lt;45,"35-44",IF(Table1[[#This Row],[Age]]&lt;55,"45-54","55+"))))</f>
        <v>25-34</v>
      </c>
      <c r="C306" s="3">
        <v>31</v>
      </c>
      <c r="D306" s="3" t="s">
        <v>22</v>
      </c>
      <c r="E306" s="3" t="s">
        <v>16</v>
      </c>
      <c r="F306" s="3" t="s">
        <v>28</v>
      </c>
      <c r="G306" s="3" t="s">
        <v>18</v>
      </c>
      <c r="H306" s="3" t="s">
        <v>19</v>
      </c>
      <c r="I306" s="3">
        <v>75384</v>
      </c>
      <c r="J306" s="3">
        <v>3</v>
      </c>
      <c r="K306" s="3">
        <v>3</v>
      </c>
      <c r="L306" s="3">
        <v>4</v>
      </c>
      <c r="M306" s="3">
        <v>3</v>
      </c>
      <c r="N306" s="3" t="s">
        <v>14</v>
      </c>
      <c r="O306" s="3" t="s">
        <v>13</v>
      </c>
      <c r="P306" s="3">
        <v>3</v>
      </c>
      <c r="Q306" s="3">
        <v>2</v>
      </c>
      <c r="R306" s="4" t="s">
        <v>14</v>
      </c>
      <c r="S306" s="4" t="s">
        <v>14</v>
      </c>
      <c r="T306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307" spans="1:20" ht="18" x14ac:dyDescent="0.35">
      <c r="A307" s="3" t="s">
        <v>350</v>
      </c>
      <c r="B307" s="3" t="str">
        <f>IF(Table1[[#This Row],[Age]]&lt;25,"Under 25",IF(Table1[[#This Row],[Age]]&lt;35,"25-34",IF(Table1[[#This Row],[Age]]&lt;45,"35-44",IF(Table1[[#This Row],[Age]]&lt;55,"45-54","55+"))))</f>
        <v>25-34</v>
      </c>
      <c r="C307" s="3">
        <v>33</v>
      </c>
      <c r="D307" s="3" t="s">
        <v>7</v>
      </c>
      <c r="E307" s="3" t="s">
        <v>38</v>
      </c>
      <c r="F307" s="3" t="s">
        <v>39</v>
      </c>
      <c r="G307" s="3" t="s">
        <v>25</v>
      </c>
      <c r="H307" s="3" t="s">
        <v>19</v>
      </c>
      <c r="I307" s="3">
        <v>89679</v>
      </c>
      <c r="J307" s="3">
        <v>8</v>
      </c>
      <c r="K307" s="3">
        <v>0</v>
      </c>
      <c r="L307" s="3">
        <v>3</v>
      </c>
      <c r="M307" s="3">
        <v>3</v>
      </c>
      <c r="N307" s="3" t="s">
        <v>14</v>
      </c>
      <c r="O307" s="3" t="s">
        <v>26</v>
      </c>
      <c r="P307" s="3">
        <v>4</v>
      </c>
      <c r="Q307" s="3">
        <v>3</v>
      </c>
      <c r="R307" s="4" t="s">
        <v>14</v>
      </c>
      <c r="S307" s="4" t="s">
        <v>14</v>
      </c>
      <c r="T307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308" spans="1:20" ht="18" x14ac:dyDescent="0.35">
      <c r="A308" s="3" t="s">
        <v>351</v>
      </c>
      <c r="B308" s="3" t="str">
        <f>IF(Table1[[#This Row],[Age]]&lt;25,"Under 25",IF(Table1[[#This Row],[Age]]&lt;35,"25-34",IF(Table1[[#This Row],[Age]]&lt;45,"35-44",IF(Table1[[#This Row],[Age]]&lt;55,"45-54","55+"))))</f>
        <v>25-34</v>
      </c>
      <c r="C308" s="3">
        <v>26</v>
      </c>
      <c r="D308" s="3" t="s">
        <v>7</v>
      </c>
      <c r="E308" s="3" t="s">
        <v>16</v>
      </c>
      <c r="F308" s="3" t="s">
        <v>47</v>
      </c>
      <c r="G308" s="3" t="s">
        <v>25</v>
      </c>
      <c r="H308" s="3" t="s">
        <v>42</v>
      </c>
      <c r="I308" s="3">
        <v>83566</v>
      </c>
      <c r="J308" s="3">
        <v>5</v>
      </c>
      <c r="K308" s="3">
        <v>4</v>
      </c>
      <c r="L308" s="3">
        <v>3</v>
      </c>
      <c r="M308" s="3">
        <v>2</v>
      </c>
      <c r="N308" s="3" t="s">
        <v>12</v>
      </c>
      <c r="O308" s="3" t="s">
        <v>13</v>
      </c>
      <c r="P308" s="3">
        <v>3</v>
      </c>
      <c r="Q308" s="3">
        <v>5</v>
      </c>
      <c r="R308" s="4" t="s">
        <v>14</v>
      </c>
      <c r="S308" s="4" t="s">
        <v>14</v>
      </c>
      <c r="T308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309" spans="1:20" ht="18" x14ac:dyDescent="0.35">
      <c r="A309" s="3" t="s">
        <v>352</v>
      </c>
      <c r="B309" s="3" t="str">
        <f>IF(Table1[[#This Row],[Age]]&lt;25,"Under 25",IF(Table1[[#This Row],[Age]]&lt;35,"25-34",IF(Table1[[#This Row],[Age]]&lt;45,"35-44",IF(Table1[[#This Row],[Age]]&lt;55,"45-54","55+"))))</f>
        <v>25-34</v>
      </c>
      <c r="C309" s="3">
        <v>33</v>
      </c>
      <c r="D309" s="3" t="s">
        <v>22</v>
      </c>
      <c r="E309" s="3" t="s">
        <v>34</v>
      </c>
      <c r="F309" s="3" t="s">
        <v>35</v>
      </c>
      <c r="G309" s="3" t="s">
        <v>25</v>
      </c>
      <c r="H309" s="3" t="s">
        <v>11</v>
      </c>
      <c r="I309" s="3">
        <v>30796</v>
      </c>
      <c r="J309" s="3">
        <v>1</v>
      </c>
      <c r="K309" s="3">
        <v>0</v>
      </c>
      <c r="L309" s="3">
        <v>3</v>
      </c>
      <c r="M309" s="3">
        <v>3</v>
      </c>
      <c r="N309" s="3" t="s">
        <v>14</v>
      </c>
      <c r="O309" s="3" t="s">
        <v>20</v>
      </c>
      <c r="P309" s="3">
        <v>4</v>
      </c>
      <c r="Q309" s="3">
        <v>3</v>
      </c>
      <c r="R309" s="4" t="s">
        <v>14</v>
      </c>
      <c r="S309" s="4" t="s">
        <v>14</v>
      </c>
      <c r="T309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310" spans="1:20" ht="18" x14ac:dyDescent="0.35">
      <c r="A310" s="3" t="s">
        <v>353</v>
      </c>
      <c r="B310" s="3" t="str">
        <f>IF(Table1[[#This Row],[Age]]&lt;25,"Under 25",IF(Table1[[#This Row],[Age]]&lt;35,"25-34",IF(Table1[[#This Row],[Age]]&lt;45,"35-44",IF(Table1[[#This Row],[Age]]&lt;55,"45-54","55+"))))</f>
        <v>25-34</v>
      </c>
      <c r="C310" s="3">
        <v>29</v>
      </c>
      <c r="D310" s="3" t="s">
        <v>22</v>
      </c>
      <c r="E310" s="3" t="s">
        <v>34</v>
      </c>
      <c r="F310" s="3" t="s">
        <v>150</v>
      </c>
      <c r="G310" s="3" t="s">
        <v>10</v>
      </c>
      <c r="H310" s="3" t="s">
        <v>11</v>
      </c>
      <c r="I310" s="3">
        <v>56630</v>
      </c>
      <c r="J310" s="3">
        <v>9</v>
      </c>
      <c r="K310" s="3">
        <v>7</v>
      </c>
      <c r="L310" s="3">
        <v>3</v>
      </c>
      <c r="M310" s="3">
        <v>4</v>
      </c>
      <c r="N310" s="3" t="s">
        <v>12</v>
      </c>
      <c r="O310" s="3" t="s">
        <v>26</v>
      </c>
      <c r="P310" s="3">
        <v>3</v>
      </c>
      <c r="Q310" s="3">
        <v>2</v>
      </c>
      <c r="R310" s="4" t="s">
        <v>14</v>
      </c>
      <c r="S310" s="4" t="s">
        <v>14</v>
      </c>
      <c r="T310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311" spans="1:20" ht="18" x14ac:dyDescent="0.35">
      <c r="A311" s="3" t="s">
        <v>354</v>
      </c>
      <c r="B311" s="3" t="str">
        <f>IF(Table1[[#This Row],[Age]]&lt;25,"Under 25",IF(Table1[[#This Row],[Age]]&lt;35,"25-34",IF(Table1[[#This Row],[Age]]&lt;45,"35-44",IF(Table1[[#This Row],[Age]]&lt;55,"45-54","55+"))))</f>
        <v>25-34</v>
      </c>
      <c r="C311" s="3">
        <v>31</v>
      </c>
      <c r="D311" s="3" t="s">
        <v>22</v>
      </c>
      <c r="E311" s="3" t="s">
        <v>16</v>
      </c>
      <c r="F311" s="3" t="s">
        <v>17</v>
      </c>
      <c r="G311" s="3" t="s">
        <v>10</v>
      </c>
      <c r="H311" s="3" t="s">
        <v>19</v>
      </c>
      <c r="I311" s="3">
        <v>37134</v>
      </c>
      <c r="J311" s="3">
        <v>10</v>
      </c>
      <c r="K311" s="3">
        <v>6</v>
      </c>
      <c r="L311" s="3">
        <v>2</v>
      </c>
      <c r="M311" s="3">
        <v>3</v>
      </c>
      <c r="N311" s="3" t="s">
        <v>14</v>
      </c>
      <c r="O311" s="3" t="s">
        <v>13</v>
      </c>
      <c r="P311" s="3">
        <v>3</v>
      </c>
      <c r="Q311" s="3">
        <v>0</v>
      </c>
      <c r="R311" s="4" t="s">
        <v>14</v>
      </c>
      <c r="S311" s="4" t="s">
        <v>14</v>
      </c>
      <c r="T311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312" spans="1:20" ht="18" x14ac:dyDescent="0.35">
      <c r="A312" s="3" t="s">
        <v>355</v>
      </c>
      <c r="B312" s="3" t="str">
        <f>IF(Table1[[#This Row],[Age]]&lt;25,"Under 25",IF(Table1[[#This Row],[Age]]&lt;35,"25-34",IF(Table1[[#This Row],[Age]]&lt;45,"35-44",IF(Table1[[#This Row],[Age]]&lt;55,"45-54","55+"))))</f>
        <v>35-44</v>
      </c>
      <c r="C312" s="3">
        <v>40</v>
      </c>
      <c r="D312" s="3" t="s">
        <v>22</v>
      </c>
      <c r="E312" s="3" t="s">
        <v>16</v>
      </c>
      <c r="F312" s="3" t="s">
        <v>28</v>
      </c>
      <c r="G312" s="3" t="s">
        <v>10</v>
      </c>
      <c r="H312" s="3" t="s">
        <v>19</v>
      </c>
      <c r="I312" s="3">
        <v>61373</v>
      </c>
      <c r="J312" s="3">
        <v>6</v>
      </c>
      <c r="K312" s="3">
        <v>6</v>
      </c>
      <c r="L312" s="3">
        <v>2</v>
      </c>
      <c r="M312" s="3">
        <v>1</v>
      </c>
      <c r="N312" s="3" t="s">
        <v>14</v>
      </c>
      <c r="O312" s="3" t="s">
        <v>13</v>
      </c>
      <c r="P312" s="3">
        <v>4</v>
      </c>
      <c r="Q312" s="3">
        <v>2</v>
      </c>
      <c r="R312" s="4" t="s">
        <v>14</v>
      </c>
      <c r="S312" s="4" t="s">
        <v>14</v>
      </c>
      <c r="T312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313" spans="1:20" ht="18" x14ac:dyDescent="0.35">
      <c r="A313" s="3" t="s">
        <v>356</v>
      </c>
      <c r="B313" s="3" t="str">
        <f>IF(Table1[[#This Row],[Age]]&lt;25,"Under 25",IF(Table1[[#This Row],[Age]]&lt;35,"25-34",IF(Table1[[#This Row],[Age]]&lt;45,"35-44",IF(Table1[[#This Row],[Age]]&lt;55,"45-54","55+"))))</f>
        <v>35-44</v>
      </c>
      <c r="C313" s="3">
        <v>36</v>
      </c>
      <c r="D313" s="3" t="s">
        <v>22</v>
      </c>
      <c r="E313" s="3" t="s">
        <v>51</v>
      </c>
      <c r="F313" s="3" t="s">
        <v>80</v>
      </c>
      <c r="G313" s="3" t="s">
        <v>18</v>
      </c>
      <c r="H313" s="3" t="s">
        <v>42</v>
      </c>
      <c r="I313" s="3">
        <v>60847</v>
      </c>
      <c r="J313" s="3">
        <v>12</v>
      </c>
      <c r="K313" s="3">
        <v>4</v>
      </c>
      <c r="L313" s="3">
        <v>3</v>
      </c>
      <c r="M313" s="3">
        <v>3</v>
      </c>
      <c r="N313" s="3" t="s">
        <v>14</v>
      </c>
      <c r="O313" s="3" t="s">
        <v>13</v>
      </c>
      <c r="P313" s="3">
        <v>4</v>
      </c>
      <c r="Q313" s="3">
        <v>4</v>
      </c>
      <c r="R313" s="4" t="s">
        <v>14</v>
      </c>
      <c r="S313" s="4" t="s">
        <v>12</v>
      </c>
      <c r="T313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314" spans="1:20" ht="18" x14ac:dyDescent="0.35">
      <c r="A314" s="3" t="s">
        <v>357</v>
      </c>
      <c r="B314" s="3" t="str">
        <f>IF(Table1[[#This Row],[Age]]&lt;25,"Under 25",IF(Table1[[#This Row],[Age]]&lt;35,"25-34",IF(Table1[[#This Row],[Age]]&lt;45,"35-44",IF(Table1[[#This Row],[Age]]&lt;55,"45-54","55+"))))</f>
        <v>35-44</v>
      </c>
      <c r="C314" s="3">
        <v>37</v>
      </c>
      <c r="D314" s="3" t="s">
        <v>22</v>
      </c>
      <c r="E314" s="3" t="s">
        <v>31</v>
      </c>
      <c r="F314" s="3" t="s">
        <v>136</v>
      </c>
      <c r="G314" s="3" t="s">
        <v>10</v>
      </c>
      <c r="H314" s="3" t="s">
        <v>11</v>
      </c>
      <c r="I314" s="3">
        <v>64182</v>
      </c>
      <c r="J314" s="3">
        <v>7</v>
      </c>
      <c r="K314" s="3">
        <v>5</v>
      </c>
      <c r="L314" s="3">
        <v>3</v>
      </c>
      <c r="M314" s="3">
        <v>2</v>
      </c>
      <c r="N314" s="3" t="s">
        <v>14</v>
      </c>
      <c r="O314" s="3" t="s">
        <v>13</v>
      </c>
      <c r="P314" s="3">
        <v>2</v>
      </c>
      <c r="Q314" s="3">
        <v>6</v>
      </c>
      <c r="R314" s="4" t="s">
        <v>14</v>
      </c>
      <c r="S314" s="4" t="s">
        <v>14</v>
      </c>
      <c r="T314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315" spans="1:20" ht="18" x14ac:dyDescent="0.35">
      <c r="A315" s="3" t="s">
        <v>358</v>
      </c>
      <c r="B315" s="3" t="str">
        <f>IF(Table1[[#This Row],[Age]]&lt;25,"Under 25",IF(Table1[[#This Row],[Age]]&lt;35,"25-34",IF(Table1[[#This Row],[Age]]&lt;45,"35-44",IF(Table1[[#This Row],[Age]]&lt;55,"45-54","55+"))))</f>
        <v>35-44</v>
      </c>
      <c r="C315" s="3">
        <v>39</v>
      </c>
      <c r="D315" s="3" t="s">
        <v>22</v>
      </c>
      <c r="E315" s="3" t="s">
        <v>16</v>
      </c>
      <c r="F315" s="3" t="s">
        <v>47</v>
      </c>
      <c r="G315" s="3" t="s">
        <v>25</v>
      </c>
      <c r="H315" s="3" t="s">
        <v>11</v>
      </c>
      <c r="I315" s="3">
        <v>51319</v>
      </c>
      <c r="J315" s="3">
        <v>14</v>
      </c>
      <c r="K315" s="3">
        <v>12</v>
      </c>
      <c r="L315" s="3">
        <v>2</v>
      </c>
      <c r="M315" s="3">
        <v>4</v>
      </c>
      <c r="N315" s="3" t="s">
        <v>14</v>
      </c>
      <c r="O315" s="3" t="s">
        <v>13</v>
      </c>
      <c r="P315" s="3">
        <v>3</v>
      </c>
      <c r="Q315" s="3">
        <v>1</v>
      </c>
      <c r="R315" s="4" t="s">
        <v>14</v>
      </c>
      <c r="S315" s="4" t="s">
        <v>14</v>
      </c>
      <c r="T315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316" spans="1:20" ht="18" x14ac:dyDescent="0.35">
      <c r="A316" s="3" t="s">
        <v>359</v>
      </c>
      <c r="B316" s="3" t="str">
        <f>IF(Table1[[#This Row],[Age]]&lt;25,"Under 25",IF(Table1[[#This Row],[Age]]&lt;35,"25-34",IF(Table1[[#This Row],[Age]]&lt;45,"35-44",IF(Table1[[#This Row],[Age]]&lt;55,"45-54","55+"))))</f>
        <v>25-34</v>
      </c>
      <c r="C316" s="3">
        <v>28</v>
      </c>
      <c r="D316" s="3" t="s">
        <v>7</v>
      </c>
      <c r="E316" s="3" t="s">
        <v>16</v>
      </c>
      <c r="F316" s="3" t="s">
        <v>47</v>
      </c>
      <c r="G316" s="3" t="s">
        <v>10</v>
      </c>
      <c r="H316" s="3" t="s">
        <v>11</v>
      </c>
      <c r="I316" s="3">
        <v>48495</v>
      </c>
      <c r="J316" s="3">
        <v>4</v>
      </c>
      <c r="K316" s="3">
        <v>4</v>
      </c>
      <c r="L316" s="3">
        <v>1</v>
      </c>
      <c r="M316" s="3">
        <v>3</v>
      </c>
      <c r="N316" s="3" t="s">
        <v>14</v>
      </c>
      <c r="O316" s="3" t="s">
        <v>13</v>
      </c>
      <c r="P316" s="3">
        <v>3</v>
      </c>
      <c r="Q316" s="3">
        <v>1</v>
      </c>
      <c r="R316" s="4" t="s">
        <v>14</v>
      </c>
      <c r="S316" s="4" t="s">
        <v>14</v>
      </c>
      <c r="T316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317" spans="1:20" ht="18" x14ac:dyDescent="0.35">
      <c r="A317" s="3" t="s">
        <v>360</v>
      </c>
      <c r="B317" s="3" t="str">
        <f>IF(Table1[[#This Row],[Age]]&lt;25,"Under 25",IF(Table1[[#This Row],[Age]]&lt;35,"25-34",IF(Table1[[#This Row],[Age]]&lt;45,"35-44",IF(Table1[[#This Row],[Age]]&lt;55,"45-54","55+"))))</f>
        <v>35-44</v>
      </c>
      <c r="C317" s="3">
        <v>36</v>
      </c>
      <c r="D317" s="3" t="s">
        <v>22</v>
      </c>
      <c r="E317" s="3" t="s">
        <v>38</v>
      </c>
      <c r="F317" s="3" t="s">
        <v>59</v>
      </c>
      <c r="G317" s="3" t="s">
        <v>25</v>
      </c>
      <c r="H317" s="3" t="s">
        <v>11</v>
      </c>
      <c r="I317" s="3">
        <v>50897</v>
      </c>
      <c r="J317" s="3">
        <v>3</v>
      </c>
      <c r="K317" s="3">
        <v>3</v>
      </c>
      <c r="L317" s="3">
        <v>3</v>
      </c>
      <c r="M317" s="3">
        <v>3</v>
      </c>
      <c r="N317" s="3" t="s">
        <v>14</v>
      </c>
      <c r="O317" s="3" t="s">
        <v>13</v>
      </c>
      <c r="P317" s="3">
        <v>4</v>
      </c>
      <c r="Q317" s="3">
        <v>6</v>
      </c>
      <c r="R317" s="4" t="s">
        <v>14</v>
      </c>
      <c r="S317" s="4" t="s">
        <v>14</v>
      </c>
      <c r="T317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318" spans="1:20" ht="18" x14ac:dyDescent="0.35">
      <c r="A318" s="3" t="s">
        <v>361</v>
      </c>
      <c r="B318" s="3" t="str">
        <f>IF(Table1[[#This Row],[Age]]&lt;25,"Under 25",IF(Table1[[#This Row],[Age]]&lt;35,"25-34",IF(Table1[[#This Row],[Age]]&lt;45,"35-44",IF(Table1[[#This Row],[Age]]&lt;55,"45-54","55+"))))</f>
        <v>35-44</v>
      </c>
      <c r="C318" s="3">
        <v>36</v>
      </c>
      <c r="D318" s="3" t="s">
        <v>7</v>
      </c>
      <c r="E318" s="3" t="s">
        <v>38</v>
      </c>
      <c r="F318" s="3" t="s">
        <v>89</v>
      </c>
      <c r="G318" s="3" t="s">
        <v>25</v>
      </c>
      <c r="H318" s="3" t="s">
        <v>19</v>
      </c>
      <c r="I318" s="3">
        <v>32262</v>
      </c>
      <c r="J318" s="3">
        <v>18</v>
      </c>
      <c r="K318" s="3">
        <v>4</v>
      </c>
      <c r="L318" s="3">
        <v>4</v>
      </c>
      <c r="M318" s="3">
        <v>2</v>
      </c>
      <c r="N318" s="3" t="s">
        <v>14</v>
      </c>
      <c r="O318" s="3" t="s">
        <v>20</v>
      </c>
      <c r="P318" s="3">
        <v>4</v>
      </c>
      <c r="Q318" s="3">
        <v>4</v>
      </c>
      <c r="R318" s="4" t="s">
        <v>14</v>
      </c>
      <c r="S318" s="4" t="s">
        <v>14</v>
      </c>
      <c r="T318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319" spans="1:20" ht="18" x14ac:dyDescent="0.35">
      <c r="A319" s="3" t="s">
        <v>362</v>
      </c>
      <c r="B319" s="3" t="str">
        <f>IF(Table1[[#This Row],[Age]]&lt;25,"Under 25",IF(Table1[[#This Row],[Age]]&lt;35,"25-34",IF(Table1[[#This Row],[Age]]&lt;45,"35-44",IF(Table1[[#This Row],[Age]]&lt;55,"45-54","55+"))))</f>
        <v>45-54</v>
      </c>
      <c r="C319" s="3">
        <v>45</v>
      </c>
      <c r="D319" s="3" t="s">
        <v>7</v>
      </c>
      <c r="E319" s="3" t="s">
        <v>16</v>
      </c>
      <c r="F319" s="3" t="s">
        <v>17</v>
      </c>
      <c r="G319" s="3" t="s">
        <v>25</v>
      </c>
      <c r="H319" s="3" t="s">
        <v>19</v>
      </c>
      <c r="I319" s="3">
        <v>67008</v>
      </c>
      <c r="J319" s="3">
        <v>14</v>
      </c>
      <c r="K319" s="3">
        <v>5</v>
      </c>
      <c r="L319" s="3">
        <v>2</v>
      </c>
      <c r="M319" s="3">
        <v>4</v>
      </c>
      <c r="N319" s="3" t="s">
        <v>14</v>
      </c>
      <c r="O319" s="3" t="s">
        <v>20</v>
      </c>
      <c r="P319" s="3">
        <v>2</v>
      </c>
      <c r="Q319" s="3">
        <v>4</v>
      </c>
      <c r="R319" s="4" t="s">
        <v>14</v>
      </c>
      <c r="S319" s="4" t="s">
        <v>14</v>
      </c>
      <c r="T319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320" spans="1:20" ht="18" x14ac:dyDescent="0.35">
      <c r="A320" s="3" t="s">
        <v>363</v>
      </c>
      <c r="B320" s="3" t="str">
        <f>IF(Table1[[#This Row],[Age]]&lt;25,"Under 25",IF(Table1[[#This Row],[Age]]&lt;35,"25-34",IF(Table1[[#This Row],[Age]]&lt;45,"35-44",IF(Table1[[#This Row],[Age]]&lt;55,"45-54","55+"))))</f>
        <v>25-34</v>
      </c>
      <c r="C320" s="3">
        <v>25</v>
      </c>
      <c r="D320" s="3" t="s">
        <v>22</v>
      </c>
      <c r="E320" s="3" t="s">
        <v>34</v>
      </c>
      <c r="F320" s="3" t="s">
        <v>91</v>
      </c>
      <c r="G320" s="3" t="s">
        <v>18</v>
      </c>
      <c r="H320" s="3" t="s">
        <v>19</v>
      </c>
      <c r="I320" s="3">
        <v>69151</v>
      </c>
      <c r="J320" s="3">
        <v>3</v>
      </c>
      <c r="K320" s="3">
        <v>2</v>
      </c>
      <c r="L320" s="3">
        <v>1</v>
      </c>
      <c r="M320" s="3">
        <v>2</v>
      </c>
      <c r="N320" s="3" t="s">
        <v>14</v>
      </c>
      <c r="O320" s="3" t="s">
        <v>13</v>
      </c>
      <c r="P320" s="3">
        <v>3</v>
      </c>
      <c r="Q320" s="3">
        <v>1</v>
      </c>
      <c r="R320" s="4" t="s">
        <v>14</v>
      </c>
      <c r="S320" s="4" t="s">
        <v>12</v>
      </c>
      <c r="T320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321" spans="1:20" ht="18" x14ac:dyDescent="0.35">
      <c r="A321" s="3" t="s">
        <v>364</v>
      </c>
      <c r="B321" s="3" t="str">
        <f>IF(Table1[[#This Row],[Age]]&lt;25,"Under 25",IF(Table1[[#This Row],[Age]]&lt;35,"25-34",IF(Table1[[#This Row],[Age]]&lt;45,"35-44",IF(Table1[[#This Row],[Age]]&lt;55,"45-54","55+"))))</f>
        <v>35-44</v>
      </c>
      <c r="C321" s="3">
        <v>40</v>
      </c>
      <c r="D321" s="3" t="s">
        <v>22</v>
      </c>
      <c r="E321" s="3" t="s">
        <v>38</v>
      </c>
      <c r="F321" s="3" t="s">
        <v>89</v>
      </c>
      <c r="G321" s="3" t="s">
        <v>18</v>
      </c>
      <c r="H321" s="3" t="s">
        <v>11</v>
      </c>
      <c r="I321" s="3">
        <v>70991</v>
      </c>
      <c r="J321" s="3">
        <v>4</v>
      </c>
      <c r="K321" s="3">
        <v>1</v>
      </c>
      <c r="L321" s="3">
        <v>3</v>
      </c>
      <c r="M321" s="3">
        <v>4</v>
      </c>
      <c r="N321" s="3" t="s">
        <v>12</v>
      </c>
      <c r="O321" s="3" t="s">
        <v>13</v>
      </c>
      <c r="P321" s="3">
        <v>3</v>
      </c>
      <c r="Q321" s="3">
        <v>4</v>
      </c>
      <c r="R321" s="4" t="s">
        <v>14</v>
      </c>
      <c r="S321" s="4" t="s">
        <v>14</v>
      </c>
      <c r="T321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322" spans="1:20" ht="18" x14ac:dyDescent="0.35">
      <c r="A322" s="3" t="s">
        <v>365</v>
      </c>
      <c r="B322" s="3" t="str">
        <f>IF(Table1[[#This Row],[Age]]&lt;25,"Under 25",IF(Table1[[#This Row],[Age]]&lt;35,"25-34",IF(Table1[[#This Row],[Age]]&lt;45,"35-44",IF(Table1[[#This Row],[Age]]&lt;55,"45-54","55+"))))</f>
        <v>35-44</v>
      </c>
      <c r="C322" s="3">
        <v>37</v>
      </c>
      <c r="D322" s="3" t="s">
        <v>22</v>
      </c>
      <c r="E322" s="3" t="s">
        <v>16</v>
      </c>
      <c r="F322" s="3" t="s">
        <v>28</v>
      </c>
      <c r="G322" s="3" t="s">
        <v>18</v>
      </c>
      <c r="H322" s="3" t="s">
        <v>19</v>
      </c>
      <c r="I322" s="3">
        <v>100718</v>
      </c>
      <c r="J322" s="3">
        <v>13</v>
      </c>
      <c r="K322" s="3">
        <v>5</v>
      </c>
      <c r="L322" s="3">
        <v>3</v>
      </c>
      <c r="M322" s="3">
        <v>3</v>
      </c>
      <c r="N322" s="3" t="s">
        <v>12</v>
      </c>
      <c r="O322" s="3" t="s">
        <v>13</v>
      </c>
      <c r="P322" s="3">
        <v>4</v>
      </c>
      <c r="Q322" s="3">
        <v>3</v>
      </c>
      <c r="R322" s="4" t="s">
        <v>14</v>
      </c>
      <c r="S322" s="4" t="s">
        <v>14</v>
      </c>
      <c r="T322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323" spans="1:20" ht="18" x14ac:dyDescent="0.35">
      <c r="A323" s="3" t="s">
        <v>366</v>
      </c>
      <c r="B323" s="3" t="str">
        <f>IF(Table1[[#This Row],[Age]]&lt;25,"Under 25",IF(Table1[[#This Row],[Age]]&lt;35,"25-34",IF(Table1[[#This Row],[Age]]&lt;45,"35-44",IF(Table1[[#This Row],[Age]]&lt;55,"45-54","55+"))))</f>
        <v>35-44</v>
      </c>
      <c r="C323" s="3">
        <v>35</v>
      </c>
      <c r="D323" s="3" t="s">
        <v>22</v>
      </c>
      <c r="E323" s="3" t="s">
        <v>8</v>
      </c>
      <c r="F323" s="3" t="s">
        <v>66</v>
      </c>
      <c r="G323" s="3" t="s">
        <v>25</v>
      </c>
      <c r="H323" s="3" t="s">
        <v>11</v>
      </c>
      <c r="I323" s="3">
        <v>68935</v>
      </c>
      <c r="J323" s="3">
        <v>0</v>
      </c>
      <c r="K323" s="3">
        <v>0</v>
      </c>
      <c r="L323" s="3">
        <v>1</v>
      </c>
      <c r="M323" s="3">
        <v>4</v>
      </c>
      <c r="N323" s="3" t="s">
        <v>12</v>
      </c>
      <c r="O323" s="3" t="s">
        <v>26</v>
      </c>
      <c r="P323" s="3">
        <v>3</v>
      </c>
      <c r="Q323" s="3">
        <v>0</v>
      </c>
      <c r="R323" s="4" t="s">
        <v>14</v>
      </c>
      <c r="S323" s="4" t="s">
        <v>14</v>
      </c>
      <c r="T323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Less than 1 Year</v>
      </c>
    </row>
    <row r="324" spans="1:20" ht="18" x14ac:dyDescent="0.35">
      <c r="A324" s="3" t="s">
        <v>367</v>
      </c>
      <c r="B324" s="3" t="str">
        <f>IF(Table1[[#This Row],[Age]]&lt;25,"Under 25",IF(Table1[[#This Row],[Age]]&lt;35,"25-34",IF(Table1[[#This Row],[Age]]&lt;45,"35-44",IF(Table1[[#This Row],[Age]]&lt;55,"45-54","55+"))))</f>
        <v>35-44</v>
      </c>
      <c r="C324" s="3">
        <v>37</v>
      </c>
      <c r="D324" s="3" t="s">
        <v>7</v>
      </c>
      <c r="E324" s="3" t="s">
        <v>8</v>
      </c>
      <c r="F324" s="3" t="s">
        <v>9</v>
      </c>
      <c r="G324" s="3" t="s">
        <v>45</v>
      </c>
      <c r="H324" s="3" t="s">
        <v>11</v>
      </c>
      <c r="I324" s="3">
        <v>22000</v>
      </c>
      <c r="J324" s="3">
        <v>0</v>
      </c>
      <c r="K324" s="3">
        <v>0</v>
      </c>
      <c r="L324" s="3">
        <v>3</v>
      </c>
      <c r="M324" s="3">
        <v>4</v>
      </c>
      <c r="N324" s="3" t="s">
        <v>14</v>
      </c>
      <c r="O324" s="3" t="s">
        <v>13</v>
      </c>
      <c r="P324" s="3">
        <v>3</v>
      </c>
      <c r="Q324" s="3">
        <v>3</v>
      </c>
      <c r="R324" s="4" t="s">
        <v>14</v>
      </c>
      <c r="S324" s="4" t="s">
        <v>14</v>
      </c>
      <c r="T324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Less than 1 Year</v>
      </c>
    </row>
    <row r="325" spans="1:20" ht="18" x14ac:dyDescent="0.35">
      <c r="A325" s="3" t="s">
        <v>368</v>
      </c>
      <c r="B325" s="3" t="str">
        <f>IF(Table1[[#This Row],[Age]]&lt;25,"Under 25",IF(Table1[[#This Row],[Age]]&lt;35,"25-34",IF(Table1[[#This Row],[Age]]&lt;45,"35-44",IF(Table1[[#This Row],[Age]]&lt;55,"45-54","55+"))))</f>
        <v>25-34</v>
      </c>
      <c r="C325" s="3">
        <v>31</v>
      </c>
      <c r="D325" s="3" t="s">
        <v>7</v>
      </c>
      <c r="E325" s="3" t="s">
        <v>34</v>
      </c>
      <c r="F325" s="3" t="s">
        <v>35</v>
      </c>
      <c r="G325" s="3" t="s">
        <v>25</v>
      </c>
      <c r="H325" s="3" t="s">
        <v>19</v>
      </c>
      <c r="I325" s="3">
        <v>99009</v>
      </c>
      <c r="J325" s="3">
        <v>11</v>
      </c>
      <c r="K325" s="3">
        <v>3</v>
      </c>
      <c r="L325" s="3">
        <v>3</v>
      </c>
      <c r="M325" s="3">
        <v>2</v>
      </c>
      <c r="N325" s="3" t="s">
        <v>14</v>
      </c>
      <c r="O325" s="3" t="s">
        <v>20</v>
      </c>
      <c r="P325" s="3">
        <v>3</v>
      </c>
      <c r="Q325" s="3">
        <v>1</v>
      </c>
      <c r="R325" s="4" t="s">
        <v>14</v>
      </c>
      <c r="S325" s="4" t="s">
        <v>14</v>
      </c>
      <c r="T325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326" spans="1:20" ht="18" x14ac:dyDescent="0.35">
      <c r="A326" s="3" t="s">
        <v>369</v>
      </c>
      <c r="B326" s="3" t="str">
        <f>IF(Table1[[#This Row],[Age]]&lt;25,"Under 25",IF(Table1[[#This Row],[Age]]&lt;35,"25-34",IF(Table1[[#This Row],[Age]]&lt;45,"35-44",IF(Table1[[#This Row],[Age]]&lt;55,"45-54","55+"))))</f>
        <v>25-34</v>
      </c>
      <c r="C326" s="3">
        <v>34</v>
      </c>
      <c r="D326" s="3" t="s">
        <v>7</v>
      </c>
      <c r="E326" s="3" t="s">
        <v>51</v>
      </c>
      <c r="F326" s="3" t="s">
        <v>52</v>
      </c>
      <c r="G326" s="3" t="s">
        <v>25</v>
      </c>
      <c r="H326" s="3" t="s">
        <v>42</v>
      </c>
      <c r="I326" s="3">
        <v>62455</v>
      </c>
      <c r="J326" s="3">
        <v>8</v>
      </c>
      <c r="K326" s="3">
        <v>3</v>
      </c>
      <c r="L326" s="3">
        <v>2</v>
      </c>
      <c r="M326" s="3">
        <v>3</v>
      </c>
      <c r="N326" s="3" t="s">
        <v>14</v>
      </c>
      <c r="O326" s="3" t="s">
        <v>13</v>
      </c>
      <c r="P326" s="3">
        <v>3</v>
      </c>
      <c r="Q326" s="3">
        <v>3</v>
      </c>
      <c r="R326" s="4" t="s">
        <v>14</v>
      </c>
      <c r="S326" s="4" t="s">
        <v>14</v>
      </c>
      <c r="T326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327" spans="1:20" ht="18" x14ac:dyDescent="0.35">
      <c r="A327" s="3" t="s">
        <v>370</v>
      </c>
      <c r="B327" s="3" t="str">
        <f>IF(Table1[[#This Row],[Age]]&lt;25,"Under 25",IF(Table1[[#This Row],[Age]]&lt;35,"25-34",IF(Table1[[#This Row],[Age]]&lt;45,"35-44",IF(Table1[[#This Row],[Age]]&lt;55,"45-54","55+"))))</f>
        <v>Under 25</v>
      </c>
      <c r="C327" s="3">
        <v>21</v>
      </c>
      <c r="D327" s="3" t="s">
        <v>22</v>
      </c>
      <c r="E327" s="3" t="s">
        <v>34</v>
      </c>
      <c r="F327" s="3" t="s">
        <v>150</v>
      </c>
      <c r="G327" s="3" t="s">
        <v>18</v>
      </c>
      <c r="H327" s="3" t="s">
        <v>19</v>
      </c>
      <c r="I327" s="3">
        <v>125088</v>
      </c>
      <c r="J327" s="3">
        <v>3</v>
      </c>
      <c r="K327" s="3">
        <v>3</v>
      </c>
      <c r="L327" s="3">
        <v>3</v>
      </c>
      <c r="M327" s="3">
        <v>1</v>
      </c>
      <c r="N327" s="3" t="s">
        <v>14</v>
      </c>
      <c r="O327" s="3" t="s">
        <v>13</v>
      </c>
      <c r="P327" s="3">
        <v>3</v>
      </c>
      <c r="Q327" s="3">
        <v>0</v>
      </c>
      <c r="R327" s="4" t="s">
        <v>14</v>
      </c>
      <c r="S327" s="4" t="s">
        <v>14</v>
      </c>
      <c r="T327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328" spans="1:20" ht="18" x14ac:dyDescent="0.35">
      <c r="A328" s="3" t="s">
        <v>371</v>
      </c>
      <c r="B328" s="3" t="str">
        <f>IF(Table1[[#This Row],[Age]]&lt;25,"Under 25",IF(Table1[[#This Row],[Age]]&lt;35,"25-34",IF(Table1[[#This Row],[Age]]&lt;45,"35-44",IF(Table1[[#This Row],[Age]]&lt;55,"45-54","55+"))))</f>
        <v>Under 25</v>
      </c>
      <c r="C328" s="3">
        <v>22</v>
      </c>
      <c r="D328" s="3" t="s">
        <v>22</v>
      </c>
      <c r="E328" s="3" t="s">
        <v>31</v>
      </c>
      <c r="F328" s="3" t="s">
        <v>74</v>
      </c>
      <c r="G328" s="3" t="s">
        <v>45</v>
      </c>
      <c r="H328" s="3" t="s">
        <v>11</v>
      </c>
      <c r="I328" s="3">
        <v>39088</v>
      </c>
      <c r="J328" s="3">
        <v>3</v>
      </c>
      <c r="K328" s="3">
        <v>3</v>
      </c>
      <c r="L328" s="3">
        <v>3</v>
      </c>
      <c r="M328" s="3">
        <v>3</v>
      </c>
      <c r="N328" s="3" t="s">
        <v>14</v>
      </c>
      <c r="O328" s="3" t="s">
        <v>20</v>
      </c>
      <c r="P328" s="3">
        <v>3</v>
      </c>
      <c r="Q328" s="3">
        <v>0</v>
      </c>
      <c r="R328" s="4" t="s">
        <v>14</v>
      </c>
      <c r="S328" s="4" t="s">
        <v>14</v>
      </c>
      <c r="T328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329" spans="1:20" ht="18" x14ac:dyDescent="0.35">
      <c r="A329" s="3" t="s">
        <v>372</v>
      </c>
      <c r="B329" s="3" t="str">
        <f>IF(Table1[[#This Row],[Age]]&lt;25,"Under 25",IF(Table1[[#This Row],[Age]]&lt;35,"25-34",IF(Table1[[#This Row],[Age]]&lt;45,"35-44",IF(Table1[[#This Row],[Age]]&lt;55,"45-54","55+"))))</f>
        <v>25-34</v>
      </c>
      <c r="C329" s="3">
        <v>28</v>
      </c>
      <c r="D329" s="3" t="s">
        <v>7</v>
      </c>
      <c r="E329" s="3" t="s">
        <v>31</v>
      </c>
      <c r="F329" s="3" t="s">
        <v>136</v>
      </c>
      <c r="G329" s="3" t="s">
        <v>25</v>
      </c>
      <c r="H329" s="3" t="s">
        <v>19</v>
      </c>
      <c r="I329" s="3">
        <v>48167</v>
      </c>
      <c r="J329" s="3">
        <v>9</v>
      </c>
      <c r="K329" s="3">
        <v>5</v>
      </c>
      <c r="L329" s="3">
        <v>2</v>
      </c>
      <c r="M329" s="3">
        <v>3</v>
      </c>
      <c r="N329" s="3" t="s">
        <v>14</v>
      </c>
      <c r="O329" s="3" t="s">
        <v>13</v>
      </c>
      <c r="P329" s="3">
        <v>3</v>
      </c>
      <c r="Q329" s="3">
        <v>0</v>
      </c>
      <c r="R329" s="4" t="s">
        <v>14</v>
      </c>
      <c r="S329" s="4" t="s">
        <v>12</v>
      </c>
      <c r="T329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330" spans="1:20" ht="18" x14ac:dyDescent="0.35">
      <c r="A330" s="3" t="s">
        <v>373</v>
      </c>
      <c r="B330" s="3" t="str">
        <f>IF(Table1[[#This Row],[Age]]&lt;25,"Under 25",IF(Table1[[#This Row],[Age]]&lt;35,"25-34",IF(Table1[[#This Row],[Age]]&lt;45,"35-44",IF(Table1[[#This Row],[Age]]&lt;55,"45-54","55+"))))</f>
        <v>Under 25</v>
      </c>
      <c r="C330" s="3">
        <v>22</v>
      </c>
      <c r="D330" s="3" t="s">
        <v>7</v>
      </c>
      <c r="E330" s="3" t="s">
        <v>16</v>
      </c>
      <c r="F330" s="3" t="s">
        <v>17</v>
      </c>
      <c r="G330" s="3" t="s">
        <v>18</v>
      </c>
      <c r="H330" s="3" t="s">
        <v>11</v>
      </c>
      <c r="I330" s="3">
        <v>77473</v>
      </c>
      <c r="J330" s="3">
        <v>2</v>
      </c>
      <c r="K330" s="3">
        <v>2</v>
      </c>
      <c r="L330" s="3">
        <v>2</v>
      </c>
      <c r="M330" s="3">
        <v>4</v>
      </c>
      <c r="N330" s="3" t="s">
        <v>12</v>
      </c>
      <c r="O330" s="3" t="s">
        <v>13</v>
      </c>
      <c r="P330" s="3">
        <v>4</v>
      </c>
      <c r="Q330" s="3">
        <v>1</v>
      </c>
      <c r="R330" s="4" t="s">
        <v>14</v>
      </c>
      <c r="S330" s="4" t="s">
        <v>14</v>
      </c>
      <c r="T330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331" spans="1:20" ht="18" x14ac:dyDescent="0.35">
      <c r="A331" s="3" t="s">
        <v>374</v>
      </c>
      <c r="B331" s="3" t="str">
        <f>IF(Table1[[#This Row],[Age]]&lt;25,"Under 25",IF(Table1[[#This Row],[Age]]&lt;35,"25-34",IF(Table1[[#This Row],[Age]]&lt;45,"35-44",IF(Table1[[#This Row],[Age]]&lt;55,"45-54","55+"))))</f>
        <v>35-44</v>
      </c>
      <c r="C331" s="3">
        <v>36</v>
      </c>
      <c r="D331" s="3" t="s">
        <v>7</v>
      </c>
      <c r="E331" s="3" t="s">
        <v>31</v>
      </c>
      <c r="F331" s="3" t="s">
        <v>32</v>
      </c>
      <c r="G331" s="3" t="s">
        <v>18</v>
      </c>
      <c r="H331" s="3" t="s">
        <v>11</v>
      </c>
      <c r="I331" s="3">
        <v>94060</v>
      </c>
      <c r="J331" s="3">
        <v>14</v>
      </c>
      <c r="K331" s="3">
        <v>3</v>
      </c>
      <c r="L331" s="3">
        <v>2</v>
      </c>
      <c r="M331" s="3">
        <v>2</v>
      </c>
      <c r="N331" s="3" t="s">
        <v>14</v>
      </c>
      <c r="O331" s="3" t="s">
        <v>13</v>
      </c>
      <c r="P331" s="3">
        <v>4</v>
      </c>
      <c r="Q331" s="3">
        <v>3</v>
      </c>
      <c r="R331" s="4" t="s">
        <v>14</v>
      </c>
      <c r="S331" s="4" t="s">
        <v>14</v>
      </c>
      <c r="T331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332" spans="1:20" ht="18" x14ac:dyDescent="0.35">
      <c r="A332" s="3" t="s">
        <v>375</v>
      </c>
      <c r="B332" s="3" t="str">
        <f>IF(Table1[[#This Row],[Age]]&lt;25,"Under 25",IF(Table1[[#This Row],[Age]]&lt;35,"25-34",IF(Table1[[#This Row],[Age]]&lt;45,"35-44",IF(Table1[[#This Row],[Age]]&lt;55,"45-54","55+"))))</f>
        <v>25-34</v>
      </c>
      <c r="C332" s="3">
        <v>33</v>
      </c>
      <c r="D332" s="3" t="s">
        <v>22</v>
      </c>
      <c r="E332" s="3" t="s">
        <v>8</v>
      </c>
      <c r="F332" s="3" t="s">
        <v>23</v>
      </c>
      <c r="G332" s="3" t="s">
        <v>25</v>
      </c>
      <c r="H332" s="3" t="s">
        <v>11</v>
      </c>
      <c r="I332" s="3">
        <v>89357</v>
      </c>
      <c r="J332" s="3">
        <v>11</v>
      </c>
      <c r="K332" s="3">
        <v>8</v>
      </c>
      <c r="L332" s="3">
        <v>3</v>
      </c>
      <c r="M332" s="3">
        <v>3</v>
      </c>
      <c r="N332" s="3" t="s">
        <v>14</v>
      </c>
      <c r="O332" s="3" t="s">
        <v>13</v>
      </c>
      <c r="P332" s="3">
        <v>4</v>
      </c>
      <c r="Q332" s="3">
        <v>4</v>
      </c>
      <c r="R332" s="4" t="s">
        <v>14</v>
      </c>
      <c r="S332" s="4" t="s">
        <v>12</v>
      </c>
      <c r="T332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333" spans="1:20" ht="18" x14ac:dyDescent="0.35">
      <c r="A333" s="3" t="s">
        <v>376</v>
      </c>
      <c r="B333" s="3" t="str">
        <f>IF(Table1[[#This Row],[Age]]&lt;25,"Under 25",IF(Table1[[#This Row],[Age]]&lt;35,"25-34",IF(Table1[[#This Row],[Age]]&lt;45,"35-44",IF(Table1[[#This Row],[Age]]&lt;55,"45-54","55+"))))</f>
        <v>Under 25</v>
      </c>
      <c r="C333" s="3">
        <v>21</v>
      </c>
      <c r="D333" s="3" t="s">
        <v>7</v>
      </c>
      <c r="E333" s="3" t="s">
        <v>51</v>
      </c>
      <c r="F333" s="3" t="s">
        <v>52</v>
      </c>
      <c r="G333" s="3" t="s">
        <v>25</v>
      </c>
      <c r="H333" s="3" t="s">
        <v>11</v>
      </c>
      <c r="I333" s="3">
        <v>80957</v>
      </c>
      <c r="J333" s="3">
        <v>1</v>
      </c>
      <c r="K333" s="3">
        <v>0</v>
      </c>
      <c r="L333" s="3">
        <v>3</v>
      </c>
      <c r="M333" s="3">
        <v>3</v>
      </c>
      <c r="N333" s="3" t="s">
        <v>14</v>
      </c>
      <c r="O333" s="3" t="s">
        <v>13</v>
      </c>
      <c r="P333" s="3">
        <v>3</v>
      </c>
      <c r="Q333" s="3">
        <v>5</v>
      </c>
      <c r="R333" s="4" t="s">
        <v>14</v>
      </c>
      <c r="S333" s="4" t="s">
        <v>14</v>
      </c>
      <c r="T333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334" spans="1:20" ht="18" x14ac:dyDescent="0.35">
      <c r="A334" s="3" t="s">
        <v>377</v>
      </c>
      <c r="B334" s="3" t="str">
        <f>IF(Table1[[#This Row],[Age]]&lt;25,"Under 25",IF(Table1[[#This Row],[Age]]&lt;35,"25-34",IF(Table1[[#This Row],[Age]]&lt;45,"35-44",IF(Table1[[#This Row],[Age]]&lt;55,"45-54","55+"))))</f>
        <v>25-34</v>
      </c>
      <c r="C334" s="3">
        <v>32</v>
      </c>
      <c r="D334" s="3" t="s">
        <v>22</v>
      </c>
      <c r="E334" s="3" t="s">
        <v>8</v>
      </c>
      <c r="F334" s="3" t="s">
        <v>66</v>
      </c>
      <c r="G334" s="3" t="s">
        <v>18</v>
      </c>
      <c r="H334" s="3" t="s">
        <v>11</v>
      </c>
      <c r="I334" s="3">
        <v>68405</v>
      </c>
      <c r="J334" s="3">
        <v>4</v>
      </c>
      <c r="K334" s="3">
        <v>4</v>
      </c>
      <c r="L334" s="3">
        <v>2</v>
      </c>
      <c r="M334" s="3">
        <v>2</v>
      </c>
      <c r="N334" s="3" t="s">
        <v>12</v>
      </c>
      <c r="O334" s="3" t="s">
        <v>13</v>
      </c>
      <c r="P334" s="3">
        <v>3</v>
      </c>
      <c r="Q334" s="3">
        <v>0</v>
      </c>
      <c r="R334" s="4" t="s">
        <v>14</v>
      </c>
      <c r="S334" s="4" t="s">
        <v>14</v>
      </c>
      <c r="T334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335" spans="1:20" ht="18" x14ac:dyDescent="0.35">
      <c r="A335" s="3" t="s">
        <v>378</v>
      </c>
      <c r="B335" s="3" t="str">
        <f>IF(Table1[[#This Row],[Age]]&lt;25,"Under 25",IF(Table1[[#This Row],[Age]]&lt;35,"25-34",IF(Table1[[#This Row],[Age]]&lt;45,"35-44",IF(Table1[[#This Row],[Age]]&lt;55,"45-54","55+"))))</f>
        <v>25-34</v>
      </c>
      <c r="C335" s="3">
        <v>32</v>
      </c>
      <c r="D335" s="3" t="s">
        <v>7</v>
      </c>
      <c r="E335" s="3" t="s">
        <v>16</v>
      </c>
      <c r="F335" s="3" t="s">
        <v>28</v>
      </c>
      <c r="G335" s="3" t="s">
        <v>25</v>
      </c>
      <c r="H335" s="3" t="s">
        <v>11</v>
      </c>
      <c r="I335" s="3">
        <v>22000</v>
      </c>
      <c r="J335" s="3">
        <v>0</v>
      </c>
      <c r="K335" s="3">
        <v>0</v>
      </c>
      <c r="L335" s="3">
        <v>4</v>
      </c>
      <c r="M335" s="3">
        <v>2</v>
      </c>
      <c r="N335" s="3" t="s">
        <v>14</v>
      </c>
      <c r="O335" s="3" t="s">
        <v>20</v>
      </c>
      <c r="P335" s="3">
        <v>3</v>
      </c>
      <c r="Q335" s="3">
        <v>1</v>
      </c>
      <c r="R335" s="4" t="s">
        <v>14</v>
      </c>
      <c r="S335" s="4" t="s">
        <v>12</v>
      </c>
      <c r="T335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Less than 1 Year</v>
      </c>
    </row>
    <row r="336" spans="1:20" ht="18" x14ac:dyDescent="0.35">
      <c r="A336" s="3" t="s">
        <v>379</v>
      </c>
      <c r="B336" s="3" t="str">
        <f>IF(Table1[[#This Row],[Age]]&lt;25,"Under 25",IF(Table1[[#This Row],[Age]]&lt;35,"25-34",IF(Table1[[#This Row],[Age]]&lt;45,"35-44",IF(Table1[[#This Row],[Age]]&lt;55,"45-54","55+"))))</f>
        <v>35-44</v>
      </c>
      <c r="C336" s="3">
        <v>37</v>
      </c>
      <c r="D336" s="3" t="s">
        <v>22</v>
      </c>
      <c r="E336" s="3" t="s">
        <v>34</v>
      </c>
      <c r="F336" s="3" t="s">
        <v>150</v>
      </c>
      <c r="G336" s="3" t="s">
        <v>25</v>
      </c>
      <c r="H336" s="3" t="s">
        <v>11</v>
      </c>
      <c r="I336" s="3">
        <v>37934</v>
      </c>
      <c r="J336" s="3">
        <v>17</v>
      </c>
      <c r="K336" s="3">
        <v>8</v>
      </c>
      <c r="L336" s="3">
        <v>2</v>
      </c>
      <c r="M336" s="3">
        <v>2</v>
      </c>
      <c r="N336" s="3" t="s">
        <v>14</v>
      </c>
      <c r="O336" s="3" t="s">
        <v>13</v>
      </c>
      <c r="P336" s="3">
        <v>3</v>
      </c>
      <c r="Q336" s="3">
        <v>3</v>
      </c>
      <c r="R336" s="4" t="s">
        <v>14</v>
      </c>
      <c r="S336" s="4" t="s">
        <v>14</v>
      </c>
      <c r="T336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337" spans="1:20" ht="18" x14ac:dyDescent="0.35">
      <c r="A337" s="3" t="s">
        <v>380</v>
      </c>
      <c r="B337" s="3" t="str">
        <f>IF(Table1[[#This Row],[Age]]&lt;25,"Under 25",IF(Table1[[#This Row],[Age]]&lt;35,"25-34",IF(Table1[[#This Row],[Age]]&lt;45,"35-44",IF(Table1[[#This Row],[Age]]&lt;55,"45-54","55+"))))</f>
        <v>35-44</v>
      </c>
      <c r="C337" s="3">
        <v>36</v>
      </c>
      <c r="D337" s="3" t="s">
        <v>7</v>
      </c>
      <c r="E337" s="3" t="s">
        <v>16</v>
      </c>
      <c r="F337" s="3" t="s">
        <v>17</v>
      </c>
      <c r="G337" s="3" t="s">
        <v>45</v>
      </c>
      <c r="H337" s="3" t="s">
        <v>19</v>
      </c>
      <c r="I337" s="3">
        <v>71624</v>
      </c>
      <c r="J337" s="3">
        <v>12</v>
      </c>
      <c r="K337" s="3">
        <v>11</v>
      </c>
      <c r="L337" s="3">
        <v>3</v>
      </c>
      <c r="M337" s="3">
        <v>3</v>
      </c>
      <c r="N337" s="3" t="s">
        <v>14</v>
      </c>
      <c r="O337" s="3" t="s">
        <v>20</v>
      </c>
      <c r="P337" s="3">
        <v>4</v>
      </c>
      <c r="Q337" s="3">
        <v>2</v>
      </c>
      <c r="R337" s="4" t="s">
        <v>12</v>
      </c>
      <c r="S337" s="4" t="s">
        <v>14</v>
      </c>
      <c r="T337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338" spans="1:20" ht="18" x14ac:dyDescent="0.35">
      <c r="A338" s="3" t="s">
        <v>381</v>
      </c>
      <c r="B338" s="3" t="str">
        <f>IF(Table1[[#This Row],[Age]]&lt;25,"Under 25",IF(Table1[[#This Row],[Age]]&lt;35,"25-34",IF(Table1[[#This Row],[Age]]&lt;45,"35-44",IF(Table1[[#This Row],[Age]]&lt;55,"45-54","55+"))))</f>
        <v>35-44</v>
      </c>
      <c r="C338" s="3">
        <v>40</v>
      </c>
      <c r="D338" s="3" t="s">
        <v>22</v>
      </c>
      <c r="E338" s="3" t="s">
        <v>34</v>
      </c>
      <c r="F338" s="3" t="s">
        <v>150</v>
      </c>
      <c r="G338" s="3" t="s">
        <v>10</v>
      </c>
      <c r="H338" s="3" t="s">
        <v>11</v>
      </c>
      <c r="I338" s="3">
        <v>80730</v>
      </c>
      <c r="J338" s="3">
        <v>12</v>
      </c>
      <c r="K338" s="3">
        <v>3</v>
      </c>
      <c r="L338" s="3">
        <v>3</v>
      </c>
      <c r="M338" s="3">
        <v>2</v>
      </c>
      <c r="N338" s="3" t="s">
        <v>14</v>
      </c>
      <c r="O338" s="3" t="s">
        <v>20</v>
      </c>
      <c r="P338" s="3">
        <v>3</v>
      </c>
      <c r="Q338" s="3">
        <v>4</v>
      </c>
      <c r="R338" s="4" t="s">
        <v>14</v>
      </c>
      <c r="S338" s="4" t="s">
        <v>14</v>
      </c>
      <c r="T338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339" spans="1:20" ht="18" x14ac:dyDescent="0.35">
      <c r="A339" s="3" t="s">
        <v>382</v>
      </c>
      <c r="B339" s="3" t="str">
        <f>IF(Table1[[#This Row],[Age]]&lt;25,"Under 25",IF(Table1[[#This Row],[Age]]&lt;35,"25-34",IF(Table1[[#This Row],[Age]]&lt;45,"35-44",IF(Table1[[#This Row],[Age]]&lt;55,"45-54","55+"))))</f>
        <v>45-54</v>
      </c>
      <c r="C339" s="3">
        <v>50</v>
      </c>
      <c r="D339" s="3" t="s">
        <v>22</v>
      </c>
      <c r="E339" s="3" t="s">
        <v>51</v>
      </c>
      <c r="F339" s="3" t="s">
        <v>72</v>
      </c>
      <c r="G339" s="3" t="s">
        <v>10</v>
      </c>
      <c r="H339" s="3" t="s">
        <v>11</v>
      </c>
      <c r="I339" s="3">
        <v>27036</v>
      </c>
      <c r="J339" s="3">
        <v>22</v>
      </c>
      <c r="K339" s="3">
        <v>3</v>
      </c>
      <c r="L339" s="3">
        <v>2</v>
      </c>
      <c r="M339" s="3">
        <v>3</v>
      </c>
      <c r="N339" s="3" t="s">
        <v>14</v>
      </c>
      <c r="O339" s="3" t="s">
        <v>20</v>
      </c>
      <c r="P339" s="3">
        <v>3</v>
      </c>
      <c r="Q339" s="3">
        <v>4</v>
      </c>
      <c r="R339" s="4" t="s">
        <v>14</v>
      </c>
      <c r="S339" s="4" t="s">
        <v>14</v>
      </c>
      <c r="T339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340" spans="1:20" ht="18" x14ac:dyDescent="0.35">
      <c r="A340" s="3" t="s">
        <v>383</v>
      </c>
      <c r="B340" s="3" t="str">
        <f>IF(Table1[[#This Row],[Age]]&lt;25,"Under 25",IF(Table1[[#This Row],[Age]]&lt;35,"25-34",IF(Table1[[#This Row],[Age]]&lt;45,"35-44",IF(Table1[[#This Row],[Age]]&lt;55,"45-54","55+"))))</f>
        <v>35-44</v>
      </c>
      <c r="C340" s="3">
        <v>38</v>
      </c>
      <c r="D340" s="3" t="s">
        <v>22</v>
      </c>
      <c r="E340" s="3" t="s">
        <v>34</v>
      </c>
      <c r="F340" s="3" t="s">
        <v>54</v>
      </c>
      <c r="G340" s="3" t="s">
        <v>10</v>
      </c>
      <c r="H340" s="3" t="s">
        <v>19</v>
      </c>
      <c r="I340" s="3">
        <v>64684</v>
      </c>
      <c r="J340" s="3">
        <v>15</v>
      </c>
      <c r="K340" s="3">
        <v>3</v>
      </c>
      <c r="L340" s="3">
        <v>3</v>
      </c>
      <c r="M340" s="3">
        <v>2</v>
      </c>
      <c r="N340" s="3" t="s">
        <v>14</v>
      </c>
      <c r="O340" s="3" t="s">
        <v>13</v>
      </c>
      <c r="P340" s="3">
        <v>3</v>
      </c>
      <c r="Q340" s="3">
        <v>2</v>
      </c>
      <c r="R340" s="4" t="s">
        <v>14</v>
      </c>
      <c r="S340" s="4" t="s">
        <v>14</v>
      </c>
      <c r="T340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341" spans="1:20" ht="18" x14ac:dyDescent="0.35">
      <c r="A341" s="3" t="s">
        <v>384</v>
      </c>
      <c r="B341" s="3" t="str">
        <f>IF(Table1[[#This Row],[Age]]&lt;25,"Under 25",IF(Table1[[#This Row],[Age]]&lt;35,"25-34",IF(Table1[[#This Row],[Age]]&lt;45,"35-44",IF(Table1[[#This Row],[Age]]&lt;55,"45-54","55+"))))</f>
        <v>Under 25</v>
      </c>
      <c r="C341" s="3">
        <v>21</v>
      </c>
      <c r="D341" s="3" t="s">
        <v>7</v>
      </c>
      <c r="E341" s="3" t="s">
        <v>51</v>
      </c>
      <c r="F341" s="3" t="s">
        <v>72</v>
      </c>
      <c r="G341" s="3" t="s">
        <v>25</v>
      </c>
      <c r="H341" s="3" t="s">
        <v>11</v>
      </c>
      <c r="I341" s="3">
        <v>106379</v>
      </c>
      <c r="J341" s="3">
        <v>0</v>
      </c>
      <c r="K341" s="3">
        <v>0</v>
      </c>
      <c r="L341" s="3">
        <v>3</v>
      </c>
      <c r="M341" s="3">
        <v>2</v>
      </c>
      <c r="N341" s="3" t="s">
        <v>12</v>
      </c>
      <c r="O341" s="3" t="s">
        <v>26</v>
      </c>
      <c r="P341" s="3">
        <v>3</v>
      </c>
      <c r="Q341" s="3">
        <v>4</v>
      </c>
      <c r="R341" s="4" t="s">
        <v>14</v>
      </c>
      <c r="S341" s="4" t="s">
        <v>14</v>
      </c>
      <c r="T341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Less than 1 Year</v>
      </c>
    </row>
    <row r="342" spans="1:20" ht="18" x14ac:dyDescent="0.35">
      <c r="A342" s="3" t="s">
        <v>385</v>
      </c>
      <c r="B342" s="3" t="str">
        <f>IF(Table1[[#This Row],[Age]]&lt;25,"Under 25",IF(Table1[[#This Row],[Age]]&lt;35,"25-34",IF(Table1[[#This Row],[Age]]&lt;45,"35-44",IF(Table1[[#This Row],[Age]]&lt;55,"45-54","55+"))))</f>
        <v>Under 25</v>
      </c>
      <c r="C342" s="3">
        <v>21</v>
      </c>
      <c r="D342" s="3" t="s">
        <v>22</v>
      </c>
      <c r="E342" s="3" t="s">
        <v>8</v>
      </c>
      <c r="F342" s="3" t="s">
        <v>9</v>
      </c>
      <c r="G342" s="3" t="s">
        <v>18</v>
      </c>
      <c r="H342" s="3" t="s">
        <v>11</v>
      </c>
      <c r="I342" s="3">
        <v>22159</v>
      </c>
      <c r="J342" s="3">
        <v>2</v>
      </c>
      <c r="K342" s="3">
        <v>0</v>
      </c>
      <c r="L342" s="3">
        <v>4</v>
      </c>
      <c r="M342" s="3">
        <v>2</v>
      </c>
      <c r="N342" s="3" t="s">
        <v>14</v>
      </c>
      <c r="O342" s="3" t="s">
        <v>20</v>
      </c>
      <c r="P342" s="3">
        <v>3</v>
      </c>
      <c r="Q342" s="3">
        <v>5</v>
      </c>
      <c r="R342" s="4" t="s">
        <v>14</v>
      </c>
      <c r="S342" s="4" t="s">
        <v>14</v>
      </c>
      <c r="T342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343" spans="1:20" ht="18" x14ac:dyDescent="0.35">
      <c r="A343" s="3" t="s">
        <v>386</v>
      </c>
      <c r="B343" s="3" t="str">
        <f>IF(Table1[[#This Row],[Age]]&lt;25,"Under 25",IF(Table1[[#This Row],[Age]]&lt;35,"25-34",IF(Table1[[#This Row],[Age]]&lt;45,"35-44",IF(Table1[[#This Row],[Age]]&lt;55,"45-54","55+"))))</f>
        <v>25-34</v>
      </c>
      <c r="C343" s="3">
        <v>25</v>
      </c>
      <c r="D343" s="3" t="s">
        <v>22</v>
      </c>
      <c r="E343" s="3" t="s">
        <v>34</v>
      </c>
      <c r="F343" s="3" t="s">
        <v>91</v>
      </c>
      <c r="G343" s="3" t="s">
        <v>25</v>
      </c>
      <c r="H343" s="3" t="s">
        <v>11</v>
      </c>
      <c r="I343" s="3">
        <v>84099</v>
      </c>
      <c r="J343" s="3">
        <v>2</v>
      </c>
      <c r="K343" s="3">
        <v>0</v>
      </c>
      <c r="L343" s="3">
        <v>2</v>
      </c>
      <c r="M343" s="3">
        <v>1</v>
      </c>
      <c r="N343" s="3" t="s">
        <v>14</v>
      </c>
      <c r="O343" s="3" t="s">
        <v>13</v>
      </c>
      <c r="P343" s="3">
        <v>2</v>
      </c>
      <c r="Q343" s="3">
        <v>1</v>
      </c>
      <c r="R343" s="4" t="s">
        <v>14</v>
      </c>
      <c r="S343" s="4" t="s">
        <v>14</v>
      </c>
      <c r="T343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344" spans="1:20" ht="18" x14ac:dyDescent="0.35">
      <c r="A344" s="3" t="s">
        <v>387</v>
      </c>
      <c r="B344" s="3" t="str">
        <f>IF(Table1[[#This Row],[Age]]&lt;25,"Under 25",IF(Table1[[#This Row],[Age]]&lt;35,"25-34",IF(Table1[[#This Row],[Age]]&lt;45,"35-44",IF(Table1[[#This Row],[Age]]&lt;55,"45-54","55+"))))</f>
        <v>25-34</v>
      </c>
      <c r="C344" s="3">
        <v>30</v>
      </c>
      <c r="D344" s="3" t="s">
        <v>22</v>
      </c>
      <c r="E344" s="3" t="s">
        <v>16</v>
      </c>
      <c r="F344" s="3" t="s">
        <v>47</v>
      </c>
      <c r="G344" s="3" t="s">
        <v>18</v>
      </c>
      <c r="H344" s="3" t="s">
        <v>11</v>
      </c>
      <c r="I344" s="3">
        <v>29888</v>
      </c>
      <c r="J344" s="3">
        <v>10</v>
      </c>
      <c r="K344" s="3">
        <v>1</v>
      </c>
      <c r="L344" s="3">
        <v>2</v>
      </c>
      <c r="M344" s="3">
        <v>2</v>
      </c>
      <c r="N344" s="3" t="s">
        <v>14</v>
      </c>
      <c r="O344" s="3" t="s">
        <v>13</v>
      </c>
      <c r="P344" s="3">
        <v>3</v>
      </c>
      <c r="Q344" s="3">
        <v>6</v>
      </c>
      <c r="R344" s="4" t="s">
        <v>14</v>
      </c>
      <c r="S344" s="4" t="s">
        <v>14</v>
      </c>
      <c r="T344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345" spans="1:20" ht="18" x14ac:dyDescent="0.35">
      <c r="A345" s="3" t="s">
        <v>388</v>
      </c>
      <c r="B345" s="3" t="str">
        <f>IF(Table1[[#This Row],[Age]]&lt;25,"Under 25",IF(Table1[[#This Row],[Age]]&lt;35,"25-34",IF(Table1[[#This Row],[Age]]&lt;45,"35-44",IF(Table1[[#This Row],[Age]]&lt;55,"45-54","55+"))))</f>
        <v>Under 25</v>
      </c>
      <c r="C345" s="3">
        <v>24</v>
      </c>
      <c r="D345" s="3" t="s">
        <v>7</v>
      </c>
      <c r="E345" s="3" t="s">
        <v>8</v>
      </c>
      <c r="F345" s="3" t="s">
        <v>66</v>
      </c>
      <c r="G345" s="3" t="s">
        <v>18</v>
      </c>
      <c r="H345" s="3" t="s">
        <v>11</v>
      </c>
      <c r="I345" s="3">
        <v>42095</v>
      </c>
      <c r="J345" s="3">
        <v>4</v>
      </c>
      <c r="K345" s="3">
        <v>2</v>
      </c>
      <c r="L345" s="3">
        <v>2</v>
      </c>
      <c r="M345" s="3">
        <v>3</v>
      </c>
      <c r="N345" s="3" t="s">
        <v>14</v>
      </c>
      <c r="O345" s="3" t="s">
        <v>13</v>
      </c>
      <c r="P345" s="3">
        <v>3</v>
      </c>
      <c r="Q345" s="3">
        <v>3</v>
      </c>
      <c r="R345" s="4" t="s">
        <v>14</v>
      </c>
      <c r="S345" s="4" t="s">
        <v>14</v>
      </c>
      <c r="T345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346" spans="1:20" ht="18" x14ac:dyDescent="0.35">
      <c r="A346" s="3" t="s">
        <v>389</v>
      </c>
      <c r="B346" s="3" t="str">
        <f>IF(Table1[[#This Row],[Age]]&lt;25,"Under 25",IF(Table1[[#This Row],[Age]]&lt;35,"25-34",IF(Table1[[#This Row],[Age]]&lt;45,"35-44",IF(Table1[[#This Row],[Age]]&lt;55,"45-54","55+"))))</f>
        <v>45-54</v>
      </c>
      <c r="C346" s="3">
        <v>47</v>
      </c>
      <c r="D346" s="3" t="s">
        <v>22</v>
      </c>
      <c r="E346" s="3" t="s">
        <v>8</v>
      </c>
      <c r="F346" s="3" t="s">
        <v>23</v>
      </c>
      <c r="G346" s="3" t="s">
        <v>25</v>
      </c>
      <c r="H346" s="3" t="s">
        <v>42</v>
      </c>
      <c r="I346" s="3">
        <v>90945</v>
      </c>
      <c r="J346" s="3">
        <v>16</v>
      </c>
      <c r="K346" s="3">
        <v>10</v>
      </c>
      <c r="L346" s="3">
        <v>3</v>
      </c>
      <c r="M346" s="3">
        <v>2</v>
      </c>
      <c r="N346" s="3" t="s">
        <v>12</v>
      </c>
      <c r="O346" s="3" t="s">
        <v>13</v>
      </c>
      <c r="P346" s="3">
        <v>3</v>
      </c>
      <c r="Q346" s="3">
        <v>2</v>
      </c>
      <c r="R346" s="4" t="s">
        <v>14</v>
      </c>
      <c r="S346" s="4" t="s">
        <v>14</v>
      </c>
      <c r="T346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347" spans="1:20" ht="18" x14ac:dyDescent="0.35">
      <c r="A347" s="3" t="s">
        <v>390</v>
      </c>
      <c r="B347" s="3" t="str">
        <f>IF(Table1[[#This Row],[Age]]&lt;25,"Under 25",IF(Table1[[#This Row],[Age]]&lt;35,"25-34",IF(Table1[[#This Row],[Age]]&lt;45,"35-44",IF(Table1[[#This Row],[Age]]&lt;55,"45-54","55+"))))</f>
        <v>35-44</v>
      </c>
      <c r="C347" s="3">
        <v>35</v>
      </c>
      <c r="D347" s="3" t="s">
        <v>22</v>
      </c>
      <c r="E347" s="3" t="s">
        <v>8</v>
      </c>
      <c r="F347" s="3" t="s">
        <v>9</v>
      </c>
      <c r="G347" s="3" t="s">
        <v>25</v>
      </c>
      <c r="H347" s="3" t="s">
        <v>11</v>
      </c>
      <c r="I347" s="3">
        <v>69024</v>
      </c>
      <c r="J347" s="3">
        <v>8</v>
      </c>
      <c r="K347" s="3">
        <v>5</v>
      </c>
      <c r="L347" s="3">
        <v>3</v>
      </c>
      <c r="M347" s="3">
        <v>3</v>
      </c>
      <c r="N347" s="3" t="s">
        <v>14</v>
      </c>
      <c r="O347" s="3" t="s">
        <v>13</v>
      </c>
      <c r="P347" s="3">
        <v>2</v>
      </c>
      <c r="Q347" s="3">
        <v>0</v>
      </c>
      <c r="R347" s="4" t="s">
        <v>14</v>
      </c>
      <c r="S347" s="4" t="s">
        <v>12</v>
      </c>
      <c r="T347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348" spans="1:20" ht="18" x14ac:dyDescent="0.35">
      <c r="A348" s="3" t="s">
        <v>391</v>
      </c>
      <c r="B348" s="3" t="str">
        <f>IF(Table1[[#This Row],[Age]]&lt;25,"Under 25",IF(Table1[[#This Row],[Age]]&lt;35,"25-34",IF(Table1[[#This Row],[Age]]&lt;45,"35-44",IF(Table1[[#This Row],[Age]]&lt;55,"45-54","55+"))))</f>
        <v>Under 25</v>
      </c>
      <c r="C348" s="3">
        <v>21</v>
      </c>
      <c r="D348" s="3" t="s">
        <v>7</v>
      </c>
      <c r="E348" s="3" t="s">
        <v>16</v>
      </c>
      <c r="F348" s="3" t="s">
        <v>17</v>
      </c>
      <c r="G348" s="3" t="s">
        <v>18</v>
      </c>
      <c r="H348" s="3" t="s">
        <v>42</v>
      </c>
      <c r="I348" s="3">
        <v>71186</v>
      </c>
      <c r="J348" s="3">
        <v>3</v>
      </c>
      <c r="K348" s="3">
        <v>2</v>
      </c>
      <c r="L348" s="3">
        <v>2</v>
      </c>
      <c r="M348" s="3">
        <v>2</v>
      </c>
      <c r="N348" s="3" t="s">
        <v>14</v>
      </c>
      <c r="O348" s="3" t="s">
        <v>13</v>
      </c>
      <c r="P348" s="3">
        <v>3</v>
      </c>
      <c r="Q348" s="3">
        <v>6</v>
      </c>
      <c r="R348" s="4" t="s">
        <v>14</v>
      </c>
      <c r="S348" s="4" t="s">
        <v>14</v>
      </c>
      <c r="T348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349" spans="1:20" ht="18" x14ac:dyDescent="0.35">
      <c r="A349" s="3" t="s">
        <v>392</v>
      </c>
      <c r="B349" s="3" t="str">
        <f>IF(Table1[[#This Row],[Age]]&lt;25,"Under 25",IF(Table1[[#This Row],[Age]]&lt;35,"25-34",IF(Table1[[#This Row],[Age]]&lt;45,"35-44",IF(Table1[[#This Row],[Age]]&lt;55,"45-54","55+"))))</f>
        <v>35-44</v>
      </c>
      <c r="C349" s="3">
        <v>40</v>
      </c>
      <c r="D349" s="3" t="s">
        <v>22</v>
      </c>
      <c r="E349" s="3" t="s">
        <v>16</v>
      </c>
      <c r="F349" s="3" t="s">
        <v>47</v>
      </c>
      <c r="G349" s="3" t="s">
        <v>25</v>
      </c>
      <c r="H349" s="3" t="s">
        <v>19</v>
      </c>
      <c r="I349" s="3">
        <v>103091</v>
      </c>
      <c r="J349" s="3">
        <v>11</v>
      </c>
      <c r="K349" s="3">
        <v>6</v>
      </c>
      <c r="L349" s="3">
        <v>4</v>
      </c>
      <c r="M349" s="3">
        <v>2</v>
      </c>
      <c r="N349" s="3" t="s">
        <v>14</v>
      </c>
      <c r="O349" s="3" t="s">
        <v>13</v>
      </c>
      <c r="P349" s="3">
        <v>3</v>
      </c>
      <c r="Q349" s="3">
        <v>3</v>
      </c>
      <c r="R349" s="4" t="s">
        <v>14</v>
      </c>
      <c r="S349" s="4" t="s">
        <v>14</v>
      </c>
      <c r="T349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350" spans="1:20" ht="18" x14ac:dyDescent="0.35">
      <c r="A350" s="3" t="s">
        <v>393</v>
      </c>
      <c r="B350" s="3" t="str">
        <f>IF(Table1[[#This Row],[Age]]&lt;25,"Under 25",IF(Table1[[#This Row],[Age]]&lt;35,"25-34",IF(Table1[[#This Row],[Age]]&lt;45,"35-44",IF(Table1[[#This Row],[Age]]&lt;55,"45-54","55+"))))</f>
        <v>45-54</v>
      </c>
      <c r="C350" s="3">
        <v>50</v>
      </c>
      <c r="D350" s="3" t="s">
        <v>22</v>
      </c>
      <c r="E350" s="3" t="s">
        <v>38</v>
      </c>
      <c r="F350" s="3" t="s">
        <v>39</v>
      </c>
      <c r="G350" s="3" t="s">
        <v>18</v>
      </c>
      <c r="H350" s="3" t="s">
        <v>19</v>
      </c>
      <c r="I350" s="3">
        <v>72798</v>
      </c>
      <c r="J350" s="3">
        <v>13</v>
      </c>
      <c r="K350" s="3">
        <v>0</v>
      </c>
      <c r="L350" s="3">
        <v>3</v>
      </c>
      <c r="M350" s="3">
        <v>2</v>
      </c>
      <c r="N350" s="3" t="s">
        <v>14</v>
      </c>
      <c r="O350" s="3" t="s">
        <v>13</v>
      </c>
      <c r="P350" s="3">
        <v>3</v>
      </c>
      <c r="Q350" s="3">
        <v>2</v>
      </c>
      <c r="R350" s="4" t="s">
        <v>14</v>
      </c>
      <c r="S350" s="4" t="s">
        <v>14</v>
      </c>
      <c r="T350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351" spans="1:20" ht="18" x14ac:dyDescent="0.35">
      <c r="A351" s="3" t="s">
        <v>394</v>
      </c>
      <c r="B351" s="3" t="str">
        <f>IF(Table1[[#This Row],[Age]]&lt;25,"Under 25",IF(Table1[[#This Row],[Age]]&lt;35,"25-34",IF(Table1[[#This Row],[Age]]&lt;45,"35-44",IF(Table1[[#This Row],[Age]]&lt;55,"45-54","55+"))))</f>
        <v>25-34</v>
      </c>
      <c r="C351" s="3">
        <v>27</v>
      </c>
      <c r="D351" s="3" t="s">
        <v>7</v>
      </c>
      <c r="E351" s="3" t="s">
        <v>8</v>
      </c>
      <c r="F351" s="3" t="s">
        <v>9</v>
      </c>
      <c r="G351" s="3" t="s">
        <v>10</v>
      </c>
      <c r="H351" s="3" t="s">
        <v>19</v>
      </c>
      <c r="I351" s="3">
        <v>78784</v>
      </c>
      <c r="J351" s="3">
        <v>4</v>
      </c>
      <c r="K351" s="3">
        <v>2</v>
      </c>
      <c r="L351" s="3">
        <v>1</v>
      </c>
      <c r="M351" s="3">
        <v>4</v>
      </c>
      <c r="N351" s="3" t="s">
        <v>14</v>
      </c>
      <c r="O351" s="3" t="s">
        <v>20</v>
      </c>
      <c r="P351" s="3">
        <v>3</v>
      </c>
      <c r="Q351" s="3">
        <v>5</v>
      </c>
      <c r="R351" s="4" t="s">
        <v>14</v>
      </c>
      <c r="S351" s="4" t="s">
        <v>14</v>
      </c>
      <c r="T351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352" spans="1:20" ht="18" x14ac:dyDescent="0.35">
      <c r="A352" s="3" t="s">
        <v>395</v>
      </c>
      <c r="B352" s="3" t="str">
        <f>IF(Table1[[#This Row],[Age]]&lt;25,"Under 25",IF(Table1[[#This Row],[Age]]&lt;35,"25-34",IF(Table1[[#This Row],[Age]]&lt;45,"35-44",IF(Table1[[#This Row],[Age]]&lt;55,"45-54","55+"))))</f>
        <v>25-34</v>
      </c>
      <c r="C352" s="3">
        <v>31</v>
      </c>
      <c r="D352" s="3" t="s">
        <v>22</v>
      </c>
      <c r="E352" s="3" t="s">
        <v>34</v>
      </c>
      <c r="F352" s="3" t="s">
        <v>91</v>
      </c>
      <c r="G352" s="3" t="s">
        <v>18</v>
      </c>
      <c r="H352" s="3" t="s">
        <v>19</v>
      </c>
      <c r="I352" s="3">
        <v>68259</v>
      </c>
      <c r="J352" s="3">
        <v>13</v>
      </c>
      <c r="K352" s="3">
        <v>0</v>
      </c>
      <c r="L352" s="3">
        <v>4</v>
      </c>
      <c r="M352" s="3">
        <v>4</v>
      </c>
      <c r="N352" s="3" t="s">
        <v>14</v>
      </c>
      <c r="O352" s="3" t="s">
        <v>13</v>
      </c>
      <c r="P352" s="3">
        <v>2</v>
      </c>
      <c r="Q352" s="3">
        <v>4</v>
      </c>
      <c r="R352" s="4" t="s">
        <v>14</v>
      </c>
      <c r="S352" s="4" t="s">
        <v>14</v>
      </c>
      <c r="T352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353" spans="1:20" ht="18" x14ac:dyDescent="0.35">
      <c r="A353" s="3" t="s">
        <v>396</v>
      </c>
      <c r="B353" s="3" t="str">
        <f>IF(Table1[[#This Row],[Age]]&lt;25,"Under 25",IF(Table1[[#This Row],[Age]]&lt;35,"25-34",IF(Table1[[#This Row],[Age]]&lt;45,"35-44",IF(Table1[[#This Row],[Age]]&lt;55,"45-54","55+"))))</f>
        <v>25-34</v>
      </c>
      <c r="C353" s="3">
        <v>31</v>
      </c>
      <c r="D353" s="3" t="s">
        <v>7</v>
      </c>
      <c r="E353" s="3" t="s">
        <v>31</v>
      </c>
      <c r="F353" s="3" t="s">
        <v>74</v>
      </c>
      <c r="G353" s="3" t="s">
        <v>10</v>
      </c>
      <c r="H353" s="3" t="s">
        <v>19</v>
      </c>
      <c r="I353" s="3">
        <v>30671</v>
      </c>
      <c r="J353" s="3">
        <v>4</v>
      </c>
      <c r="K353" s="3">
        <v>0</v>
      </c>
      <c r="L353" s="3">
        <v>4</v>
      </c>
      <c r="M353" s="3">
        <v>4</v>
      </c>
      <c r="N353" s="3" t="s">
        <v>14</v>
      </c>
      <c r="O353" s="3" t="s">
        <v>20</v>
      </c>
      <c r="P353" s="3">
        <v>3</v>
      </c>
      <c r="Q353" s="3">
        <v>5</v>
      </c>
      <c r="R353" s="4" t="s">
        <v>12</v>
      </c>
      <c r="S353" s="4" t="s">
        <v>14</v>
      </c>
      <c r="T353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354" spans="1:20" ht="18" x14ac:dyDescent="0.35">
      <c r="A354" s="3" t="s">
        <v>397</v>
      </c>
      <c r="B354" s="3" t="str">
        <f>IF(Table1[[#This Row],[Age]]&lt;25,"Under 25",IF(Table1[[#This Row],[Age]]&lt;35,"25-34",IF(Table1[[#This Row],[Age]]&lt;45,"35-44",IF(Table1[[#This Row],[Age]]&lt;55,"45-54","55+"))))</f>
        <v>35-44</v>
      </c>
      <c r="C354" s="3">
        <v>38</v>
      </c>
      <c r="D354" s="3" t="s">
        <v>22</v>
      </c>
      <c r="E354" s="3" t="s">
        <v>31</v>
      </c>
      <c r="F354" s="3" t="s">
        <v>136</v>
      </c>
      <c r="G354" s="3" t="s">
        <v>25</v>
      </c>
      <c r="H354" s="3" t="s">
        <v>19</v>
      </c>
      <c r="I354" s="3">
        <v>30005</v>
      </c>
      <c r="J354" s="3">
        <v>11</v>
      </c>
      <c r="K354" s="3">
        <v>6</v>
      </c>
      <c r="L354" s="3">
        <v>2</v>
      </c>
      <c r="M354" s="3">
        <v>4</v>
      </c>
      <c r="N354" s="3" t="s">
        <v>12</v>
      </c>
      <c r="O354" s="3" t="s">
        <v>13</v>
      </c>
      <c r="P354" s="3">
        <v>3</v>
      </c>
      <c r="Q354" s="3">
        <v>0</v>
      </c>
      <c r="R354" s="4" t="s">
        <v>14</v>
      </c>
      <c r="S354" s="4" t="s">
        <v>14</v>
      </c>
      <c r="T354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355" spans="1:20" ht="18" x14ac:dyDescent="0.35">
      <c r="A355" s="3" t="s">
        <v>398</v>
      </c>
      <c r="B355" s="3" t="str">
        <f>IF(Table1[[#This Row],[Age]]&lt;25,"Under 25",IF(Table1[[#This Row],[Age]]&lt;35,"25-34",IF(Table1[[#This Row],[Age]]&lt;45,"35-44",IF(Table1[[#This Row],[Age]]&lt;55,"45-54","55+"))))</f>
        <v>25-34</v>
      </c>
      <c r="C355" s="3">
        <v>27</v>
      </c>
      <c r="D355" s="3" t="s">
        <v>7</v>
      </c>
      <c r="E355" s="3" t="s">
        <v>16</v>
      </c>
      <c r="F355" s="3" t="s">
        <v>47</v>
      </c>
      <c r="G355" s="3" t="s">
        <v>25</v>
      </c>
      <c r="H355" s="3" t="s">
        <v>11</v>
      </c>
      <c r="I355" s="3">
        <v>38807</v>
      </c>
      <c r="J355" s="3">
        <v>3</v>
      </c>
      <c r="K355" s="3">
        <v>3</v>
      </c>
      <c r="L355" s="3">
        <v>3</v>
      </c>
      <c r="M355" s="3">
        <v>2</v>
      </c>
      <c r="N355" s="3" t="s">
        <v>12</v>
      </c>
      <c r="O355" s="3" t="s">
        <v>13</v>
      </c>
      <c r="P355" s="3">
        <v>3</v>
      </c>
      <c r="Q355" s="3">
        <v>0</v>
      </c>
      <c r="R355" s="4" t="s">
        <v>14</v>
      </c>
      <c r="S355" s="4" t="s">
        <v>14</v>
      </c>
      <c r="T355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356" spans="1:20" ht="18" x14ac:dyDescent="0.35">
      <c r="A356" s="3" t="s">
        <v>399</v>
      </c>
      <c r="B356" s="3" t="str">
        <f>IF(Table1[[#This Row],[Age]]&lt;25,"Under 25",IF(Table1[[#This Row],[Age]]&lt;35,"25-34",IF(Table1[[#This Row],[Age]]&lt;45,"35-44",IF(Table1[[#This Row],[Age]]&lt;55,"45-54","55+"))))</f>
        <v>35-44</v>
      </c>
      <c r="C356" s="3">
        <v>41</v>
      </c>
      <c r="D356" s="3" t="s">
        <v>7</v>
      </c>
      <c r="E356" s="3" t="s">
        <v>16</v>
      </c>
      <c r="F356" s="3" t="s">
        <v>47</v>
      </c>
      <c r="G356" s="3" t="s">
        <v>10</v>
      </c>
      <c r="H356" s="3" t="s">
        <v>11</v>
      </c>
      <c r="I356" s="3">
        <v>63840</v>
      </c>
      <c r="J356" s="3">
        <v>11</v>
      </c>
      <c r="K356" s="3">
        <v>1</v>
      </c>
      <c r="L356" s="3">
        <v>2</v>
      </c>
      <c r="M356" s="3">
        <v>3</v>
      </c>
      <c r="N356" s="3" t="s">
        <v>14</v>
      </c>
      <c r="O356" s="3" t="s">
        <v>13</v>
      </c>
      <c r="P356" s="3">
        <v>4</v>
      </c>
      <c r="Q356" s="3">
        <v>0</v>
      </c>
      <c r="R356" s="4" t="s">
        <v>14</v>
      </c>
      <c r="S356" s="4" t="s">
        <v>14</v>
      </c>
      <c r="T356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357" spans="1:20" ht="18" x14ac:dyDescent="0.35">
      <c r="A357" s="3" t="s">
        <v>400</v>
      </c>
      <c r="B357" s="3" t="str">
        <f>IF(Table1[[#This Row],[Age]]&lt;25,"Under 25",IF(Table1[[#This Row],[Age]]&lt;35,"25-34",IF(Table1[[#This Row],[Age]]&lt;45,"35-44",IF(Table1[[#This Row],[Age]]&lt;55,"45-54","55+"))))</f>
        <v>45-54</v>
      </c>
      <c r="C357" s="3">
        <v>45</v>
      </c>
      <c r="D357" s="3" t="s">
        <v>22</v>
      </c>
      <c r="E357" s="3" t="s">
        <v>34</v>
      </c>
      <c r="F357" s="3" t="s">
        <v>150</v>
      </c>
      <c r="G357" s="3" t="s">
        <v>25</v>
      </c>
      <c r="H357" s="3" t="s">
        <v>11</v>
      </c>
      <c r="I357" s="3">
        <v>65081</v>
      </c>
      <c r="J357" s="3">
        <v>6</v>
      </c>
      <c r="K357" s="3">
        <v>0</v>
      </c>
      <c r="L357" s="3">
        <v>3</v>
      </c>
      <c r="M357" s="3">
        <v>3</v>
      </c>
      <c r="N357" s="3" t="s">
        <v>12</v>
      </c>
      <c r="O357" s="3" t="s">
        <v>26</v>
      </c>
      <c r="P357" s="3">
        <v>3</v>
      </c>
      <c r="Q357" s="3">
        <v>6</v>
      </c>
      <c r="R357" s="4" t="s">
        <v>14</v>
      </c>
      <c r="S357" s="4" t="s">
        <v>12</v>
      </c>
      <c r="T357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358" spans="1:20" ht="18" x14ac:dyDescent="0.35">
      <c r="A358" s="3" t="s">
        <v>401</v>
      </c>
      <c r="B358" s="3" t="str">
        <f>IF(Table1[[#This Row],[Age]]&lt;25,"Under 25",IF(Table1[[#This Row],[Age]]&lt;35,"25-34",IF(Table1[[#This Row],[Age]]&lt;45,"35-44",IF(Table1[[#This Row],[Age]]&lt;55,"45-54","55+"))))</f>
        <v>35-44</v>
      </c>
      <c r="C358" s="3">
        <v>35</v>
      </c>
      <c r="D358" s="3" t="s">
        <v>7</v>
      </c>
      <c r="E358" s="3" t="s">
        <v>8</v>
      </c>
      <c r="F358" s="3" t="s">
        <v>9</v>
      </c>
      <c r="G358" s="3" t="s">
        <v>10</v>
      </c>
      <c r="H358" s="3" t="s">
        <v>11</v>
      </c>
      <c r="I358" s="3">
        <v>82639</v>
      </c>
      <c r="J358" s="3">
        <v>6</v>
      </c>
      <c r="K358" s="3">
        <v>1</v>
      </c>
      <c r="L358" s="3">
        <v>4</v>
      </c>
      <c r="M358" s="3">
        <v>1</v>
      </c>
      <c r="N358" s="3" t="s">
        <v>14</v>
      </c>
      <c r="O358" s="3" t="s">
        <v>20</v>
      </c>
      <c r="P358" s="3">
        <v>3</v>
      </c>
      <c r="Q358" s="3">
        <v>4</v>
      </c>
      <c r="R358" s="4" t="s">
        <v>14</v>
      </c>
      <c r="S358" s="4" t="s">
        <v>14</v>
      </c>
      <c r="T358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359" spans="1:20" ht="18" x14ac:dyDescent="0.35">
      <c r="A359" s="3" t="s">
        <v>402</v>
      </c>
      <c r="B359" s="3" t="str">
        <f>IF(Table1[[#This Row],[Age]]&lt;25,"Under 25",IF(Table1[[#This Row],[Age]]&lt;35,"25-34",IF(Table1[[#This Row],[Age]]&lt;45,"35-44",IF(Table1[[#This Row],[Age]]&lt;55,"45-54","55+"))))</f>
        <v>25-34</v>
      </c>
      <c r="C359" s="3">
        <v>32</v>
      </c>
      <c r="D359" s="3" t="s">
        <v>22</v>
      </c>
      <c r="E359" s="3" t="s">
        <v>38</v>
      </c>
      <c r="F359" s="3" t="s">
        <v>39</v>
      </c>
      <c r="G359" s="3" t="s">
        <v>10</v>
      </c>
      <c r="H359" s="3" t="s">
        <v>19</v>
      </c>
      <c r="I359" s="3">
        <v>65858</v>
      </c>
      <c r="J359" s="3">
        <v>4</v>
      </c>
      <c r="K359" s="3">
        <v>1</v>
      </c>
      <c r="L359" s="3">
        <v>3</v>
      </c>
      <c r="M359" s="3">
        <v>2</v>
      </c>
      <c r="N359" s="3" t="s">
        <v>14</v>
      </c>
      <c r="O359" s="3" t="s">
        <v>13</v>
      </c>
      <c r="P359" s="3">
        <v>3</v>
      </c>
      <c r="Q359" s="3">
        <v>2</v>
      </c>
      <c r="R359" s="4" t="s">
        <v>12</v>
      </c>
      <c r="S359" s="4" t="s">
        <v>12</v>
      </c>
      <c r="T359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360" spans="1:20" ht="18" x14ac:dyDescent="0.35">
      <c r="A360" s="3" t="s">
        <v>403</v>
      </c>
      <c r="B360" s="3" t="str">
        <f>IF(Table1[[#This Row],[Age]]&lt;25,"Under 25",IF(Table1[[#This Row],[Age]]&lt;35,"25-34",IF(Table1[[#This Row],[Age]]&lt;45,"35-44",IF(Table1[[#This Row],[Age]]&lt;55,"45-54","55+"))))</f>
        <v>Under 25</v>
      </c>
      <c r="C360" s="3">
        <v>23</v>
      </c>
      <c r="D360" s="3" t="s">
        <v>22</v>
      </c>
      <c r="E360" s="3" t="s">
        <v>16</v>
      </c>
      <c r="F360" s="3" t="s">
        <v>47</v>
      </c>
      <c r="G360" s="3" t="s">
        <v>18</v>
      </c>
      <c r="H360" s="3" t="s">
        <v>19</v>
      </c>
      <c r="I360" s="3">
        <v>71702</v>
      </c>
      <c r="J360" s="3">
        <v>2</v>
      </c>
      <c r="K360" s="3">
        <v>0</v>
      </c>
      <c r="L360" s="3">
        <v>3</v>
      </c>
      <c r="M360" s="3">
        <v>3</v>
      </c>
      <c r="N360" s="3" t="s">
        <v>14</v>
      </c>
      <c r="O360" s="3" t="s">
        <v>26</v>
      </c>
      <c r="P360" s="3">
        <v>3</v>
      </c>
      <c r="Q360" s="3">
        <v>6</v>
      </c>
      <c r="R360" s="4" t="s">
        <v>12</v>
      </c>
      <c r="S360" s="4" t="s">
        <v>14</v>
      </c>
      <c r="T360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361" spans="1:20" ht="18" x14ac:dyDescent="0.35">
      <c r="A361" s="3" t="s">
        <v>404</v>
      </c>
      <c r="B361" s="3" t="str">
        <f>IF(Table1[[#This Row],[Age]]&lt;25,"Under 25",IF(Table1[[#This Row],[Age]]&lt;35,"25-34",IF(Table1[[#This Row],[Age]]&lt;45,"35-44",IF(Table1[[#This Row],[Age]]&lt;55,"45-54","55+"))))</f>
        <v>35-44</v>
      </c>
      <c r="C361" s="3">
        <v>43</v>
      </c>
      <c r="D361" s="3" t="s">
        <v>22</v>
      </c>
      <c r="E361" s="3" t="s">
        <v>31</v>
      </c>
      <c r="F361" s="3" t="s">
        <v>74</v>
      </c>
      <c r="G361" s="3" t="s">
        <v>25</v>
      </c>
      <c r="H361" s="3" t="s">
        <v>19</v>
      </c>
      <c r="I361" s="3">
        <v>65804</v>
      </c>
      <c r="J361" s="3">
        <v>24</v>
      </c>
      <c r="K361" s="3">
        <v>1</v>
      </c>
      <c r="L361" s="3">
        <v>2</v>
      </c>
      <c r="M361" s="3">
        <v>2</v>
      </c>
      <c r="N361" s="3" t="s">
        <v>12</v>
      </c>
      <c r="O361" s="3" t="s">
        <v>20</v>
      </c>
      <c r="P361" s="3">
        <v>3</v>
      </c>
      <c r="Q361" s="3">
        <v>2</v>
      </c>
      <c r="R361" s="4" t="s">
        <v>14</v>
      </c>
      <c r="S361" s="4" t="s">
        <v>14</v>
      </c>
      <c r="T361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362" spans="1:20" ht="18" x14ac:dyDescent="0.35">
      <c r="A362" s="3" t="s">
        <v>405</v>
      </c>
      <c r="B362" s="3" t="str">
        <f>IF(Table1[[#This Row],[Age]]&lt;25,"Under 25",IF(Table1[[#This Row],[Age]]&lt;35,"25-34",IF(Table1[[#This Row],[Age]]&lt;45,"35-44",IF(Table1[[#This Row],[Age]]&lt;55,"45-54","55+"))))</f>
        <v>25-34</v>
      </c>
      <c r="C362" s="3">
        <v>33</v>
      </c>
      <c r="D362" s="3" t="s">
        <v>22</v>
      </c>
      <c r="E362" s="3" t="s">
        <v>31</v>
      </c>
      <c r="F362" s="3" t="s">
        <v>74</v>
      </c>
      <c r="G362" s="3" t="s">
        <v>18</v>
      </c>
      <c r="H362" s="3" t="s">
        <v>19</v>
      </c>
      <c r="I362" s="3">
        <v>79387</v>
      </c>
      <c r="J362" s="3">
        <v>9</v>
      </c>
      <c r="K362" s="3">
        <v>9</v>
      </c>
      <c r="L362" s="3">
        <v>2</v>
      </c>
      <c r="M362" s="3">
        <v>3</v>
      </c>
      <c r="N362" s="3" t="s">
        <v>14</v>
      </c>
      <c r="O362" s="3" t="s">
        <v>13</v>
      </c>
      <c r="P362" s="3">
        <v>3</v>
      </c>
      <c r="Q362" s="3">
        <v>2</v>
      </c>
      <c r="R362" s="4" t="s">
        <v>12</v>
      </c>
      <c r="S362" s="4" t="s">
        <v>14</v>
      </c>
      <c r="T362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363" spans="1:20" ht="18" x14ac:dyDescent="0.35">
      <c r="A363" s="3" t="s">
        <v>406</v>
      </c>
      <c r="B363" s="3" t="str">
        <f>IF(Table1[[#This Row],[Age]]&lt;25,"Under 25",IF(Table1[[#This Row],[Age]]&lt;35,"25-34",IF(Table1[[#This Row],[Age]]&lt;45,"35-44",IF(Table1[[#This Row],[Age]]&lt;55,"45-54","55+"))))</f>
        <v>35-44</v>
      </c>
      <c r="C363" s="3">
        <v>35</v>
      </c>
      <c r="D363" s="3" t="s">
        <v>22</v>
      </c>
      <c r="E363" s="3" t="s">
        <v>8</v>
      </c>
      <c r="F363" s="3" t="s">
        <v>9</v>
      </c>
      <c r="G363" s="3" t="s">
        <v>18</v>
      </c>
      <c r="H363" s="3" t="s">
        <v>19</v>
      </c>
      <c r="I363" s="3">
        <v>34923</v>
      </c>
      <c r="J363" s="3">
        <v>10</v>
      </c>
      <c r="K363" s="3">
        <v>9</v>
      </c>
      <c r="L363" s="3">
        <v>3</v>
      </c>
      <c r="M363" s="3">
        <v>3</v>
      </c>
      <c r="N363" s="3" t="s">
        <v>14</v>
      </c>
      <c r="O363" s="3" t="s">
        <v>13</v>
      </c>
      <c r="P363" s="3">
        <v>3</v>
      </c>
      <c r="Q363" s="3">
        <v>2</v>
      </c>
      <c r="R363" s="4" t="s">
        <v>14</v>
      </c>
      <c r="S363" s="4" t="s">
        <v>14</v>
      </c>
      <c r="T363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364" spans="1:20" ht="18" x14ac:dyDescent="0.35">
      <c r="A364" s="3" t="s">
        <v>407</v>
      </c>
      <c r="B364" s="3" t="str">
        <f>IF(Table1[[#This Row],[Age]]&lt;25,"Under 25",IF(Table1[[#This Row],[Age]]&lt;35,"25-34",IF(Table1[[#This Row],[Age]]&lt;45,"35-44",IF(Table1[[#This Row],[Age]]&lt;55,"45-54","55+"))))</f>
        <v>45-54</v>
      </c>
      <c r="C364" s="3">
        <v>47</v>
      </c>
      <c r="D364" s="3" t="s">
        <v>7</v>
      </c>
      <c r="E364" s="3" t="s">
        <v>38</v>
      </c>
      <c r="F364" s="3" t="s">
        <v>39</v>
      </c>
      <c r="G364" s="3" t="s">
        <v>45</v>
      </c>
      <c r="H364" s="3" t="s">
        <v>19</v>
      </c>
      <c r="I364" s="3">
        <v>65047</v>
      </c>
      <c r="J364" s="3">
        <v>23</v>
      </c>
      <c r="K364" s="3">
        <v>6</v>
      </c>
      <c r="L364" s="3">
        <v>4</v>
      </c>
      <c r="M364" s="3">
        <v>4</v>
      </c>
      <c r="N364" s="3" t="s">
        <v>14</v>
      </c>
      <c r="O364" s="3" t="s">
        <v>13</v>
      </c>
      <c r="P364" s="3">
        <v>3</v>
      </c>
      <c r="Q364" s="3">
        <v>6</v>
      </c>
      <c r="R364" s="4" t="s">
        <v>14</v>
      </c>
      <c r="S364" s="4" t="s">
        <v>14</v>
      </c>
      <c r="T364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365" spans="1:20" ht="18" x14ac:dyDescent="0.35">
      <c r="A365" s="3" t="s">
        <v>408</v>
      </c>
      <c r="B365" s="3" t="str">
        <f>IF(Table1[[#This Row],[Age]]&lt;25,"Under 25",IF(Table1[[#This Row],[Age]]&lt;35,"25-34",IF(Table1[[#This Row],[Age]]&lt;45,"35-44",IF(Table1[[#This Row],[Age]]&lt;55,"45-54","55+"))))</f>
        <v>25-34</v>
      </c>
      <c r="C365" s="3">
        <v>34</v>
      </c>
      <c r="D365" s="3" t="s">
        <v>22</v>
      </c>
      <c r="E365" s="3" t="s">
        <v>38</v>
      </c>
      <c r="F365" s="3" t="s">
        <v>59</v>
      </c>
      <c r="G365" s="3" t="s">
        <v>10</v>
      </c>
      <c r="H365" s="3" t="s">
        <v>11</v>
      </c>
      <c r="I365" s="3">
        <v>100558</v>
      </c>
      <c r="J365" s="3">
        <v>16</v>
      </c>
      <c r="K365" s="3">
        <v>2</v>
      </c>
      <c r="L365" s="3">
        <v>4</v>
      </c>
      <c r="M365" s="3">
        <v>3</v>
      </c>
      <c r="N365" s="3" t="s">
        <v>14</v>
      </c>
      <c r="O365" s="3" t="s">
        <v>13</v>
      </c>
      <c r="P365" s="3">
        <v>3</v>
      </c>
      <c r="Q365" s="3">
        <v>4</v>
      </c>
      <c r="R365" s="4" t="s">
        <v>14</v>
      </c>
      <c r="S365" s="4" t="s">
        <v>14</v>
      </c>
      <c r="T365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366" spans="1:20" ht="18" x14ac:dyDescent="0.35">
      <c r="A366" s="3" t="s">
        <v>409</v>
      </c>
      <c r="B366" s="3" t="str">
        <f>IF(Table1[[#This Row],[Age]]&lt;25,"Under 25",IF(Table1[[#This Row],[Age]]&lt;35,"25-34",IF(Table1[[#This Row],[Age]]&lt;45,"35-44",IF(Table1[[#This Row],[Age]]&lt;55,"45-54","55+"))))</f>
        <v>25-34</v>
      </c>
      <c r="C366" s="3">
        <v>33</v>
      </c>
      <c r="D366" s="3" t="s">
        <v>7</v>
      </c>
      <c r="E366" s="3" t="s">
        <v>38</v>
      </c>
      <c r="F366" s="3" t="s">
        <v>89</v>
      </c>
      <c r="G366" s="3" t="s">
        <v>25</v>
      </c>
      <c r="H366" s="3" t="s">
        <v>11</v>
      </c>
      <c r="I366" s="3">
        <v>95657</v>
      </c>
      <c r="J366" s="3">
        <v>3</v>
      </c>
      <c r="K366" s="3">
        <v>3</v>
      </c>
      <c r="L366" s="3">
        <v>3</v>
      </c>
      <c r="M366" s="3">
        <v>3</v>
      </c>
      <c r="N366" s="3" t="s">
        <v>14</v>
      </c>
      <c r="O366" s="3" t="s">
        <v>26</v>
      </c>
      <c r="P366" s="3">
        <v>3</v>
      </c>
      <c r="Q366" s="3">
        <v>0</v>
      </c>
      <c r="R366" s="4" t="s">
        <v>14</v>
      </c>
      <c r="S366" s="4" t="s">
        <v>14</v>
      </c>
      <c r="T366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367" spans="1:20" ht="18" x14ac:dyDescent="0.35">
      <c r="A367" s="3" t="s">
        <v>410</v>
      </c>
      <c r="B367" s="3" t="str">
        <f>IF(Table1[[#This Row],[Age]]&lt;25,"Under 25",IF(Table1[[#This Row],[Age]]&lt;35,"25-34",IF(Table1[[#This Row],[Age]]&lt;45,"35-44",IF(Table1[[#This Row],[Age]]&lt;55,"45-54","55+"))))</f>
        <v>35-44</v>
      </c>
      <c r="C367" s="3">
        <v>41</v>
      </c>
      <c r="D367" s="3" t="s">
        <v>22</v>
      </c>
      <c r="E367" s="3" t="s">
        <v>34</v>
      </c>
      <c r="F367" s="3" t="s">
        <v>91</v>
      </c>
      <c r="G367" s="3" t="s">
        <v>18</v>
      </c>
      <c r="H367" s="3" t="s">
        <v>19</v>
      </c>
      <c r="I367" s="3">
        <v>42014</v>
      </c>
      <c r="J367" s="3">
        <v>6</v>
      </c>
      <c r="K367" s="3">
        <v>4</v>
      </c>
      <c r="L367" s="3">
        <v>3</v>
      </c>
      <c r="M367" s="3">
        <v>1</v>
      </c>
      <c r="N367" s="3" t="s">
        <v>12</v>
      </c>
      <c r="O367" s="3" t="s">
        <v>13</v>
      </c>
      <c r="P367" s="3">
        <v>3</v>
      </c>
      <c r="Q367" s="3">
        <v>3</v>
      </c>
      <c r="R367" s="4" t="s">
        <v>14</v>
      </c>
      <c r="S367" s="4" t="s">
        <v>14</v>
      </c>
      <c r="T367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368" spans="1:20" ht="18" x14ac:dyDescent="0.35">
      <c r="A368" s="3" t="s">
        <v>411</v>
      </c>
      <c r="B368" s="3" t="str">
        <f>IF(Table1[[#This Row],[Age]]&lt;25,"Under 25",IF(Table1[[#This Row],[Age]]&lt;35,"25-34",IF(Table1[[#This Row],[Age]]&lt;45,"35-44",IF(Table1[[#This Row],[Age]]&lt;55,"45-54","55+"))))</f>
        <v>25-34</v>
      </c>
      <c r="C368" s="3">
        <v>27</v>
      </c>
      <c r="D368" s="3" t="s">
        <v>7</v>
      </c>
      <c r="E368" s="3" t="s">
        <v>16</v>
      </c>
      <c r="F368" s="3" t="s">
        <v>47</v>
      </c>
      <c r="G368" s="3" t="s">
        <v>10</v>
      </c>
      <c r="H368" s="3" t="s">
        <v>19</v>
      </c>
      <c r="I368" s="3">
        <v>28674</v>
      </c>
      <c r="J368" s="3">
        <v>6</v>
      </c>
      <c r="K368" s="3">
        <v>5</v>
      </c>
      <c r="L368" s="3">
        <v>4</v>
      </c>
      <c r="M368" s="3">
        <v>3</v>
      </c>
      <c r="N368" s="3" t="s">
        <v>14</v>
      </c>
      <c r="O368" s="3" t="s">
        <v>13</v>
      </c>
      <c r="P368" s="3">
        <v>3</v>
      </c>
      <c r="Q368" s="3">
        <v>3</v>
      </c>
      <c r="R368" s="4" t="s">
        <v>14</v>
      </c>
      <c r="S368" s="4" t="s">
        <v>14</v>
      </c>
      <c r="T368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369" spans="1:20" ht="18" x14ac:dyDescent="0.35">
      <c r="A369" s="3" t="s">
        <v>412</v>
      </c>
      <c r="B369" s="3" t="str">
        <f>IF(Table1[[#This Row],[Age]]&lt;25,"Under 25",IF(Table1[[#This Row],[Age]]&lt;35,"25-34",IF(Table1[[#This Row],[Age]]&lt;45,"35-44",IF(Table1[[#This Row],[Age]]&lt;55,"45-54","55+"))))</f>
        <v>25-34</v>
      </c>
      <c r="C369" s="3">
        <v>28</v>
      </c>
      <c r="D369" s="3" t="s">
        <v>22</v>
      </c>
      <c r="E369" s="3" t="s">
        <v>34</v>
      </c>
      <c r="F369" s="3" t="s">
        <v>54</v>
      </c>
      <c r="G369" s="3" t="s">
        <v>10</v>
      </c>
      <c r="H369" s="3" t="s">
        <v>11</v>
      </c>
      <c r="I369" s="3">
        <v>84452</v>
      </c>
      <c r="J369" s="3">
        <v>6</v>
      </c>
      <c r="K369" s="3">
        <v>6</v>
      </c>
      <c r="L369" s="3">
        <v>2</v>
      </c>
      <c r="M369" s="3">
        <v>1</v>
      </c>
      <c r="N369" s="3" t="s">
        <v>12</v>
      </c>
      <c r="O369" s="3" t="s">
        <v>13</v>
      </c>
      <c r="P369" s="3">
        <v>3</v>
      </c>
      <c r="Q369" s="3">
        <v>5</v>
      </c>
      <c r="R369" s="4" t="s">
        <v>14</v>
      </c>
      <c r="S369" s="4" t="s">
        <v>14</v>
      </c>
      <c r="T369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370" spans="1:20" ht="18" x14ac:dyDescent="0.35">
      <c r="A370" s="3" t="s">
        <v>413</v>
      </c>
      <c r="B370" s="3" t="str">
        <f>IF(Table1[[#This Row],[Age]]&lt;25,"Under 25",IF(Table1[[#This Row],[Age]]&lt;35,"25-34",IF(Table1[[#This Row],[Age]]&lt;45,"35-44",IF(Table1[[#This Row],[Age]]&lt;55,"45-54","55+"))))</f>
        <v>Under 25</v>
      </c>
      <c r="C370" s="3">
        <v>22</v>
      </c>
      <c r="D370" s="3" t="s">
        <v>22</v>
      </c>
      <c r="E370" s="3" t="s">
        <v>38</v>
      </c>
      <c r="F370" s="3" t="s">
        <v>39</v>
      </c>
      <c r="G370" s="3" t="s">
        <v>10</v>
      </c>
      <c r="H370" s="3" t="s">
        <v>11</v>
      </c>
      <c r="I370" s="3">
        <v>109986</v>
      </c>
      <c r="J370" s="3">
        <v>4</v>
      </c>
      <c r="K370" s="3">
        <v>1</v>
      </c>
      <c r="L370" s="3">
        <v>4</v>
      </c>
      <c r="M370" s="3">
        <v>3</v>
      </c>
      <c r="N370" s="3" t="s">
        <v>14</v>
      </c>
      <c r="O370" s="3" t="s">
        <v>13</v>
      </c>
      <c r="P370" s="3">
        <v>4</v>
      </c>
      <c r="Q370" s="3">
        <v>2</v>
      </c>
      <c r="R370" s="4" t="s">
        <v>14</v>
      </c>
      <c r="S370" s="4" t="s">
        <v>14</v>
      </c>
      <c r="T370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371" spans="1:20" ht="18" x14ac:dyDescent="0.35">
      <c r="A371" s="3" t="s">
        <v>414</v>
      </c>
      <c r="B371" s="3" t="str">
        <f>IF(Table1[[#This Row],[Age]]&lt;25,"Under 25",IF(Table1[[#This Row],[Age]]&lt;35,"25-34",IF(Table1[[#This Row],[Age]]&lt;45,"35-44",IF(Table1[[#This Row],[Age]]&lt;55,"45-54","55+"))))</f>
        <v>35-44</v>
      </c>
      <c r="C371" s="3">
        <v>36</v>
      </c>
      <c r="D371" s="3" t="s">
        <v>22</v>
      </c>
      <c r="E371" s="3" t="s">
        <v>34</v>
      </c>
      <c r="F371" s="3" t="s">
        <v>150</v>
      </c>
      <c r="G371" s="3" t="s">
        <v>10</v>
      </c>
      <c r="H371" s="3" t="s">
        <v>11</v>
      </c>
      <c r="I371" s="3">
        <v>59928</v>
      </c>
      <c r="J371" s="3">
        <v>9</v>
      </c>
      <c r="K371" s="3">
        <v>9</v>
      </c>
      <c r="L371" s="3">
        <v>3</v>
      </c>
      <c r="M371" s="3">
        <v>3</v>
      </c>
      <c r="N371" s="3" t="s">
        <v>14</v>
      </c>
      <c r="O371" s="3" t="s">
        <v>13</v>
      </c>
      <c r="P371" s="3">
        <v>3</v>
      </c>
      <c r="Q371" s="3">
        <v>1</v>
      </c>
      <c r="R371" s="4" t="s">
        <v>14</v>
      </c>
      <c r="S371" s="4" t="s">
        <v>14</v>
      </c>
      <c r="T371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372" spans="1:20" ht="18" x14ac:dyDescent="0.35">
      <c r="A372" s="3" t="s">
        <v>415</v>
      </c>
      <c r="B372" s="3" t="str">
        <f>IF(Table1[[#This Row],[Age]]&lt;25,"Under 25",IF(Table1[[#This Row],[Age]]&lt;35,"25-34",IF(Table1[[#This Row],[Age]]&lt;45,"35-44",IF(Table1[[#This Row],[Age]]&lt;55,"45-54","55+"))))</f>
        <v>35-44</v>
      </c>
      <c r="C372" s="3">
        <v>36</v>
      </c>
      <c r="D372" s="3" t="s">
        <v>7</v>
      </c>
      <c r="E372" s="3" t="s">
        <v>16</v>
      </c>
      <c r="F372" s="3" t="s">
        <v>28</v>
      </c>
      <c r="G372" s="3" t="s">
        <v>25</v>
      </c>
      <c r="H372" s="3" t="s">
        <v>19</v>
      </c>
      <c r="I372" s="3">
        <v>84874</v>
      </c>
      <c r="J372" s="3">
        <v>4</v>
      </c>
      <c r="K372" s="3">
        <v>3</v>
      </c>
      <c r="L372" s="3">
        <v>3</v>
      </c>
      <c r="M372" s="3">
        <v>4</v>
      </c>
      <c r="N372" s="3" t="s">
        <v>14</v>
      </c>
      <c r="O372" s="3" t="s">
        <v>13</v>
      </c>
      <c r="P372" s="3">
        <v>4</v>
      </c>
      <c r="Q372" s="3">
        <v>0</v>
      </c>
      <c r="R372" s="4" t="s">
        <v>14</v>
      </c>
      <c r="S372" s="4" t="s">
        <v>14</v>
      </c>
      <c r="T372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373" spans="1:20" ht="18" x14ac:dyDescent="0.35">
      <c r="A373" s="3" t="s">
        <v>416</v>
      </c>
      <c r="B373" s="3" t="str">
        <f>IF(Table1[[#This Row],[Age]]&lt;25,"Under 25",IF(Table1[[#This Row],[Age]]&lt;35,"25-34",IF(Table1[[#This Row],[Age]]&lt;45,"35-44",IF(Table1[[#This Row],[Age]]&lt;55,"45-54","55+"))))</f>
        <v>35-44</v>
      </c>
      <c r="C373" s="3">
        <v>39</v>
      </c>
      <c r="D373" s="3" t="s">
        <v>22</v>
      </c>
      <c r="E373" s="3" t="s">
        <v>8</v>
      </c>
      <c r="F373" s="3" t="s">
        <v>9</v>
      </c>
      <c r="G373" s="3" t="s">
        <v>25</v>
      </c>
      <c r="H373" s="3" t="s">
        <v>11</v>
      </c>
      <c r="I373" s="3">
        <v>24390</v>
      </c>
      <c r="J373" s="3">
        <v>11</v>
      </c>
      <c r="K373" s="3">
        <v>8</v>
      </c>
      <c r="L373" s="3">
        <v>3</v>
      </c>
      <c r="M373" s="3">
        <v>2</v>
      </c>
      <c r="N373" s="3" t="s">
        <v>14</v>
      </c>
      <c r="O373" s="3" t="s">
        <v>13</v>
      </c>
      <c r="P373" s="3">
        <v>3</v>
      </c>
      <c r="Q373" s="3">
        <v>1</v>
      </c>
      <c r="R373" s="4" t="s">
        <v>14</v>
      </c>
      <c r="S373" s="4" t="s">
        <v>14</v>
      </c>
      <c r="T373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374" spans="1:20" ht="18" x14ac:dyDescent="0.35">
      <c r="A374" s="3" t="s">
        <v>417</v>
      </c>
      <c r="B374" s="3" t="str">
        <f>IF(Table1[[#This Row],[Age]]&lt;25,"Under 25",IF(Table1[[#This Row],[Age]]&lt;35,"25-34",IF(Table1[[#This Row],[Age]]&lt;45,"35-44",IF(Table1[[#This Row],[Age]]&lt;55,"45-54","55+"))))</f>
        <v>35-44</v>
      </c>
      <c r="C374" s="3">
        <v>42</v>
      </c>
      <c r="D374" s="3" t="s">
        <v>7</v>
      </c>
      <c r="E374" s="3" t="s">
        <v>34</v>
      </c>
      <c r="F374" s="3" t="s">
        <v>54</v>
      </c>
      <c r="G374" s="3" t="s">
        <v>10</v>
      </c>
      <c r="H374" s="3" t="s">
        <v>42</v>
      </c>
      <c r="I374" s="3">
        <v>75566</v>
      </c>
      <c r="J374" s="3">
        <v>4</v>
      </c>
      <c r="K374" s="3">
        <v>1</v>
      </c>
      <c r="L374" s="3">
        <v>4</v>
      </c>
      <c r="M374" s="3">
        <v>2</v>
      </c>
      <c r="N374" s="3" t="s">
        <v>14</v>
      </c>
      <c r="O374" s="3" t="s">
        <v>13</v>
      </c>
      <c r="P374" s="3">
        <v>3</v>
      </c>
      <c r="Q374" s="3">
        <v>3</v>
      </c>
      <c r="R374" s="4" t="s">
        <v>14</v>
      </c>
      <c r="S374" s="4" t="s">
        <v>12</v>
      </c>
      <c r="T374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375" spans="1:20" ht="18" x14ac:dyDescent="0.35">
      <c r="A375" s="3" t="s">
        <v>418</v>
      </c>
      <c r="B375" s="3" t="str">
        <f>IF(Table1[[#This Row],[Age]]&lt;25,"Under 25",IF(Table1[[#This Row],[Age]]&lt;35,"25-34",IF(Table1[[#This Row],[Age]]&lt;45,"35-44",IF(Table1[[#This Row],[Age]]&lt;55,"45-54","55+"))))</f>
        <v>35-44</v>
      </c>
      <c r="C375" s="3">
        <v>42</v>
      </c>
      <c r="D375" s="3" t="s">
        <v>7</v>
      </c>
      <c r="E375" s="3" t="s">
        <v>8</v>
      </c>
      <c r="F375" s="3" t="s">
        <v>23</v>
      </c>
      <c r="G375" s="3" t="s">
        <v>18</v>
      </c>
      <c r="H375" s="3" t="s">
        <v>19</v>
      </c>
      <c r="I375" s="3">
        <v>98267</v>
      </c>
      <c r="J375" s="3">
        <v>3</v>
      </c>
      <c r="K375" s="3">
        <v>2</v>
      </c>
      <c r="L375" s="3">
        <v>3</v>
      </c>
      <c r="M375" s="3">
        <v>3</v>
      </c>
      <c r="N375" s="3" t="s">
        <v>14</v>
      </c>
      <c r="O375" s="3" t="s">
        <v>13</v>
      </c>
      <c r="P375" s="3">
        <v>2</v>
      </c>
      <c r="Q375" s="3">
        <v>3</v>
      </c>
      <c r="R375" s="4" t="s">
        <v>14</v>
      </c>
      <c r="S375" s="4" t="s">
        <v>14</v>
      </c>
      <c r="T375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376" spans="1:20" ht="18" x14ac:dyDescent="0.35">
      <c r="A376" s="3" t="s">
        <v>419</v>
      </c>
      <c r="B376" s="3" t="str">
        <f>IF(Table1[[#This Row],[Age]]&lt;25,"Under 25",IF(Table1[[#This Row],[Age]]&lt;35,"25-34",IF(Table1[[#This Row],[Age]]&lt;45,"35-44",IF(Table1[[#This Row],[Age]]&lt;55,"45-54","55+"))))</f>
        <v>45-54</v>
      </c>
      <c r="C376" s="3">
        <v>45</v>
      </c>
      <c r="D376" s="3" t="s">
        <v>7</v>
      </c>
      <c r="E376" s="3" t="s">
        <v>8</v>
      </c>
      <c r="F376" s="3" t="s">
        <v>66</v>
      </c>
      <c r="G376" s="3" t="s">
        <v>45</v>
      </c>
      <c r="H376" s="3" t="s">
        <v>11</v>
      </c>
      <c r="I376" s="3">
        <v>70574</v>
      </c>
      <c r="J376" s="3">
        <v>21</v>
      </c>
      <c r="K376" s="3">
        <v>3</v>
      </c>
      <c r="L376" s="3">
        <v>4</v>
      </c>
      <c r="M376" s="3">
        <v>3</v>
      </c>
      <c r="N376" s="3" t="s">
        <v>14</v>
      </c>
      <c r="O376" s="3" t="s">
        <v>13</v>
      </c>
      <c r="P376" s="3">
        <v>2</v>
      </c>
      <c r="Q376" s="3">
        <v>6</v>
      </c>
      <c r="R376" s="4" t="s">
        <v>14</v>
      </c>
      <c r="S376" s="4" t="s">
        <v>14</v>
      </c>
      <c r="T376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377" spans="1:20" ht="18" x14ac:dyDescent="0.35">
      <c r="A377" s="3" t="s">
        <v>420</v>
      </c>
      <c r="B377" s="3" t="str">
        <f>IF(Table1[[#This Row],[Age]]&lt;25,"Under 25",IF(Table1[[#This Row],[Age]]&lt;35,"25-34",IF(Table1[[#This Row],[Age]]&lt;45,"35-44",IF(Table1[[#This Row],[Age]]&lt;55,"45-54","55+"))))</f>
        <v>35-44</v>
      </c>
      <c r="C377" s="3">
        <v>38</v>
      </c>
      <c r="D377" s="3" t="s">
        <v>7</v>
      </c>
      <c r="E377" s="3" t="s">
        <v>16</v>
      </c>
      <c r="F377" s="3" t="s">
        <v>28</v>
      </c>
      <c r="G377" s="3" t="s">
        <v>25</v>
      </c>
      <c r="H377" s="3" t="s">
        <v>19</v>
      </c>
      <c r="I377" s="3">
        <v>102126</v>
      </c>
      <c r="J377" s="3">
        <v>9</v>
      </c>
      <c r="K377" s="3">
        <v>1</v>
      </c>
      <c r="L377" s="3">
        <v>3</v>
      </c>
      <c r="M377" s="3">
        <v>2</v>
      </c>
      <c r="N377" s="3" t="s">
        <v>14</v>
      </c>
      <c r="O377" s="3" t="s">
        <v>13</v>
      </c>
      <c r="P377" s="3">
        <v>2</v>
      </c>
      <c r="Q377" s="3">
        <v>2</v>
      </c>
      <c r="R377" s="4" t="s">
        <v>14</v>
      </c>
      <c r="S377" s="4" t="s">
        <v>14</v>
      </c>
      <c r="T377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378" spans="1:20" ht="18" x14ac:dyDescent="0.35">
      <c r="A378" s="3" t="s">
        <v>421</v>
      </c>
      <c r="B378" s="3" t="str">
        <f>IF(Table1[[#This Row],[Age]]&lt;25,"Under 25",IF(Table1[[#This Row],[Age]]&lt;35,"25-34",IF(Table1[[#This Row],[Age]]&lt;45,"35-44",IF(Table1[[#This Row],[Age]]&lt;55,"45-54","55+"))))</f>
        <v>25-34</v>
      </c>
      <c r="C378" s="3">
        <v>25</v>
      </c>
      <c r="D378" s="3" t="s">
        <v>7</v>
      </c>
      <c r="E378" s="3" t="s">
        <v>51</v>
      </c>
      <c r="F378" s="3" t="s">
        <v>72</v>
      </c>
      <c r="G378" s="3" t="s">
        <v>25</v>
      </c>
      <c r="H378" s="3" t="s">
        <v>19</v>
      </c>
      <c r="I378" s="3">
        <v>96548</v>
      </c>
      <c r="J378" s="3">
        <v>0</v>
      </c>
      <c r="K378" s="3">
        <v>0</v>
      </c>
      <c r="L378" s="3">
        <v>3</v>
      </c>
      <c r="M378" s="3">
        <v>2</v>
      </c>
      <c r="N378" s="3" t="s">
        <v>14</v>
      </c>
      <c r="O378" s="3" t="s">
        <v>13</v>
      </c>
      <c r="P378" s="3">
        <v>3</v>
      </c>
      <c r="Q378" s="3">
        <v>4</v>
      </c>
      <c r="R378" s="4" t="s">
        <v>12</v>
      </c>
      <c r="S378" s="4" t="s">
        <v>12</v>
      </c>
      <c r="T378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Less than 1 Year</v>
      </c>
    </row>
    <row r="379" spans="1:20" ht="18" x14ac:dyDescent="0.35">
      <c r="A379" s="3" t="s">
        <v>422</v>
      </c>
      <c r="B379" s="3" t="str">
        <f>IF(Table1[[#This Row],[Age]]&lt;25,"Under 25",IF(Table1[[#This Row],[Age]]&lt;35,"25-34",IF(Table1[[#This Row],[Age]]&lt;45,"35-44",IF(Table1[[#This Row],[Age]]&lt;55,"45-54","55+"))))</f>
        <v>25-34</v>
      </c>
      <c r="C379" s="3">
        <v>33</v>
      </c>
      <c r="D379" s="3" t="s">
        <v>7</v>
      </c>
      <c r="E379" s="3" t="s">
        <v>38</v>
      </c>
      <c r="F379" s="3" t="s">
        <v>39</v>
      </c>
      <c r="G379" s="3" t="s">
        <v>25</v>
      </c>
      <c r="H379" s="3" t="s">
        <v>19</v>
      </c>
      <c r="I379" s="3">
        <v>68027</v>
      </c>
      <c r="J379" s="3">
        <v>14</v>
      </c>
      <c r="K379" s="3">
        <v>10</v>
      </c>
      <c r="L379" s="3">
        <v>4</v>
      </c>
      <c r="M379" s="3">
        <v>2</v>
      </c>
      <c r="N379" s="3" t="s">
        <v>14</v>
      </c>
      <c r="O379" s="3" t="s">
        <v>13</v>
      </c>
      <c r="P379" s="3">
        <v>3</v>
      </c>
      <c r="Q379" s="3">
        <v>1</v>
      </c>
      <c r="R379" s="4" t="s">
        <v>14</v>
      </c>
      <c r="S379" s="4" t="s">
        <v>14</v>
      </c>
      <c r="T379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380" spans="1:20" ht="18" x14ac:dyDescent="0.35">
      <c r="A380" s="3" t="s">
        <v>423</v>
      </c>
      <c r="B380" s="3" t="str">
        <f>IF(Table1[[#This Row],[Age]]&lt;25,"Under 25",IF(Table1[[#This Row],[Age]]&lt;35,"25-34",IF(Table1[[#This Row],[Age]]&lt;45,"35-44",IF(Table1[[#This Row],[Age]]&lt;55,"45-54","55+"))))</f>
        <v>25-34</v>
      </c>
      <c r="C380" s="3">
        <v>30</v>
      </c>
      <c r="D380" s="3" t="s">
        <v>7</v>
      </c>
      <c r="E380" s="3" t="s">
        <v>34</v>
      </c>
      <c r="F380" s="3" t="s">
        <v>35</v>
      </c>
      <c r="G380" s="3" t="s">
        <v>25</v>
      </c>
      <c r="H380" s="3" t="s">
        <v>11</v>
      </c>
      <c r="I380" s="3">
        <v>84741</v>
      </c>
      <c r="J380" s="3">
        <v>8</v>
      </c>
      <c r="K380" s="3">
        <v>4</v>
      </c>
      <c r="L380" s="3">
        <v>3</v>
      </c>
      <c r="M380" s="3">
        <v>4</v>
      </c>
      <c r="N380" s="3" t="s">
        <v>14</v>
      </c>
      <c r="O380" s="3" t="s">
        <v>13</v>
      </c>
      <c r="P380" s="3">
        <v>3</v>
      </c>
      <c r="Q380" s="3">
        <v>6</v>
      </c>
      <c r="R380" s="4" t="s">
        <v>14</v>
      </c>
      <c r="S380" s="4" t="s">
        <v>14</v>
      </c>
      <c r="T380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381" spans="1:20" ht="18" x14ac:dyDescent="0.35">
      <c r="A381" s="3" t="s">
        <v>424</v>
      </c>
      <c r="B381" s="3" t="str">
        <f>IF(Table1[[#This Row],[Age]]&lt;25,"Under 25",IF(Table1[[#This Row],[Age]]&lt;35,"25-34",IF(Table1[[#This Row],[Age]]&lt;45,"35-44",IF(Table1[[#This Row],[Age]]&lt;55,"45-54","55+"))))</f>
        <v>Under 25</v>
      </c>
      <c r="C381" s="3">
        <v>24</v>
      </c>
      <c r="D381" s="3" t="s">
        <v>22</v>
      </c>
      <c r="E381" s="3" t="s">
        <v>34</v>
      </c>
      <c r="F381" s="3" t="s">
        <v>150</v>
      </c>
      <c r="G381" s="3" t="s">
        <v>10</v>
      </c>
      <c r="H381" s="3" t="s">
        <v>19</v>
      </c>
      <c r="I381" s="3">
        <v>59190</v>
      </c>
      <c r="J381" s="3">
        <v>0</v>
      </c>
      <c r="K381" s="3">
        <v>0</v>
      </c>
      <c r="L381" s="3">
        <v>2</v>
      </c>
      <c r="M381" s="3">
        <v>2</v>
      </c>
      <c r="N381" s="3" t="s">
        <v>14</v>
      </c>
      <c r="O381" s="3" t="s">
        <v>13</v>
      </c>
      <c r="P381" s="3">
        <v>3</v>
      </c>
      <c r="Q381" s="3">
        <v>1</v>
      </c>
      <c r="R381" s="4" t="s">
        <v>14</v>
      </c>
      <c r="S381" s="4" t="s">
        <v>14</v>
      </c>
      <c r="T381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Less than 1 Year</v>
      </c>
    </row>
    <row r="382" spans="1:20" ht="18" x14ac:dyDescent="0.35">
      <c r="A382" s="3" t="s">
        <v>425</v>
      </c>
      <c r="B382" s="3" t="str">
        <f>IF(Table1[[#This Row],[Age]]&lt;25,"Under 25",IF(Table1[[#This Row],[Age]]&lt;35,"25-34",IF(Table1[[#This Row],[Age]]&lt;45,"35-44",IF(Table1[[#This Row],[Age]]&lt;55,"45-54","55+"))))</f>
        <v>35-44</v>
      </c>
      <c r="C382" s="3">
        <v>44</v>
      </c>
      <c r="D382" s="3" t="s">
        <v>7</v>
      </c>
      <c r="E382" s="3" t="s">
        <v>16</v>
      </c>
      <c r="F382" s="3" t="s">
        <v>28</v>
      </c>
      <c r="G382" s="3" t="s">
        <v>45</v>
      </c>
      <c r="H382" s="3" t="s">
        <v>11</v>
      </c>
      <c r="I382" s="3">
        <v>91143</v>
      </c>
      <c r="J382" s="3">
        <v>24</v>
      </c>
      <c r="K382" s="3">
        <v>9</v>
      </c>
      <c r="L382" s="3">
        <v>3</v>
      </c>
      <c r="M382" s="3">
        <v>2</v>
      </c>
      <c r="N382" s="3" t="s">
        <v>12</v>
      </c>
      <c r="O382" s="3" t="s">
        <v>13</v>
      </c>
      <c r="P382" s="3">
        <v>3</v>
      </c>
      <c r="Q382" s="3">
        <v>2</v>
      </c>
      <c r="R382" s="4" t="s">
        <v>14</v>
      </c>
      <c r="S382" s="4" t="s">
        <v>14</v>
      </c>
      <c r="T382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383" spans="1:20" ht="18" x14ac:dyDescent="0.35">
      <c r="A383" s="3" t="s">
        <v>426</v>
      </c>
      <c r="B383" s="3" t="str">
        <f>IF(Table1[[#This Row],[Age]]&lt;25,"Under 25",IF(Table1[[#This Row],[Age]]&lt;35,"25-34",IF(Table1[[#This Row],[Age]]&lt;45,"35-44",IF(Table1[[#This Row],[Age]]&lt;55,"45-54","55+"))))</f>
        <v>45-54</v>
      </c>
      <c r="C383" s="3">
        <v>45</v>
      </c>
      <c r="D383" s="3" t="s">
        <v>22</v>
      </c>
      <c r="E383" s="3" t="s">
        <v>51</v>
      </c>
      <c r="F383" s="3" t="s">
        <v>52</v>
      </c>
      <c r="G383" s="3" t="s">
        <v>10</v>
      </c>
      <c r="H383" s="3" t="s">
        <v>11</v>
      </c>
      <c r="I383" s="3">
        <v>85398</v>
      </c>
      <c r="J383" s="3">
        <v>1</v>
      </c>
      <c r="K383" s="3">
        <v>1</v>
      </c>
      <c r="L383" s="3">
        <v>4</v>
      </c>
      <c r="M383" s="3">
        <v>3</v>
      </c>
      <c r="N383" s="3" t="s">
        <v>14</v>
      </c>
      <c r="O383" s="3" t="s">
        <v>13</v>
      </c>
      <c r="P383" s="3">
        <v>3</v>
      </c>
      <c r="Q383" s="3">
        <v>6</v>
      </c>
      <c r="R383" s="4" t="s">
        <v>14</v>
      </c>
      <c r="S383" s="4" t="s">
        <v>14</v>
      </c>
      <c r="T383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384" spans="1:20" ht="18" x14ac:dyDescent="0.35">
      <c r="A384" s="3" t="s">
        <v>427</v>
      </c>
      <c r="B384" s="3" t="str">
        <f>IF(Table1[[#This Row],[Age]]&lt;25,"Under 25",IF(Table1[[#This Row],[Age]]&lt;35,"25-34",IF(Table1[[#This Row],[Age]]&lt;45,"35-44",IF(Table1[[#This Row],[Age]]&lt;55,"45-54","55+"))))</f>
        <v>25-34</v>
      </c>
      <c r="C384" s="3">
        <v>29</v>
      </c>
      <c r="D384" s="3" t="s">
        <v>7</v>
      </c>
      <c r="E384" s="3" t="s">
        <v>34</v>
      </c>
      <c r="F384" s="3" t="s">
        <v>54</v>
      </c>
      <c r="G384" s="3" t="s">
        <v>10</v>
      </c>
      <c r="H384" s="3" t="s">
        <v>19</v>
      </c>
      <c r="I384" s="3">
        <v>87140</v>
      </c>
      <c r="J384" s="3">
        <v>3</v>
      </c>
      <c r="K384" s="3">
        <v>1</v>
      </c>
      <c r="L384" s="3">
        <v>3</v>
      </c>
      <c r="M384" s="3">
        <v>2</v>
      </c>
      <c r="N384" s="3" t="s">
        <v>14</v>
      </c>
      <c r="O384" s="3" t="s">
        <v>20</v>
      </c>
      <c r="P384" s="3">
        <v>3</v>
      </c>
      <c r="Q384" s="3">
        <v>1</v>
      </c>
      <c r="R384" s="4" t="s">
        <v>14</v>
      </c>
      <c r="S384" s="4" t="s">
        <v>14</v>
      </c>
      <c r="T384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385" spans="1:20" ht="18" x14ac:dyDescent="0.35">
      <c r="A385" s="3" t="s">
        <v>428</v>
      </c>
      <c r="B385" s="3" t="str">
        <f>IF(Table1[[#This Row],[Age]]&lt;25,"Under 25",IF(Table1[[#This Row],[Age]]&lt;35,"25-34",IF(Table1[[#This Row],[Age]]&lt;45,"35-44",IF(Table1[[#This Row],[Age]]&lt;55,"45-54","55+"))))</f>
        <v>25-34</v>
      </c>
      <c r="C385" s="3">
        <v>34</v>
      </c>
      <c r="D385" s="3" t="s">
        <v>7</v>
      </c>
      <c r="E385" s="3" t="s">
        <v>16</v>
      </c>
      <c r="F385" s="3" t="s">
        <v>28</v>
      </c>
      <c r="G385" s="3" t="s">
        <v>10</v>
      </c>
      <c r="H385" s="3" t="s">
        <v>11</v>
      </c>
      <c r="I385" s="3">
        <v>81011</v>
      </c>
      <c r="J385" s="3">
        <v>5</v>
      </c>
      <c r="K385" s="3">
        <v>5</v>
      </c>
      <c r="L385" s="3">
        <v>2</v>
      </c>
      <c r="M385" s="3">
        <v>4</v>
      </c>
      <c r="N385" s="3" t="s">
        <v>14</v>
      </c>
      <c r="O385" s="3" t="s">
        <v>20</v>
      </c>
      <c r="P385" s="3">
        <v>3</v>
      </c>
      <c r="Q385" s="3">
        <v>3</v>
      </c>
      <c r="R385" s="4" t="s">
        <v>14</v>
      </c>
      <c r="S385" s="4" t="s">
        <v>14</v>
      </c>
      <c r="T385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386" spans="1:20" ht="18" x14ac:dyDescent="0.35">
      <c r="A386" s="3" t="s">
        <v>429</v>
      </c>
      <c r="B386" s="3" t="str">
        <f>IF(Table1[[#This Row],[Age]]&lt;25,"Under 25",IF(Table1[[#This Row],[Age]]&lt;35,"25-34",IF(Table1[[#This Row],[Age]]&lt;45,"35-44",IF(Table1[[#This Row],[Age]]&lt;55,"45-54","55+"))))</f>
        <v>35-44</v>
      </c>
      <c r="C386" s="3">
        <v>39</v>
      </c>
      <c r="D386" s="3" t="s">
        <v>22</v>
      </c>
      <c r="E386" s="3" t="s">
        <v>38</v>
      </c>
      <c r="F386" s="3" t="s">
        <v>39</v>
      </c>
      <c r="G386" s="3" t="s">
        <v>25</v>
      </c>
      <c r="H386" s="3" t="s">
        <v>11</v>
      </c>
      <c r="I386" s="3">
        <v>93040</v>
      </c>
      <c r="J386" s="3">
        <v>12</v>
      </c>
      <c r="K386" s="3">
        <v>7</v>
      </c>
      <c r="L386" s="3">
        <v>3</v>
      </c>
      <c r="M386" s="3">
        <v>4</v>
      </c>
      <c r="N386" s="3" t="s">
        <v>14</v>
      </c>
      <c r="O386" s="3" t="s">
        <v>26</v>
      </c>
      <c r="P386" s="3">
        <v>3</v>
      </c>
      <c r="Q386" s="3">
        <v>3</v>
      </c>
      <c r="R386" s="4" t="s">
        <v>14</v>
      </c>
      <c r="S386" s="4" t="s">
        <v>14</v>
      </c>
      <c r="T386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387" spans="1:20" ht="18" x14ac:dyDescent="0.35">
      <c r="A387" s="3" t="s">
        <v>430</v>
      </c>
      <c r="B387" s="3" t="str">
        <f>IF(Table1[[#This Row],[Age]]&lt;25,"Under 25",IF(Table1[[#This Row],[Age]]&lt;35,"25-34",IF(Table1[[#This Row],[Age]]&lt;45,"35-44",IF(Table1[[#This Row],[Age]]&lt;55,"45-54","55+"))))</f>
        <v>35-44</v>
      </c>
      <c r="C387" s="3">
        <v>42</v>
      </c>
      <c r="D387" s="3" t="s">
        <v>7</v>
      </c>
      <c r="E387" s="3" t="s">
        <v>51</v>
      </c>
      <c r="F387" s="3" t="s">
        <v>72</v>
      </c>
      <c r="G387" s="3" t="s">
        <v>25</v>
      </c>
      <c r="H387" s="3" t="s">
        <v>11</v>
      </c>
      <c r="I387" s="3">
        <v>54477</v>
      </c>
      <c r="J387" s="3">
        <v>7</v>
      </c>
      <c r="K387" s="3">
        <v>7</v>
      </c>
      <c r="L387" s="3">
        <v>3</v>
      </c>
      <c r="M387" s="3">
        <v>3</v>
      </c>
      <c r="N387" s="3" t="s">
        <v>14</v>
      </c>
      <c r="O387" s="3" t="s">
        <v>13</v>
      </c>
      <c r="P387" s="3">
        <v>3</v>
      </c>
      <c r="Q387" s="3">
        <v>2</v>
      </c>
      <c r="R387" s="4" t="s">
        <v>12</v>
      </c>
      <c r="S387" s="4" t="s">
        <v>14</v>
      </c>
      <c r="T387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388" spans="1:20" ht="18" x14ac:dyDescent="0.35">
      <c r="A388" s="3" t="s">
        <v>431</v>
      </c>
      <c r="B388" s="3" t="str">
        <f>IF(Table1[[#This Row],[Age]]&lt;25,"Under 25",IF(Table1[[#This Row],[Age]]&lt;35,"25-34",IF(Table1[[#This Row],[Age]]&lt;45,"35-44",IF(Table1[[#This Row],[Age]]&lt;55,"45-54","55+"))))</f>
        <v>35-44</v>
      </c>
      <c r="C388" s="3">
        <v>41</v>
      </c>
      <c r="D388" s="3" t="s">
        <v>22</v>
      </c>
      <c r="E388" s="3" t="s">
        <v>51</v>
      </c>
      <c r="F388" s="3" t="s">
        <v>80</v>
      </c>
      <c r="G388" s="3" t="s">
        <v>10</v>
      </c>
      <c r="H388" s="3" t="s">
        <v>19</v>
      </c>
      <c r="I388" s="3">
        <v>106993</v>
      </c>
      <c r="J388" s="3">
        <v>5</v>
      </c>
      <c r="K388" s="3">
        <v>0</v>
      </c>
      <c r="L388" s="3">
        <v>1</v>
      </c>
      <c r="M388" s="3">
        <v>3</v>
      </c>
      <c r="N388" s="3" t="s">
        <v>14</v>
      </c>
      <c r="O388" s="3" t="s">
        <v>13</v>
      </c>
      <c r="P388" s="3">
        <v>3</v>
      </c>
      <c r="Q388" s="3">
        <v>5</v>
      </c>
      <c r="R388" s="4" t="s">
        <v>12</v>
      </c>
      <c r="S388" s="4" t="s">
        <v>14</v>
      </c>
      <c r="T388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389" spans="1:20" ht="18" x14ac:dyDescent="0.35">
      <c r="A389" s="3" t="s">
        <v>432</v>
      </c>
      <c r="B389" s="3" t="str">
        <f>IF(Table1[[#This Row],[Age]]&lt;25,"Under 25",IF(Table1[[#This Row],[Age]]&lt;35,"25-34",IF(Table1[[#This Row],[Age]]&lt;45,"35-44",IF(Table1[[#This Row],[Age]]&lt;55,"45-54","55+"))))</f>
        <v>35-44</v>
      </c>
      <c r="C389" s="3">
        <v>40</v>
      </c>
      <c r="D389" s="3" t="s">
        <v>22</v>
      </c>
      <c r="E389" s="3" t="s">
        <v>34</v>
      </c>
      <c r="F389" s="3" t="s">
        <v>54</v>
      </c>
      <c r="G389" s="3" t="s">
        <v>10</v>
      </c>
      <c r="H389" s="3" t="s">
        <v>11</v>
      </c>
      <c r="I389" s="3">
        <v>54153</v>
      </c>
      <c r="J389" s="3">
        <v>16</v>
      </c>
      <c r="K389" s="3">
        <v>2</v>
      </c>
      <c r="L389" s="3">
        <v>1</v>
      </c>
      <c r="M389" s="3">
        <v>2</v>
      </c>
      <c r="N389" s="3" t="s">
        <v>14</v>
      </c>
      <c r="O389" s="3" t="s">
        <v>13</v>
      </c>
      <c r="P389" s="3">
        <v>3</v>
      </c>
      <c r="Q389" s="3">
        <v>3</v>
      </c>
      <c r="R389" s="4" t="s">
        <v>14</v>
      </c>
      <c r="S389" s="4" t="s">
        <v>14</v>
      </c>
      <c r="T389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390" spans="1:20" ht="18" x14ac:dyDescent="0.35">
      <c r="A390" s="3" t="s">
        <v>433</v>
      </c>
      <c r="B390" s="3" t="str">
        <f>IF(Table1[[#This Row],[Age]]&lt;25,"Under 25",IF(Table1[[#This Row],[Age]]&lt;35,"25-34",IF(Table1[[#This Row],[Age]]&lt;45,"35-44",IF(Table1[[#This Row],[Age]]&lt;55,"45-54","55+"))))</f>
        <v>45-54</v>
      </c>
      <c r="C390" s="3">
        <v>45</v>
      </c>
      <c r="D390" s="3" t="s">
        <v>7</v>
      </c>
      <c r="E390" s="3" t="s">
        <v>34</v>
      </c>
      <c r="F390" s="3" t="s">
        <v>150</v>
      </c>
      <c r="G390" s="3" t="s">
        <v>10</v>
      </c>
      <c r="H390" s="3" t="s">
        <v>11</v>
      </c>
      <c r="I390" s="3">
        <v>51361</v>
      </c>
      <c r="J390" s="3">
        <v>16</v>
      </c>
      <c r="K390" s="3">
        <v>10</v>
      </c>
      <c r="L390" s="3">
        <v>3</v>
      </c>
      <c r="M390" s="3">
        <v>2</v>
      </c>
      <c r="N390" s="3" t="s">
        <v>12</v>
      </c>
      <c r="O390" s="3" t="s">
        <v>13</v>
      </c>
      <c r="P390" s="3">
        <v>3</v>
      </c>
      <c r="Q390" s="3">
        <v>4</v>
      </c>
      <c r="R390" s="4" t="s">
        <v>14</v>
      </c>
      <c r="S390" s="4" t="s">
        <v>14</v>
      </c>
      <c r="T390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391" spans="1:20" ht="18" x14ac:dyDescent="0.35">
      <c r="A391" s="3" t="s">
        <v>434</v>
      </c>
      <c r="B391" s="3" t="str">
        <f>IF(Table1[[#This Row],[Age]]&lt;25,"Under 25",IF(Table1[[#This Row],[Age]]&lt;35,"25-34",IF(Table1[[#This Row],[Age]]&lt;45,"35-44",IF(Table1[[#This Row],[Age]]&lt;55,"45-54","55+"))))</f>
        <v>Under 25</v>
      </c>
      <c r="C391" s="3">
        <v>23</v>
      </c>
      <c r="D391" s="3" t="s">
        <v>7</v>
      </c>
      <c r="E391" s="3" t="s">
        <v>16</v>
      </c>
      <c r="F391" s="3" t="s">
        <v>28</v>
      </c>
      <c r="G391" s="3" t="s">
        <v>25</v>
      </c>
      <c r="H391" s="3" t="s">
        <v>11</v>
      </c>
      <c r="I391" s="3">
        <v>69773</v>
      </c>
      <c r="J391" s="3">
        <v>4</v>
      </c>
      <c r="K391" s="3">
        <v>2</v>
      </c>
      <c r="L391" s="3">
        <v>3</v>
      </c>
      <c r="M391" s="3">
        <v>2</v>
      </c>
      <c r="N391" s="3" t="s">
        <v>14</v>
      </c>
      <c r="O391" s="3" t="s">
        <v>13</v>
      </c>
      <c r="P391" s="3">
        <v>3</v>
      </c>
      <c r="Q391" s="3">
        <v>4</v>
      </c>
      <c r="R391" s="4" t="s">
        <v>14</v>
      </c>
      <c r="S391" s="4" t="s">
        <v>14</v>
      </c>
      <c r="T391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392" spans="1:20" ht="18" x14ac:dyDescent="0.35">
      <c r="A392" s="3" t="s">
        <v>435</v>
      </c>
      <c r="B392" s="3" t="str">
        <f>IF(Table1[[#This Row],[Age]]&lt;25,"Under 25",IF(Table1[[#This Row],[Age]]&lt;35,"25-34",IF(Table1[[#This Row],[Age]]&lt;45,"35-44",IF(Table1[[#This Row],[Age]]&lt;55,"45-54","55+"))))</f>
        <v>35-44</v>
      </c>
      <c r="C392" s="3">
        <v>36</v>
      </c>
      <c r="D392" s="3" t="s">
        <v>7</v>
      </c>
      <c r="E392" s="3" t="s">
        <v>34</v>
      </c>
      <c r="F392" s="3" t="s">
        <v>54</v>
      </c>
      <c r="G392" s="3" t="s">
        <v>18</v>
      </c>
      <c r="H392" s="3" t="s">
        <v>19</v>
      </c>
      <c r="I392" s="3">
        <v>78251</v>
      </c>
      <c r="J392" s="3">
        <v>10</v>
      </c>
      <c r="K392" s="3">
        <v>6</v>
      </c>
      <c r="L392" s="3">
        <v>3</v>
      </c>
      <c r="M392" s="3">
        <v>3</v>
      </c>
      <c r="N392" s="3" t="s">
        <v>14</v>
      </c>
      <c r="O392" s="3" t="s">
        <v>20</v>
      </c>
      <c r="P392" s="3">
        <v>3</v>
      </c>
      <c r="Q392" s="3">
        <v>6</v>
      </c>
      <c r="R392" s="4" t="s">
        <v>14</v>
      </c>
      <c r="S392" s="4" t="s">
        <v>14</v>
      </c>
      <c r="T392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393" spans="1:20" ht="18" x14ac:dyDescent="0.35">
      <c r="A393" s="3" t="s">
        <v>436</v>
      </c>
      <c r="B393" s="3" t="str">
        <f>IF(Table1[[#This Row],[Age]]&lt;25,"Under 25",IF(Table1[[#This Row],[Age]]&lt;35,"25-34",IF(Table1[[#This Row],[Age]]&lt;45,"35-44",IF(Table1[[#This Row],[Age]]&lt;55,"45-54","55+"))))</f>
        <v>25-34</v>
      </c>
      <c r="C393" s="3">
        <v>33</v>
      </c>
      <c r="D393" s="3" t="s">
        <v>22</v>
      </c>
      <c r="E393" s="3" t="s">
        <v>16</v>
      </c>
      <c r="F393" s="3" t="s">
        <v>17</v>
      </c>
      <c r="G393" s="3" t="s">
        <v>18</v>
      </c>
      <c r="H393" s="3" t="s">
        <v>11</v>
      </c>
      <c r="I393" s="3">
        <v>70418</v>
      </c>
      <c r="J393" s="3">
        <v>1</v>
      </c>
      <c r="K393" s="3">
        <v>1</v>
      </c>
      <c r="L393" s="3">
        <v>1</v>
      </c>
      <c r="M393" s="3">
        <v>3</v>
      </c>
      <c r="N393" s="3" t="s">
        <v>12</v>
      </c>
      <c r="O393" s="3" t="s">
        <v>13</v>
      </c>
      <c r="P393" s="3">
        <v>3</v>
      </c>
      <c r="Q393" s="3">
        <v>1</v>
      </c>
      <c r="R393" s="4" t="s">
        <v>14</v>
      </c>
      <c r="S393" s="4" t="s">
        <v>14</v>
      </c>
      <c r="T393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394" spans="1:20" ht="18" x14ac:dyDescent="0.35">
      <c r="A394" s="3" t="s">
        <v>437</v>
      </c>
      <c r="B394" s="3" t="str">
        <f>IF(Table1[[#This Row],[Age]]&lt;25,"Under 25",IF(Table1[[#This Row],[Age]]&lt;35,"25-34",IF(Table1[[#This Row],[Age]]&lt;45,"35-44",IF(Table1[[#This Row],[Age]]&lt;55,"45-54","55+"))))</f>
        <v>25-34</v>
      </c>
      <c r="C394" s="3">
        <v>34</v>
      </c>
      <c r="D394" s="3" t="s">
        <v>7</v>
      </c>
      <c r="E394" s="3" t="s">
        <v>16</v>
      </c>
      <c r="F394" s="3" t="s">
        <v>47</v>
      </c>
      <c r="G394" s="3" t="s">
        <v>18</v>
      </c>
      <c r="H394" s="3" t="s">
        <v>19</v>
      </c>
      <c r="I394" s="3">
        <v>84020</v>
      </c>
      <c r="J394" s="3">
        <v>1</v>
      </c>
      <c r="K394" s="3">
        <v>1</v>
      </c>
      <c r="L394" s="3">
        <v>4</v>
      </c>
      <c r="M394" s="3">
        <v>4</v>
      </c>
      <c r="N394" s="3" t="s">
        <v>14</v>
      </c>
      <c r="O394" s="3" t="s">
        <v>13</v>
      </c>
      <c r="P394" s="3">
        <v>3</v>
      </c>
      <c r="Q394" s="3">
        <v>3</v>
      </c>
      <c r="R394" s="4" t="s">
        <v>14</v>
      </c>
      <c r="S394" s="4" t="s">
        <v>14</v>
      </c>
      <c r="T394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395" spans="1:20" ht="18" x14ac:dyDescent="0.35">
      <c r="A395" s="3" t="s">
        <v>438</v>
      </c>
      <c r="B395" s="3" t="str">
        <f>IF(Table1[[#This Row],[Age]]&lt;25,"Under 25",IF(Table1[[#This Row],[Age]]&lt;35,"25-34",IF(Table1[[#This Row],[Age]]&lt;45,"35-44",IF(Table1[[#This Row],[Age]]&lt;55,"45-54","55+"))))</f>
        <v>45-54</v>
      </c>
      <c r="C395" s="3">
        <v>47</v>
      </c>
      <c r="D395" s="3" t="s">
        <v>7</v>
      </c>
      <c r="E395" s="3" t="s">
        <v>8</v>
      </c>
      <c r="F395" s="3" t="s">
        <v>23</v>
      </c>
      <c r="G395" s="3" t="s">
        <v>10</v>
      </c>
      <c r="H395" s="3" t="s">
        <v>19</v>
      </c>
      <c r="I395" s="3">
        <v>52855</v>
      </c>
      <c r="J395" s="3">
        <v>3</v>
      </c>
      <c r="K395" s="3">
        <v>0</v>
      </c>
      <c r="L395" s="3">
        <v>4</v>
      </c>
      <c r="M395" s="3">
        <v>1</v>
      </c>
      <c r="N395" s="3" t="s">
        <v>14</v>
      </c>
      <c r="O395" s="3" t="s">
        <v>20</v>
      </c>
      <c r="P395" s="3">
        <v>3</v>
      </c>
      <c r="Q395" s="3">
        <v>5</v>
      </c>
      <c r="R395" s="4" t="s">
        <v>14</v>
      </c>
      <c r="S395" s="4" t="s">
        <v>14</v>
      </c>
      <c r="T395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396" spans="1:20" ht="18" x14ac:dyDescent="0.35">
      <c r="A396" s="3" t="s">
        <v>439</v>
      </c>
      <c r="B396" s="3" t="str">
        <f>IF(Table1[[#This Row],[Age]]&lt;25,"Under 25",IF(Table1[[#This Row],[Age]]&lt;35,"25-34",IF(Table1[[#This Row],[Age]]&lt;45,"35-44",IF(Table1[[#This Row],[Age]]&lt;55,"45-54","55+"))))</f>
        <v>25-34</v>
      </c>
      <c r="C396" s="3">
        <v>29</v>
      </c>
      <c r="D396" s="3" t="s">
        <v>7</v>
      </c>
      <c r="E396" s="3" t="s">
        <v>34</v>
      </c>
      <c r="F396" s="3" t="s">
        <v>54</v>
      </c>
      <c r="G396" s="3" t="s">
        <v>10</v>
      </c>
      <c r="H396" s="3" t="s">
        <v>11</v>
      </c>
      <c r="I396" s="3">
        <v>57671</v>
      </c>
      <c r="J396" s="3">
        <v>10</v>
      </c>
      <c r="K396" s="3">
        <v>8</v>
      </c>
      <c r="L396" s="3">
        <v>4</v>
      </c>
      <c r="M396" s="3">
        <v>3</v>
      </c>
      <c r="N396" s="3" t="s">
        <v>14</v>
      </c>
      <c r="O396" s="3" t="s">
        <v>20</v>
      </c>
      <c r="P396" s="3">
        <v>3</v>
      </c>
      <c r="Q396" s="3">
        <v>6</v>
      </c>
      <c r="R396" s="4" t="s">
        <v>14</v>
      </c>
      <c r="S396" s="4" t="s">
        <v>14</v>
      </c>
      <c r="T396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397" spans="1:20" ht="18" x14ac:dyDescent="0.35">
      <c r="A397" s="3" t="s">
        <v>440</v>
      </c>
      <c r="B397" s="3" t="str">
        <f>IF(Table1[[#This Row],[Age]]&lt;25,"Under 25",IF(Table1[[#This Row],[Age]]&lt;35,"25-34",IF(Table1[[#This Row],[Age]]&lt;45,"35-44",IF(Table1[[#This Row],[Age]]&lt;55,"45-54","55+"))))</f>
        <v>25-34</v>
      </c>
      <c r="C397" s="3">
        <v>29</v>
      </c>
      <c r="D397" s="3" t="s">
        <v>22</v>
      </c>
      <c r="E397" s="3" t="s">
        <v>16</v>
      </c>
      <c r="F397" s="3" t="s">
        <v>47</v>
      </c>
      <c r="G397" s="3" t="s">
        <v>25</v>
      </c>
      <c r="H397" s="3" t="s">
        <v>19</v>
      </c>
      <c r="I397" s="3">
        <v>96918</v>
      </c>
      <c r="J397" s="3">
        <v>11</v>
      </c>
      <c r="K397" s="3">
        <v>11</v>
      </c>
      <c r="L397" s="3">
        <v>4</v>
      </c>
      <c r="M397" s="3">
        <v>1</v>
      </c>
      <c r="N397" s="3" t="s">
        <v>14</v>
      </c>
      <c r="O397" s="3" t="s">
        <v>13</v>
      </c>
      <c r="P397" s="3">
        <v>3</v>
      </c>
      <c r="Q397" s="3">
        <v>1</v>
      </c>
      <c r="R397" s="4" t="s">
        <v>14</v>
      </c>
      <c r="S397" s="4" t="s">
        <v>14</v>
      </c>
      <c r="T397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398" spans="1:20" ht="18" x14ac:dyDescent="0.35">
      <c r="A398" s="3" t="s">
        <v>441</v>
      </c>
      <c r="B398" s="3" t="str">
        <f>IF(Table1[[#This Row],[Age]]&lt;25,"Under 25",IF(Table1[[#This Row],[Age]]&lt;35,"25-34",IF(Table1[[#This Row],[Age]]&lt;45,"35-44",IF(Table1[[#This Row],[Age]]&lt;55,"45-54","55+"))))</f>
        <v>35-44</v>
      </c>
      <c r="C398" s="3">
        <v>38</v>
      </c>
      <c r="D398" s="3" t="s">
        <v>22</v>
      </c>
      <c r="E398" s="3" t="s">
        <v>16</v>
      </c>
      <c r="F398" s="3" t="s">
        <v>47</v>
      </c>
      <c r="G398" s="3" t="s">
        <v>25</v>
      </c>
      <c r="H398" s="3" t="s">
        <v>11</v>
      </c>
      <c r="I398" s="3">
        <v>86453</v>
      </c>
      <c r="J398" s="3">
        <v>1</v>
      </c>
      <c r="K398" s="3">
        <v>0</v>
      </c>
      <c r="L398" s="3">
        <v>3</v>
      </c>
      <c r="M398" s="3">
        <v>3</v>
      </c>
      <c r="N398" s="3" t="s">
        <v>14</v>
      </c>
      <c r="O398" s="3" t="s">
        <v>13</v>
      </c>
      <c r="P398" s="3">
        <v>3</v>
      </c>
      <c r="Q398" s="3">
        <v>5</v>
      </c>
      <c r="R398" s="4" t="s">
        <v>14</v>
      </c>
      <c r="S398" s="4" t="s">
        <v>14</v>
      </c>
      <c r="T398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399" spans="1:20" ht="18" x14ac:dyDescent="0.35">
      <c r="A399" s="3" t="s">
        <v>442</v>
      </c>
      <c r="B399" s="3" t="str">
        <f>IF(Table1[[#This Row],[Age]]&lt;25,"Under 25",IF(Table1[[#This Row],[Age]]&lt;35,"25-34",IF(Table1[[#This Row],[Age]]&lt;45,"35-44",IF(Table1[[#This Row],[Age]]&lt;55,"45-54","55+"))))</f>
        <v>35-44</v>
      </c>
      <c r="C399" s="3">
        <v>37</v>
      </c>
      <c r="D399" s="3" t="s">
        <v>7</v>
      </c>
      <c r="E399" s="3" t="s">
        <v>16</v>
      </c>
      <c r="F399" s="3" t="s">
        <v>47</v>
      </c>
      <c r="G399" s="3" t="s">
        <v>10</v>
      </c>
      <c r="H399" s="3" t="s">
        <v>11</v>
      </c>
      <c r="I399" s="3">
        <v>55943</v>
      </c>
      <c r="J399" s="3">
        <v>13</v>
      </c>
      <c r="K399" s="3">
        <v>9</v>
      </c>
      <c r="L399" s="3">
        <v>3</v>
      </c>
      <c r="M399" s="3">
        <v>1</v>
      </c>
      <c r="N399" s="3" t="s">
        <v>12</v>
      </c>
      <c r="O399" s="3" t="s">
        <v>20</v>
      </c>
      <c r="P399" s="3">
        <v>3</v>
      </c>
      <c r="Q399" s="3">
        <v>0</v>
      </c>
      <c r="R399" s="4" t="s">
        <v>14</v>
      </c>
      <c r="S399" s="4" t="s">
        <v>14</v>
      </c>
      <c r="T399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400" spans="1:20" ht="18" x14ac:dyDescent="0.35">
      <c r="A400" s="3" t="s">
        <v>443</v>
      </c>
      <c r="B400" s="3" t="str">
        <f>IF(Table1[[#This Row],[Age]]&lt;25,"Under 25",IF(Table1[[#This Row],[Age]]&lt;35,"25-34",IF(Table1[[#This Row],[Age]]&lt;45,"35-44",IF(Table1[[#This Row],[Age]]&lt;55,"45-54","55+"))))</f>
        <v>35-44</v>
      </c>
      <c r="C400" s="3">
        <v>39</v>
      </c>
      <c r="D400" s="3" t="s">
        <v>7</v>
      </c>
      <c r="E400" s="3" t="s">
        <v>8</v>
      </c>
      <c r="F400" s="3" t="s">
        <v>23</v>
      </c>
      <c r="G400" s="3" t="s">
        <v>25</v>
      </c>
      <c r="H400" s="3" t="s">
        <v>11</v>
      </c>
      <c r="I400" s="3">
        <v>61204</v>
      </c>
      <c r="J400" s="3">
        <v>10</v>
      </c>
      <c r="K400" s="3">
        <v>1</v>
      </c>
      <c r="L400" s="3">
        <v>1</v>
      </c>
      <c r="M400" s="3">
        <v>4</v>
      </c>
      <c r="N400" s="3" t="s">
        <v>14</v>
      </c>
      <c r="O400" s="3" t="s">
        <v>13</v>
      </c>
      <c r="P400" s="3">
        <v>4</v>
      </c>
      <c r="Q400" s="3">
        <v>4</v>
      </c>
      <c r="R400" s="4" t="s">
        <v>14</v>
      </c>
      <c r="S400" s="4" t="s">
        <v>14</v>
      </c>
      <c r="T400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401" spans="1:20" ht="18" x14ac:dyDescent="0.35">
      <c r="A401" s="3" t="s">
        <v>444</v>
      </c>
      <c r="B401" s="3" t="str">
        <f>IF(Table1[[#This Row],[Age]]&lt;25,"Under 25",IF(Table1[[#This Row],[Age]]&lt;35,"25-34",IF(Table1[[#This Row],[Age]]&lt;45,"35-44",IF(Table1[[#This Row],[Age]]&lt;55,"45-54","55+"))))</f>
        <v>25-34</v>
      </c>
      <c r="C401" s="3">
        <v>33</v>
      </c>
      <c r="D401" s="3" t="s">
        <v>7</v>
      </c>
      <c r="E401" s="3" t="s">
        <v>51</v>
      </c>
      <c r="F401" s="3" t="s">
        <v>72</v>
      </c>
      <c r="G401" s="3" t="s">
        <v>10</v>
      </c>
      <c r="H401" s="3" t="s">
        <v>19</v>
      </c>
      <c r="I401" s="3">
        <v>76503</v>
      </c>
      <c r="J401" s="3">
        <v>5</v>
      </c>
      <c r="K401" s="3">
        <v>4</v>
      </c>
      <c r="L401" s="3">
        <v>4</v>
      </c>
      <c r="M401" s="3">
        <v>1</v>
      </c>
      <c r="N401" s="3" t="s">
        <v>12</v>
      </c>
      <c r="O401" s="3" t="s">
        <v>13</v>
      </c>
      <c r="P401" s="3">
        <v>2</v>
      </c>
      <c r="Q401" s="3">
        <v>4</v>
      </c>
      <c r="R401" s="4" t="s">
        <v>14</v>
      </c>
      <c r="S401" s="4" t="s">
        <v>14</v>
      </c>
      <c r="T401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402" spans="1:20" ht="18" x14ac:dyDescent="0.35">
      <c r="A402" s="3" t="s">
        <v>445</v>
      </c>
      <c r="B402" s="3" t="str">
        <f>IF(Table1[[#This Row],[Age]]&lt;25,"Under 25",IF(Table1[[#This Row],[Age]]&lt;35,"25-34",IF(Table1[[#This Row],[Age]]&lt;45,"35-44",IF(Table1[[#This Row],[Age]]&lt;55,"45-54","55+"))))</f>
        <v>25-34</v>
      </c>
      <c r="C402" s="3">
        <v>31</v>
      </c>
      <c r="D402" s="3" t="s">
        <v>7</v>
      </c>
      <c r="E402" s="3" t="s">
        <v>16</v>
      </c>
      <c r="F402" s="3" t="s">
        <v>17</v>
      </c>
      <c r="G402" s="3" t="s">
        <v>10</v>
      </c>
      <c r="H402" s="3" t="s">
        <v>19</v>
      </c>
      <c r="I402" s="3">
        <v>43138</v>
      </c>
      <c r="J402" s="3">
        <v>4</v>
      </c>
      <c r="K402" s="3">
        <v>2</v>
      </c>
      <c r="L402" s="3">
        <v>3</v>
      </c>
      <c r="M402" s="3">
        <v>2</v>
      </c>
      <c r="N402" s="3" t="s">
        <v>14</v>
      </c>
      <c r="O402" s="3" t="s">
        <v>13</v>
      </c>
      <c r="P402" s="3">
        <v>3</v>
      </c>
      <c r="Q402" s="3">
        <v>4</v>
      </c>
      <c r="R402" s="4" t="s">
        <v>14</v>
      </c>
      <c r="S402" s="4" t="s">
        <v>14</v>
      </c>
      <c r="T402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403" spans="1:20" ht="18" x14ac:dyDescent="0.35">
      <c r="A403" s="3" t="s">
        <v>446</v>
      </c>
      <c r="B403" s="3" t="str">
        <f>IF(Table1[[#This Row],[Age]]&lt;25,"Under 25",IF(Table1[[#This Row],[Age]]&lt;35,"25-34",IF(Table1[[#This Row],[Age]]&lt;45,"35-44",IF(Table1[[#This Row],[Age]]&lt;55,"45-54","55+"))))</f>
        <v>35-44</v>
      </c>
      <c r="C403" s="3">
        <v>36</v>
      </c>
      <c r="D403" s="3" t="s">
        <v>22</v>
      </c>
      <c r="E403" s="3" t="s">
        <v>34</v>
      </c>
      <c r="F403" s="3" t="s">
        <v>35</v>
      </c>
      <c r="G403" s="3" t="s">
        <v>25</v>
      </c>
      <c r="H403" s="3" t="s">
        <v>11</v>
      </c>
      <c r="I403" s="3">
        <v>51540</v>
      </c>
      <c r="J403" s="3">
        <v>11</v>
      </c>
      <c r="K403" s="3">
        <v>6</v>
      </c>
      <c r="L403" s="3">
        <v>4</v>
      </c>
      <c r="M403" s="3">
        <v>3</v>
      </c>
      <c r="N403" s="3" t="s">
        <v>14</v>
      </c>
      <c r="O403" s="3" t="s">
        <v>13</v>
      </c>
      <c r="P403" s="3">
        <v>3</v>
      </c>
      <c r="Q403" s="3">
        <v>6</v>
      </c>
      <c r="R403" s="4" t="s">
        <v>14</v>
      </c>
      <c r="S403" s="4" t="s">
        <v>14</v>
      </c>
      <c r="T403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404" spans="1:20" ht="18" x14ac:dyDescent="0.35">
      <c r="A404" s="3" t="s">
        <v>447</v>
      </c>
      <c r="B404" s="3" t="str">
        <f>IF(Table1[[#This Row],[Age]]&lt;25,"Under 25",IF(Table1[[#This Row],[Age]]&lt;35,"25-34",IF(Table1[[#This Row],[Age]]&lt;45,"35-44",IF(Table1[[#This Row],[Age]]&lt;55,"45-54","55+"))))</f>
        <v>Under 25</v>
      </c>
      <c r="C404" s="3">
        <v>21</v>
      </c>
      <c r="D404" s="3" t="s">
        <v>7</v>
      </c>
      <c r="E404" s="3" t="s">
        <v>38</v>
      </c>
      <c r="F404" s="3" t="s">
        <v>59</v>
      </c>
      <c r="G404" s="3" t="s">
        <v>25</v>
      </c>
      <c r="H404" s="3" t="s">
        <v>19</v>
      </c>
      <c r="I404" s="3">
        <v>73422</v>
      </c>
      <c r="J404" s="3">
        <v>0</v>
      </c>
      <c r="K404" s="3">
        <v>0</v>
      </c>
      <c r="L404" s="3">
        <v>4</v>
      </c>
      <c r="M404" s="3">
        <v>4</v>
      </c>
      <c r="N404" s="3" t="s">
        <v>14</v>
      </c>
      <c r="O404" s="3" t="s">
        <v>13</v>
      </c>
      <c r="P404" s="3">
        <v>2</v>
      </c>
      <c r="Q404" s="3">
        <v>4</v>
      </c>
      <c r="R404" s="4" t="s">
        <v>14</v>
      </c>
      <c r="S404" s="4" t="s">
        <v>14</v>
      </c>
      <c r="T404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Less than 1 Year</v>
      </c>
    </row>
    <row r="405" spans="1:20" ht="18" x14ac:dyDescent="0.35">
      <c r="A405" s="3" t="s">
        <v>448</v>
      </c>
      <c r="B405" s="3" t="str">
        <f>IF(Table1[[#This Row],[Age]]&lt;25,"Under 25",IF(Table1[[#This Row],[Age]]&lt;35,"25-34",IF(Table1[[#This Row],[Age]]&lt;45,"35-44",IF(Table1[[#This Row],[Age]]&lt;55,"45-54","55+"))))</f>
        <v>35-44</v>
      </c>
      <c r="C405" s="3">
        <v>36</v>
      </c>
      <c r="D405" s="3" t="s">
        <v>22</v>
      </c>
      <c r="E405" s="3" t="s">
        <v>51</v>
      </c>
      <c r="F405" s="3" t="s">
        <v>72</v>
      </c>
      <c r="G405" s="3" t="s">
        <v>18</v>
      </c>
      <c r="H405" s="3" t="s">
        <v>19</v>
      </c>
      <c r="I405" s="3">
        <v>27369</v>
      </c>
      <c r="J405" s="3">
        <v>0</v>
      </c>
      <c r="K405" s="3">
        <v>0</v>
      </c>
      <c r="L405" s="3">
        <v>3</v>
      </c>
      <c r="M405" s="3">
        <v>2</v>
      </c>
      <c r="N405" s="3" t="s">
        <v>12</v>
      </c>
      <c r="O405" s="3" t="s">
        <v>13</v>
      </c>
      <c r="P405" s="3">
        <v>3</v>
      </c>
      <c r="Q405" s="3">
        <v>1</v>
      </c>
      <c r="R405" s="4" t="s">
        <v>14</v>
      </c>
      <c r="S405" s="4" t="s">
        <v>14</v>
      </c>
      <c r="T405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Less than 1 Year</v>
      </c>
    </row>
    <row r="406" spans="1:20" ht="18" x14ac:dyDescent="0.35">
      <c r="A406" s="3" t="s">
        <v>449</v>
      </c>
      <c r="B406" s="3" t="str">
        <f>IF(Table1[[#This Row],[Age]]&lt;25,"Under 25",IF(Table1[[#This Row],[Age]]&lt;35,"25-34",IF(Table1[[#This Row],[Age]]&lt;45,"35-44",IF(Table1[[#This Row],[Age]]&lt;55,"45-54","55+"))))</f>
        <v>35-44</v>
      </c>
      <c r="C406" s="3">
        <v>44</v>
      </c>
      <c r="D406" s="3" t="s">
        <v>22</v>
      </c>
      <c r="E406" s="3" t="s">
        <v>16</v>
      </c>
      <c r="F406" s="3" t="s">
        <v>28</v>
      </c>
      <c r="G406" s="3" t="s">
        <v>18</v>
      </c>
      <c r="H406" s="3" t="s">
        <v>11</v>
      </c>
      <c r="I406" s="3">
        <v>89910</v>
      </c>
      <c r="J406" s="3">
        <v>12</v>
      </c>
      <c r="K406" s="3">
        <v>5</v>
      </c>
      <c r="L406" s="3">
        <v>2</v>
      </c>
      <c r="M406" s="3">
        <v>2</v>
      </c>
      <c r="N406" s="3" t="s">
        <v>14</v>
      </c>
      <c r="O406" s="3" t="s">
        <v>20</v>
      </c>
      <c r="P406" s="3">
        <v>4</v>
      </c>
      <c r="Q406" s="3">
        <v>1</v>
      </c>
      <c r="R406" s="4" t="s">
        <v>14</v>
      </c>
      <c r="S406" s="4" t="s">
        <v>12</v>
      </c>
      <c r="T406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407" spans="1:20" ht="18" x14ac:dyDescent="0.35">
      <c r="A407" s="3" t="s">
        <v>450</v>
      </c>
      <c r="B407" s="3" t="str">
        <f>IF(Table1[[#This Row],[Age]]&lt;25,"Under 25",IF(Table1[[#This Row],[Age]]&lt;35,"25-34",IF(Table1[[#This Row],[Age]]&lt;45,"35-44",IF(Table1[[#This Row],[Age]]&lt;55,"45-54","55+"))))</f>
        <v>35-44</v>
      </c>
      <c r="C407" s="3">
        <v>44</v>
      </c>
      <c r="D407" s="3" t="s">
        <v>7</v>
      </c>
      <c r="E407" s="3" t="s">
        <v>16</v>
      </c>
      <c r="F407" s="3" t="s">
        <v>28</v>
      </c>
      <c r="G407" s="3" t="s">
        <v>18</v>
      </c>
      <c r="H407" s="3" t="s">
        <v>19</v>
      </c>
      <c r="I407" s="3">
        <v>70248</v>
      </c>
      <c r="J407" s="3">
        <v>22</v>
      </c>
      <c r="K407" s="3">
        <v>7</v>
      </c>
      <c r="L407" s="3">
        <v>4</v>
      </c>
      <c r="M407" s="3">
        <v>1</v>
      </c>
      <c r="N407" s="3" t="s">
        <v>12</v>
      </c>
      <c r="O407" s="3" t="s">
        <v>26</v>
      </c>
      <c r="P407" s="3">
        <v>4</v>
      </c>
      <c r="Q407" s="3">
        <v>3</v>
      </c>
      <c r="R407" s="4" t="s">
        <v>12</v>
      </c>
      <c r="S407" s="4" t="s">
        <v>14</v>
      </c>
      <c r="T407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408" spans="1:20" ht="18" x14ac:dyDescent="0.35">
      <c r="A408" s="3" t="s">
        <v>451</v>
      </c>
      <c r="B408" s="3" t="str">
        <f>IF(Table1[[#This Row],[Age]]&lt;25,"Under 25",IF(Table1[[#This Row],[Age]]&lt;35,"25-34",IF(Table1[[#This Row],[Age]]&lt;45,"35-44",IF(Table1[[#This Row],[Age]]&lt;55,"45-54","55+"))))</f>
        <v>25-34</v>
      </c>
      <c r="C408" s="3">
        <v>34</v>
      </c>
      <c r="D408" s="3" t="s">
        <v>7</v>
      </c>
      <c r="E408" s="3" t="s">
        <v>8</v>
      </c>
      <c r="F408" s="3" t="s">
        <v>23</v>
      </c>
      <c r="G408" s="3" t="s">
        <v>10</v>
      </c>
      <c r="H408" s="3" t="s">
        <v>11</v>
      </c>
      <c r="I408" s="3">
        <v>91483</v>
      </c>
      <c r="J408" s="3">
        <v>7</v>
      </c>
      <c r="K408" s="3">
        <v>4</v>
      </c>
      <c r="L408" s="3">
        <v>2</v>
      </c>
      <c r="M408" s="3">
        <v>2</v>
      </c>
      <c r="N408" s="3" t="s">
        <v>12</v>
      </c>
      <c r="O408" s="3" t="s">
        <v>26</v>
      </c>
      <c r="P408" s="3">
        <v>3</v>
      </c>
      <c r="Q408" s="3">
        <v>4</v>
      </c>
      <c r="R408" s="4" t="s">
        <v>14</v>
      </c>
      <c r="S408" s="4" t="s">
        <v>14</v>
      </c>
      <c r="T408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409" spans="1:20" ht="18" x14ac:dyDescent="0.35">
      <c r="A409" s="3" t="s">
        <v>452</v>
      </c>
      <c r="B409" s="3" t="str">
        <f>IF(Table1[[#This Row],[Age]]&lt;25,"Under 25",IF(Table1[[#This Row],[Age]]&lt;35,"25-34",IF(Table1[[#This Row],[Age]]&lt;45,"35-44",IF(Table1[[#This Row],[Age]]&lt;55,"45-54","55+"))))</f>
        <v>25-34</v>
      </c>
      <c r="C409" s="3">
        <v>25</v>
      </c>
      <c r="D409" s="3" t="s">
        <v>7</v>
      </c>
      <c r="E409" s="3" t="s">
        <v>38</v>
      </c>
      <c r="F409" s="3" t="s">
        <v>89</v>
      </c>
      <c r="G409" s="3" t="s">
        <v>45</v>
      </c>
      <c r="H409" s="3" t="s">
        <v>19</v>
      </c>
      <c r="I409" s="3">
        <v>63769</v>
      </c>
      <c r="J409" s="3">
        <v>4</v>
      </c>
      <c r="K409" s="3">
        <v>2</v>
      </c>
      <c r="L409" s="3">
        <v>4</v>
      </c>
      <c r="M409" s="3">
        <v>2</v>
      </c>
      <c r="N409" s="3" t="s">
        <v>14</v>
      </c>
      <c r="O409" s="3" t="s">
        <v>13</v>
      </c>
      <c r="P409" s="3">
        <v>3</v>
      </c>
      <c r="Q409" s="3">
        <v>5</v>
      </c>
      <c r="R409" s="4" t="s">
        <v>14</v>
      </c>
      <c r="S409" s="4" t="s">
        <v>12</v>
      </c>
      <c r="T409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410" spans="1:20" ht="18" x14ac:dyDescent="0.35">
      <c r="A410" s="3" t="s">
        <v>453</v>
      </c>
      <c r="B410" s="3" t="str">
        <f>IF(Table1[[#This Row],[Age]]&lt;25,"Under 25",IF(Table1[[#This Row],[Age]]&lt;35,"25-34",IF(Table1[[#This Row],[Age]]&lt;45,"35-44",IF(Table1[[#This Row],[Age]]&lt;55,"45-54","55+"))))</f>
        <v>25-34</v>
      </c>
      <c r="C410" s="3">
        <v>33</v>
      </c>
      <c r="D410" s="3" t="s">
        <v>7</v>
      </c>
      <c r="E410" s="3" t="s">
        <v>34</v>
      </c>
      <c r="F410" s="3" t="s">
        <v>54</v>
      </c>
      <c r="G410" s="3" t="s">
        <v>25</v>
      </c>
      <c r="H410" s="3" t="s">
        <v>19</v>
      </c>
      <c r="I410" s="3">
        <v>47936</v>
      </c>
      <c r="J410" s="3">
        <v>3</v>
      </c>
      <c r="K410" s="3">
        <v>0</v>
      </c>
      <c r="L410" s="3">
        <v>3</v>
      </c>
      <c r="M410" s="3">
        <v>3</v>
      </c>
      <c r="N410" s="3" t="s">
        <v>12</v>
      </c>
      <c r="O410" s="3" t="s">
        <v>13</v>
      </c>
      <c r="P410" s="3">
        <v>3</v>
      </c>
      <c r="Q410" s="3">
        <v>3</v>
      </c>
      <c r="R410" s="4" t="s">
        <v>12</v>
      </c>
      <c r="S410" s="4" t="s">
        <v>14</v>
      </c>
      <c r="T410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411" spans="1:20" ht="18" x14ac:dyDescent="0.35">
      <c r="A411" s="3" t="s">
        <v>454</v>
      </c>
      <c r="B411" s="3" t="str">
        <f>IF(Table1[[#This Row],[Age]]&lt;25,"Under 25",IF(Table1[[#This Row],[Age]]&lt;35,"25-34",IF(Table1[[#This Row],[Age]]&lt;45,"35-44",IF(Table1[[#This Row],[Age]]&lt;55,"45-54","55+"))))</f>
        <v>45-54</v>
      </c>
      <c r="C411" s="3">
        <v>50</v>
      </c>
      <c r="D411" s="3" t="s">
        <v>7</v>
      </c>
      <c r="E411" s="3" t="s">
        <v>8</v>
      </c>
      <c r="F411" s="3" t="s">
        <v>66</v>
      </c>
      <c r="G411" s="3" t="s">
        <v>25</v>
      </c>
      <c r="H411" s="3" t="s">
        <v>19</v>
      </c>
      <c r="I411" s="3">
        <v>77592</v>
      </c>
      <c r="J411" s="3">
        <v>20</v>
      </c>
      <c r="K411" s="3">
        <v>8</v>
      </c>
      <c r="L411" s="3">
        <v>3</v>
      </c>
      <c r="M411" s="3">
        <v>3</v>
      </c>
      <c r="N411" s="3" t="s">
        <v>14</v>
      </c>
      <c r="O411" s="3" t="s">
        <v>13</v>
      </c>
      <c r="P411" s="3">
        <v>3</v>
      </c>
      <c r="Q411" s="3">
        <v>5</v>
      </c>
      <c r="R411" s="4" t="s">
        <v>12</v>
      </c>
      <c r="S411" s="4" t="s">
        <v>14</v>
      </c>
      <c r="T411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412" spans="1:20" ht="18" x14ac:dyDescent="0.35">
      <c r="A412" s="3" t="s">
        <v>455</v>
      </c>
      <c r="B412" s="3" t="str">
        <f>IF(Table1[[#This Row],[Age]]&lt;25,"Under 25",IF(Table1[[#This Row],[Age]]&lt;35,"25-34",IF(Table1[[#This Row],[Age]]&lt;45,"35-44",IF(Table1[[#This Row],[Age]]&lt;55,"45-54","55+"))))</f>
        <v>35-44</v>
      </c>
      <c r="C412" s="3">
        <v>39</v>
      </c>
      <c r="D412" s="3" t="s">
        <v>22</v>
      </c>
      <c r="E412" s="3" t="s">
        <v>16</v>
      </c>
      <c r="F412" s="3" t="s">
        <v>47</v>
      </c>
      <c r="G412" s="3" t="s">
        <v>45</v>
      </c>
      <c r="H412" s="3" t="s">
        <v>19</v>
      </c>
      <c r="I412" s="3">
        <v>120623</v>
      </c>
      <c r="J412" s="3">
        <v>10</v>
      </c>
      <c r="K412" s="3">
        <v>10</v>
      </c>
      <c r="L412" s="3">
        <v>4</v>
      </c>
      <c r="M412" s="3">
        <v>2</v>
      </c>
      <c r="N412" s="3" t="s">
        <v>14</v>
      </c>
      <c r="O412" s="3" t="s">
        <v>20</v>
      </c>
      <c r="P412" s="3">
        <v>3</v>
      </c>
      <c r="Q412" s="3">
        <v>4</v>
      </c>
      <c r="R412" s="4" t="s">
        <v>12</v>
      </c>
      <c r="S412" s="4" t="s">
        <v>14</v>
      </c>
      <c r="T412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413" spans="1:20" ht="18" x14ac:dyDescent="0.35">
      <c r="A413" s="3" t="s">
        <v>456</v>
      </c>
      <c r="B413" s="3" t="str">
        <f>IF(Table1[[#This Row],[Age]]&lt;25,"Under 25",IF(Table1[[#This Row],[Age]]&lt;35,"25-34",IF(Table1[[#This Row],[Age]]&lt;45,"35-44",IF(Table1[[#This Row],[Age]]&lt;55,"45-54","55+"))))</f>
        <v>Under 25</v>
      </c>
      <c r="C413" s="3">
        <v>23</v>
      </c>
      <c r="D413" s="3" t="s">
        <v>22</v>
      </c>
      <c r="E413" s="3" t="s">
        <v>8</v>
      </c>
      <c r="F413" s="3" t="s">
        <v>23</v>
      </c>
      <c r="G413" s="3" t="s">
        <v>45</v>
      </c>
      <c r="H413" s="3" t="s">
        <v>11</v>
      </c>
      <c r="I413" s="3">
        <v>58848</v>
      </c>
      <c r="J413" s="3">
        <v>5</v>
      </c>
      <c r="K413" s="3">
        <v>0</v>
      </c>
      <c r="L413" s="3">
        <v>3</v>
      </c>
      <c r="M413" s="3">
        <v>3</v>
      </c>
      <c r="N413" s="3" t="s">
        <v>12</v>
      </c>
      <c r="O413" s="3" t="s">
        <v>13</v>
      </c>
      <c r="P413" s="3">
        <v>3</v>
      </c>
      <c r="Q413" s="3">
        <v>4</v>
      </c>
      <c r="R413" s="4" t="s">
        <v>12</v>
      </c>
      <c r="S413" s="4" t="s">
        <v>14</v>
      </c>
      <c r="T413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414" spans="1:20" ht="18" x14ac:dyDescent="0.35">
      <c r="A414" s="3" t="s">
        <v>457</v>
      </c>
      <c r="B414" s="3" t="str">
        <f>IF(Table1[[#This Row],[Age]]&lt;25,"Under 25",IF(Table1[[#This Row],[Age]]&lt;35,"25-34",IF(Table1[[#This Row],[Age]]&lt;45,"35-44",IF(Table1[[#This Row],[Age]]&lt;55,"45-54","55+"))))</f>
        <v>25-34</v>
      </c>
      <c r="C414" s="3">
        <v>28</v>
      </c>
      <c r="D414" s="3" t="s">
        <v>7</v>
      </c>
      <c r="E414" s="3" t="s">
        <v>16</v>
      </c>
      <c r="F414" s="3" t="s">
        <v>17</v>
      </c>
      <c r="G414" s="3" t="s">
        <v>18</v>
      </c>
      <c r="H414" s="3" t="s">
        <v>19</v>
      </c>
      <c r="I414" s="3">
        <v>82151</v>
      </c>
      <c r="J414" s="3">
        <v>7</v>
      </c>
      <c r="K414" s="3">
        <v>3</v>
      </c>
      <c r="L414" s="3">
        <v>3</v>
      </c>
      <c r="M414" s="3">
        <v>3</v>
      </c>
      <c r="N414" s="3" t="s">
        <v>12</v>
      </c>
      <c r="O414" s="3" t="s">
        <v>20</v>
      </c>
      <c r="P414" s="3">
        <v>3</v>
      </c>
      <c r="Q414" s="3">
        <v>6</v>
      </c>
      <c r="R414" s="4" t="s">
        <v>14</v>
      </c>
      <c r="S414" s="4" t="s">
        <v>12</v>
      </c>
      <c r="T414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415" spans="1:20" ht="18" x14ac:dyDescent="0.35">
      <c r="A415" s="3" t="s">
        <v>458</v>
      </c>
      <c r="B415" s="3" t="str">
        <f>IF(Table1[[#This Row],[Age]]&lt;25,"Under 25",IF(Table1[[#This Row],[Age]]&lt;35,"25-34",IF(Table1[[#This Row],[Age]]&lt;45,"35-44",IF(Table1[[#This Row],[Age]]&lt;55,"45-54","55+"))))</f>
        <v>25-34</v>
      </c>
      <c r="C415" s="3">
        <v>32</v>
      </c>
      <c r="D415" s="3" t="s">
        <v>22</v>
      </c>
      <c r="E415" s="3" t="s">
        <v>31</v>
      </c>
      <c r="F415" s="3" t="s">
        <v>74</v>
      </c>
      <c r="G415" s="3" t="s">
        <v>10</v>
      </c>
      <c r="H415" s="3" t="s">
        <v>11</v>
      </c>
      <c r="I415" s="3">
        <v>75136</v>
      </c>
      <c r="J415" s="3">
        <v>14</v>
      </c>
      <c r="K415" s="3">
        <v>11</v>
      </c>
      <c r="L415" s="3">
        <v>4</v>
      </c>
      <c r="M415" s="3">
        <v>3</v>
      </c>
      <c r="N415" s="3" t="s">
        <v>14</v>
      </c>
      <c r="O415" s="3" t="s">
        <v>26</v>
      </c>
      <c r="P415" s="3">
        <v>3</v>
      </c>
      <c r="Q415" s="3">
        <v>3</v>
      </c>
      <c r="R415" s="4" t="s">
        <v>12</v>
      </c>
      <c r="S415" s="4" t="s">
        <v>14</v>
      </c>
      <c r="T415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416" spans="1:20" ht="18" x14ac:dyDescent="0.35">
      <c r="A416" s="3" t="s">
        <v>459</v>
      </c>
      <c r="B416" s="3" t="str">
        <f>IF(Table1[[#This Row],[Age]]&lt;25,"Under 25",IF(Table1[[#This Row],[Age]]&lt;35,"25-34",IF(Table1[[#This Row],[Age]]&lt;45,"35-44",IF(Table1[[#This Row],[Age]]&lt;55,"45-54","55+"))))</f>
        <v>25-34</v>
      </c>
      <c r="C416" s="3">
        <v>32</v>
      </c>
      <c r="D416" s="3" t="s">
        <v>22</v>
      </c>
      <c r="E416" s="3" t="s">
        <v>38</v>
      </c>
      <c r="F416" s="3" t="s">
        <v>89</v>
      </c>
      <c r="G416" s="3" t="s">
        <v>18</v>
      </c>
      <c r="H416" s="3" t="s">
        <v>19</v>
      </c>
      <c r="I416" s="3">
        <v>63683</v>
      </c>
      <c r="J416" s="3">
        <v>14</v>
      </c>
      <c r="K416" s="3">
        <v>9</v>
      </c>
      <c r="L416" s="3">
        <v>4</v>
      </c>
      <c r="M416" s="3">
        <v>4</v>
      </c>
      <c r="N416" s="3" t="s">
        <v>14</v>
      </c>
      <c r="O416" s="3" t="s">
        <v>26</v>
      </c>
      <c r="P416" s="3">
        <v>4</v>
      </c>
      <c r="Q416" s="3">
        <v>0</v>
      </c>
      <c r="R416" s="4" t="s">
        <v>14</v>
      </c>
      <c r="S416" s="4" t="s">
        <v>14</v>
      </c>
      <c r="T416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417" spans="1:20" ht="18" x14ac:dyDescent="0.35">
      <c r="A417" s="3" t="s">
        <v>460</v>
      </c>
      <c r="B417" s="3" t="str">
        <f>IF(Table1[[#This Row],[Age]]&lt;25,"Under 25",IF(Table1[[#This Row],[Age]]&lt;35,"25-34",IF(Table1[[#This Row],[Age]]&lt;45,"35-44",IF(Table1[[#This Row],[Age]]&lt;55,"45-54","55+"))))</f>
        <v>35-44</v>
      </c>
      <c r="C417" s="3">
        <v>35</v>
      </c>
      <c r="D417" s="3" t="s">
        <v>7</v>
      </c>
      <c r="E417" s="3" t="s">
        <v>38</v>
      </c>
      <c r="F417" s="3" t="s">
        <v>89</v>
      </c>
      <c r="G417" s="3" t="s">
        <v>25</v>
      </c>
      <c r="H417" s="3" t="s">
        <v>19</v>
      </c>
      <c r="I417" s="3">
        <v>77673</v>
      </c>
      <c r="J417" s="3">
        <v>8</v>
      </c>
      <c r="K417" s="3">
        <v>8</v>
      </c>
      <c r="L417" s="3">
        <v>2</v>
      </c>
      <c r="M417" s="3">
        <v>3</v>
      </c>
      <c r="N417" s="3" t="s">
        <v>14</v>
      </c>
      <c r="O417" s="3" t="s">
        <v>26</v>
      </c>
      <c r="P417" s="3">
        <v>3</v>
      </c>
      <c r="Q417" s="3">
        <v>5</v>
      </c>
      <c r="R417" s="4" t="s">
        <v>14</v>
      </c>
      <c r="S417" s="4" t="s">
        <v>14</v>
      </c>
      <c r="T417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418" spans="1:20" ht="18" x14ac:dyDescent="0.35">
      <c r="A418" s="3" t="s">
        <v>461</v>
      </c>
      <c r="B418" s="3" t="str">
        <f>IF(Table1[[#This Row],[Age]]&lt;25,"Under 25",IF(Table1[[#This Row],[Age]]&lt;35,"25-34",IF(Table1[[#This Row],[Age]]&lt;45,"35-44",IF(Table1[[#This Row],[Age]]&lt;55,"45-54","55+"))))</f>
        <v>25-34</v>
      </c>
      <c r="C418" s="3">
        <v>28</v>
      </c>
      <c r="D418" s="3" t="s">
        <v>7</v>
      </c>
      <c r="E418" s="3" t="s">
        <v>34</v>
      </c>
      <c r="F418" s="3" t="s">
        <v>150</v>
      </c>
      <c r="G418" s="3" t="s">
        <v>25</v>
      </c>
      <c r="H418" s="3" t="s">
        <v>19</v>
      </c>
      <c r="I418" s="3">
        <v>95066</v>
      </c>
      <c r="J418" s="3">
        <v>5</v>
      </c>
      <c r="K418" s="3">
        <v>0</v>
      </c>
      <c r="L418" s="3">
        <v>2</v>
      </c>
      <c r="M418" s="3">
        <v>1</v>
      </c>
      <c r="N418" s="3" t="s">
        <v>14</v>
      </c>
      <c r="O418" s="3" t="s">
        <v>13</v>
      </c>
      <c r="P418" s="3">
        <v>3</v>
      </c>
      <c r="Q418" s="3">
        <v>3</v>
      </c>
      <c r="R418" s="4" t="s">
        <v>14</v>
      </c>
      <c r="S418" s="4" t="s">
        <v>14</v>
      </c>
      <c r="T418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419" spans="1:20" ht="18" x14ac:dyDescent="0.35">
      <c r="A419" s="3" t="s">
        <v>462</v>
      </c>
      <c r="B419" s="3" t="str">
        <f>IF(Table1[[#This Row],[Age]]&lt;25,"Under 25",IF(Table1[[#This Row],[Age]]&lt;35,"25-34",IF(Table1[[#This Row],[Age]]&lt;45,"35-44",IF(Table1[[#This Row],[Age]]&lt;55,"45-54","55+"))))</f>
        <v>45-54</v>
      </c>
      <c r="C419" s="3">
        <v>48</v>
      </c>
      <c r="D419" s="3" t="s">
        <v>22</v>
      </c>
      <c r="E419" s="3" t="s">
        <v>34</v>
      </c>
      <c r="F419" s="3" t="s">
        <v>54</v>
      </c>
      <c r="G419" s="3" t="s">
        <v>25</v>
      </c>
      <c r="H419" s="3" t="s">
        <v>11</v>
      </c>
      <c r="I419" s="3">
        <v>38503</v>
      </c>
      <c r="J419" s="3">
        <v>24</v>
      </c>
      <c r="K419" s="3">
        <v>11</v>
      </c>
      <c r="L419" s="3">
        <v>2</v>
      </c>
      <c r="M419" s="3">
        <v>2</v>
      </c>
      <c r="N419" s="3" t="s">
        <v>14</v>
      </c>
      <c r="O419" s="3" t="s">
        <v>20</v>
      </c>
      <c r="P419" s="3">
        <v>2</v>
      </c>
      <c r="Q419" s="3">
        <v>2</v>
      </c>
      <c r="R419" s="4" t="s">
        <v>14</v>
      </c>
      <c r="S419" s="4" t="s">
        <v>14</v>
      </c>
      <c r="T419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420" spans="1:20" ht="18" x14ac:dyDescent="0.35">
      <c r="A420" s="3" t="s">
        <v>463</v>
      </c>
      <c r="B420" s="3" t="str">
        <f>IF(Table1[[#This Row],[Age]]&lt;25,"Under 25",IF(Table1[[#This Row],[Age]]&lt;35,"25-34",IF(Table1[[#This Row],[Age]]&lt;45,"35-44",IF(Table1[[#This Row],[Age]]&lt;55,"45-54","55+"))))</f>
        <v>25-34</v>
      </c>
      <c r="C420" s="3">
        <v>26</v>
      </c>
      <c r="D420" s="3" t="s">
        <v>22</v>
      </c>
      <c r="E420" s="3" t="s">
        <v>34</v>
      </c>
      <c r="F420" s="3" t="s">
        <v>35</v>
      </c>
      <c r="G420" s="3" t="s">
        <v>10</v>
      </c>
      <c r="H420" s="3" t="s">
        <v>19</v>
      </c>
      <c r="I420" s="3">
        <v>81810</v>
      </c>
      <c r="J420" s="3">
        <v>0</v>
      </c>
      <c r="K420" s="3">
        <v>0</v>
      </c>
      <c r="L420" s="3">
        <v>1</v>
      </c>
      <c r="M420" s="3">
        <v>3</v>
      </c>
      <c r="N420" s="3" t="s">
        <v>14</v>
      </c>
      <c r="O420" s="3" t="s">
        <v>26</v>
      </c>
      <c r="P420" s="3">
        <v>3</v>
      </c>
      <c r="Q420" s="3">
        <v>3</v>
      </c>
      <c r="R420" s="4" t="s">
        <v>14</v>
      </c>
      <c r="S420" s="4" t="s">
        <v>14</v>
      </c>
      <c r="T420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Less than 1 Year</v>
      </c>
    </row>
    <row r="421" spans="1:20" ht="18" x14ac:dyDescent="0.35">
      <c r="A421" s="3" t="s">
        <v>464</v>
      </c>
      <c r="B421" s="3" t="str">
        <f>IF(Table1[[#This Row],[Age]]&lt;25,"Under 25",IF(Table1[[#This Row],[Age]]&lt;35,"25-34",IF(Table1[[#This Row],[Age]]&lt;45,"35-44",IF(Table1[[#This Row],[Age]]&lt;55,"45-54","55+"))))</f>
        <v>Under 25</v>
      </c>
      <c r="C421" s="3">
        <v>21</v>
      </c>
      <c r="D421" s="3" t="s">
        <v>7</v>
      </c>
      <c r="E421" s="3" t="s">
        <v>16</v>
      </c>
      <c r="F421" s="3" t="s">
        <v>28</v>
      </c>
      <c r="G421" s="3" t="s">
        <v>45</v>
      </c>
      <c r="H421" s="3" t="s">
        <v>42</v>
      </c>
      <c r="I421" s="3">
        <v>25220</v>
      </c>
      <c r="J421" s="3">
        <v>2</v>
      </c>
      <c r="K421" s="3">
        <v>0</v>
      </c>
      <c r="L421" s="3">
        <v>3</v>
      </c>
      <c r="M421" s="3">
        <v>3</v>
      </c>
      <c r="N421" s="3" t="s">
        <v>14</v>
      </c>
      <c r="O421" s="3" t="s">
        <v>13</v>
      </c>
      <c r="P421" s="3">
        <v>3</v>
      </c>
      <c r="Q421" s="3">
        <v>6</v>
      </c>
      <c r="R421" s="4" t="s">
        <v>14</v>
      </c>
      <c r="S421" s="4" t="s">
        <v>14</v>
      </c>
      <c r="T421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422" spans="1:20" ht="18" x14ac:dyDescent="0.35">
      <c r="A422" s="3" t="s">
        <v>465</v>
      </c>
      <c r="B422" s="3" t="str">
        <f>IF(Table1[[#This Row],[Age]]&lt;25,"Under 25",IF(Table1[[#This Row],[Age]]&lt;35,"25-34",IF(Table1[[#This Row],[Age]]&lt;45,"35-44",IF(Table1[[#This Row],[Age]]&lt;55,"45-54","55+"))))</f>
        <v>45-54</v>
      </c>
      <c r="C422" s="3">
        <v>50</v>
      </c>
      <c r="D422" s="3" t="s">
        <v>22</v>
      </c>
      <c r="E422" s="3" t="s">
        <v>16</v>
      </c>
      <c r="F422" s="3" t="s">
        <v>17</v>
      </c>
      <c r="G422" s="3" t="s">
        <v>18</v>
      </c>
      <c r="H422" s="3" t="s">
        <v>19</v>
      </c>
      <c r="I422" s="3">
        <v>47440</v>
      </c>
      <c r="J422" s="3">
        <v>24</v>
      </c>
      <c r="K422" s="3">
        <v>7</v>
      </c>
      <c r="L422" s="3">
        <v>3</v>
      </c>
      <c r="M422" s="3">
        <v>2</v>
      </c>
      <c r="N422" s="3" t="s">
        <v>12</v>
      </c>
      <c r="O422" s="3" t="s">
        <v>13</v>
      </c>
      <c r="P422" s="3">
        <v>3</v>
      </c>
      <c r="Q422" s="3">
        <v>3</v>
      </c>
      <c r="R422" s="4" t="s">
        <v>12</v>
      </c>
      <c r="S422" s="4" t="s">
        <v>14</v>
      </c>
      <c r="T422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423" spans="1:20" ht="18" x14ac:dyDescent="0.35">
      <c r="A423" s="3" t="s">
        <v>466</v>
      </c>
      <c r="B423" s="3" t="str">
        <f>IF(Table1[[#This Row],[Age]]&lt;25,"Under 25",IF(Table1[[#This Row],[Age]]&lt;35,"25-34",IF(Table1[[#This Row],[Age]]&lt;45,"35-44",IF(Table1[[#This Row],[Age]]&lt;55,"45-54","55+"))))</f>
        <v>Under 25</v>
      </c>
      <c r="C423" s="3">
        <v>23</v>
      </c>
      <c r="D423" s="3" t="s">
        <v>22</v>
      </c>
      <c r="E423" s="3" t="s">
        <v>34</v>
      </c>
      <c r="F423" s="3" t="s">
        <v>91</v>
      </c>
      <c r="G423" s="3" t="s">
        <v>25</v>
      </c>
      <c r="H423" s="3" t="s">
        <v>19</v>
      </c>
      <c r="I423" s="3">
        <v>97965</v>
      </c>
      <c r="J423" s="3">
        <v>4</v>
      </c>
      <c r="K423" s="3">
        <v>4</v>
      </c>
      <c r="L423" s="3">
        <v>2</v>
      </c>
      <c r="M423" s="3">
        <v>1</v>
      </c>
      <c r="N423" s="3" t="s">
        <v>14</v>
      </c>
      <c r="O423" s="3" t="s">
        <v>26</v>
      </c>
      <c r="P423" s="3">
        <v>3</v>
      </c>
      <c r="Q423" s="3">
        <v>0</v>
      </c>
      <c r="R423" s="4" t="s">
        <v>14</v>
      </c>
      <c r="S423" s="4" t="s">
        <v>14</v>
      </c>
      <c r="T423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424" spans="1:20" ht="18" x14ac:dyDescent="0.35">
      <c r="A424" s="3" t="s">
        <v>467</v>
      </c>
      <c r="B424" s="3" t="str">
        <f>IF(Table1[[#This Row],[Age]]&lt;25,"Under 25",IF(Table1[[#This Row],[Age]]&lt;35,"25-34",IF(Table1[[#This Row],[Age]]&lt;45,"35-44",IF(Table1[[#This Row],[Age]]&lt;55,"45-54","55+"))))</f>
        <v>35-44</v>
      </c>
      <c r="C424" s="3">
        <v>36</v>
      </c>
      <c r="D424" s="3" t="s">
        <v>7</v>
      </c>
      <c r="E424" s="3" t="s">
        <v>38</v>
      </c>
      <c r="F424" s="3" t="s">
        <v>39</v>
      </c>
      <c r="G424" s="3" t="s">
        <v>10</v>
      </c>
      <c r="H424" s="3" t="s">
        <v>11</v>
      </c>
      <c r="I424" s="3">
        <v>43743</v>
      </c>
      <c r="J424" s="3">
        <v>16</v>
      </c>
      <c r="K424" s="3">
        <v>2</v>
      </c>
      <c r="L424" s="3">
        <v>2</v>
      </c>
      <c r="M424" s="3">
        <v>2</v>
      </c>
      <c r="N424" s="3" t="s">
        <v>14</v>
      </c>
      <c r="O424" s="3" t="s">
        <v>13</v>
      </c>
      <c r="P424" s="3">
        <v>3</v>
      </c>
      <c r="Q424" s="3">
        <v>4</v>
      </c>
      <c r="R424" s="4" t="s">
        <v>14</v>
      </c>
      <c r="S424" s="4" t="s">
        <v>14</v>
      </c>
      <c r="T424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425" spans="1:20" ht="18" x14ac:dyDescent="0.35">
      <c r="A425" s="3" t="s">
        <v>468</v>
      </c>
      <c r="B425" s="3" t="str">
        <f>IF(Table1[[#This Row],[Age]]&lt;25,"Under 25",IF(Table1[[#This Row],[Age]]&lt;35,"25-34",IF(Table1[[#This Row],[Age]]&lt;45,"35-44",IF(Table1[[#This Row],[Age]]&lt;55,"45-54","55+"))))</f>
        <v>Under 25</v>
      </c>
      <c r="C425" s="3">
        <v>23</v>
      </c>
      <c r="D425" s="3" t="s">
        <v>7</v>
      </c>
      <c r="E425" s="3" t="s">
        <v>8</v>
      </c>
      <c r="F425" s="3" t="s">
        <v>66</v>
      </c>
      <c r="G425" s="3" t="s">
        <v>25</v>
      </c>
      <c r="H425" s="3" t="s">
        <v>11</v>
      </c>
      <c r="I425" s="3">
        <v>74041</v>
      </c>
      <c r="J425" s="3">
        <v>4</v>
      </c>
      <c r="K425" s="3">
        <v>4</v>
      </c>
      <c r="L425" s="3">
        <v>1</v>
      </c>
      <c r="M425" s="3">
        <v>3</v>
      </c>
      <c r="N425" s="3" t="s">
        <v>14</v>
      </c>
      <c r="O425" s="3" t="s">
        <v>26</v>
      </c>
      <c r="P425" s="3">
        <v>4</v>
      </c>
      <c r="Q425" s="3">
        <v>1</v>
      </c>
      <c r="R425" s="4" t="s">
        <v>14</v>
      </c>
      <c r="S425" s="4" t="s">
        <v>14</v>
      </c>
      <c r="T425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426" spans="1:20" ht="18" x14ac:dyDescent="0.35">
      <c r="A426" s="3" t="s">
        <v>469</v>
      </c>
      <c r="B426" s="3" t="str">
        <f>IF(Table1[[#This Row],[Age]]&lt;25,"Under 25",IF(Table1[[#This Row],[Age]]&lt;35,"25-34",IF(Table1[[#This Row],[Age]]&lt;45,"35-44",IF(Table1[[#This Row],[Age]]&lt;55,"45-54","55+"))))</f>
        <v>Under 25</v>
      </c>
      <c r="C426" s="3">
        <v>21</v>
      </c>
      <c r="D426" s="3" t="s">
        <v>22</v>
      </c>
      <c r="E426" s="3" t="s">
        <v>8</v>
      </c>
      <c r="F426" s="3" t="s">
        <v>9</v>
      </c>
      <c r="G426" s="3" t="s">
        <v>25</v>
      </c>
      <c r="H426" s="3" t="s">
        <v>19</v>
      </c>
      <c r="I426" s="3">
        <v>36322</v>
      </c>
      <c r="J426" s="3">
        <v>2</v>
      </c>
      <c r="K426" s="3">
        <v>1</v>
      </c>
      <c r="L426" s="3">
        <v>3</v>
      </c>
      <c r="M426" s="3">
        <v>4</v>
      </c>
      <c r="N426" s="3" t="s">
        <v>14</v>
      </c>
      <c r="O426" s="3" t="s">
        <v>13</v>
      </c>
      <c r="P426" s="3">
        <v>3</v>
      </c>
      <c r="Q426" s="3">
        <v>5</v>
      </c>
      <c r="R426" s="4" t="s">
        <v>14</v>
      </c>
      <c r="S426" s="4" t="s">
        <v>14</v>
      </c>
      <c r="T426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427" spans="1:20" ht="18" x14ac:dyDescent="0.35">
      <c r="A427" s="3" t="s">
        <v>470</v>
      </c>
      <c r="B427" s="3" t="str">
        <f>IF(Table1[[#This Row],[Age]]&lt;25,"Under 25",IF(Table1[[#This Row],[Age]]&lt;35,"25-34",IF(Table1[[#This Row],[Age]]&lt;45,"35-44",IF(Table1[[#This Row],[Age]]&lt;55,"45-54","55+"))))</f>
        <v>25-34</v>
      </c>
      <c r="C427" s="3">
        <v>29</v>
      </c>
      <c r="D427" s="3" t="s">
        <v>7</v>
      </c>
      <c r="E427" s="3" t="s">
        <v>31</v>
      </c>
      <c r="F427" s="3" t="s">
        <v>136</v>
      </c>
      <c r="G427" s="3" t="s">
        <v>18</v>
      </c>
      <c r="H427" s="3" t="s">
        <v>19</v>
      </c>
      <c r="I427" s="3">
        <v>58335</v>
      </c>
      <c r="J427" s="3">
        <v>0</v>
      </c>
      <c r="K427" s="3">
        <v>0</v>
      </c>
      <c r="L427" s="3">
        <v>3</v>
      </c>
      <c r="M427" s="3">
        <v>2</v>
      </c>
      <c r="N427" s="3" t="s">
        <v>12</v>
      </c>
      <c r="O427" s="3" t="s">
        <v>13</v>
      </c>
      <c r="P427" s="3">
        <v>3</v>
      </c>
      <c r="Q427" s="3">
        <v>4</v>
      </c>
      <c r="R427" s="4" t="s">
        <v>14</v>
      </c>
      <c r="S427" s="4" t="s">
        <v>14</v>
      </c>
      <c r="T427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Less than 1 Year</v>
      </c>
    </row>
    <row r="428" spans="1:20" ht="18" x14ac:dyDescent="0.35">
      <c r="A428" s="3" t="s">
        <v>471</v>
      </c>
      <c r="B428" s="3" t="str">
        <f>IF(Table1[[#This Row],[Age]]&lt;25,"Under 25",IF(Table1[[#This Row],[Age]]&lt;35,"25-34",IF(Table1[[#This Row],[Age]]&lt;45,"35-44",IF(Table1[[#This Row],[Age]]&lt;55,"45-54","55+"))))</f>
        <v>25-34</v>
      </c>
      <c r="C428" s="3">
        <v>33</v>
      </c>
      <c r="D428" s="3" t="s">
        <v>7</v>
      </c>
      <c r="E428" s="3" t="s">
        <v>31</v>
      </c>
      <c r="F428" s="3" t="s">
        <v>32</v>
      </c>
      <c r="G428" s="3" t="s">
        <v>10</v>
      </c>
      <c r="H428" s="3" t="s">
        <v>11</v>
      </c>
      <c r="I428" s="3">
        <v>48884</v>
      </c>
      <c r="J428" s="3">
        <v>0</v>
      </c>
      <c r="K428" s="3">
        <v>0</v>
      </c>
      <c r="L428" s="3">
        <v>2</v>
      </c>
      <c r="M428" s="3">
        <v>3</v>
      </c>
      <c r="N428" s="3" t="s">
        <v>12</v>
      </c>
      <c r="O428" s="3" t="s">
        <v>13</v>
      </c>
      <c r="P428" s="3">
        <v>3</v>
      </c>
      <c r="Q428" s="3">
        <v>2</v>
      </c>
      <c r="R428" s="4" t="s">
        <v>14</v>
      </c>
      <c r="S428" s="4" t="s">
        <v>12</v>
      </c>
      <c r="T428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Less than 1 Year</v>
      </c>
    </row>
    <row r="429" spans="1:20" ht="18" x14ac:dyDescent="0.35">
      <c r="A429" s="3" t="s">
        <v>472</v>
      </c>
      <c r="B429" s="3" t="str">
        <f>IF(Table1[[#This Row],[Age]]&lt;25,"Under 25",IF(Table1[[#This Row],[Age]]&lt;35,"25-34",IF(Table1[[#This Row],[Age]]&lt;45,"35-44",IF(Table1[[#This Row],[Age]]&lt;55,"45-54","55+"))))</f>
        <v>25-34</v>
      </c>
      <c r="C429" s="3">
        <v>28</v>
      </c>
      <c r="D429" s="3" t="s">
        <v>7</v>
      </c>
      <c r="E429" s="3" t="s">
        <v>34</v>
      </c>
      <c r="F429" s="3" t="s">
        <v>35</v>
      </c>
      <c r="G429" s="3" t="s">
        <v>25</v>
      </c>
      <c r="H429" s="3" t="s">
        <v>11</v>
      </c>
      <c r="I429" s="3">
        <v>68420</v>
      </c>
      <c r="J429" s="3">
        <v>0</v>
      </c>
      <c r="K429" s="3">
        <v>0</v>
      </c>
      <c r="L429" s="3">
        <v>4</v>
      </c>
      <c r="M429" s="3">
        <v>3</v>
      </c>
      <c r="N429" s="3" t="s">
        <v>14</v>
      </c>
      <c r="O429" s="3" t="s">
        <v>13</v>
      </c>
      <c r="P429" s="3">
        <v>3</v>
      </c>
      <c r="Q429" s="3">
        <v>4</v>
      </c>
      <c r="R429" s="4" t="s">
        <v>14</v>
      </c>
      <c r="S429" s="4" t="s">
        <v>14</v>
      </c>
      <c r="T429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Less than 1 Year</v>
      </c>
    </row>
    <row r="430" spans="1:20" ht="18" x14ac:dyDescent="0.35">
      <c r="A430" s="3" t="s">
        <v>473</v>
      </c>
      <c r="B430" s="3" t="str">
        <f>IF(Table1[[#This Row],[Age]]&lt;25,"Under 25",IF(Table1[[#This Row],[Age]]&lt;35,"25-34",IF(Table1[[#This Row],[Age]]&lt;45,"35-44",IF(Table1[[#This Row],[Age]]&lt;55,"45-54","55+"))))</f>
        <v>35-44</v>
      </c>
      <c r="C430" s="3">
        <v>37</v>
      </c>
      <c r="D430" s="3" t="s">
        <v>7</v>
      </c>
      <c r="E430" s="3" t="s">
        <v>16</v>
      </c>
      <c r="F430" s="3" t="s">
        <v>28</v>
      </c>
      <c r="G430" s="3" t="s">
        <v>25</v>
      </c>
      <c r="H430" s="3" t="s">
        <v>19</v>
      </c>
      <c r="I430" s="3">
        <v>22000</v>
      </c>
      <c r="J430" s="3">
        <v>11</v>
      </c>
      <c r="K430" s="3">
        <v>6</v>
      </c>
      <c r="L430" s="3">
        <v>3</v>
      </c>
      <c r="M430" s="3">
        <v>2</v>
      </c>
      <c r="N430" s="3" t="s">
        <v>14</v>
      </c>
      <c r="O430" s="3" t="s">
        <v>13</v>
      </c>
      <c r="P430" s="3">
        <v>4</v>
      </c>
      <c r="Q430" s="3">
        <v>3</v>
      </c>
      <c r="R430" s="4" t="s">
        <v>14</v>
      </c>
      <c r="S430" s="4" t="s">
        <v>14</v>
      </c>
      <c r="T430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431" spans="1:20" ht="18" x14ac:dyDescent="0.35">
      <c r="A431" s="3" t="s">
        <v>474</v>
      </c>
      <c r="B431" s="3" t="str">
        <f>IF(Table1[[#This Row],[Age]]&lt;25,"Under 25",IF(Table1[[#This Row],[Age]]&lt;35,"25-34",IF(Table1[[#This Row],[Age]]&lt;45,"35-44",IF(Table1[[#This Row],[Age]]&lt;55,"45-54","55+"))))</f>
        <v>35-44</v>
      </c>
      <c r="C431" s="3">
        <v>40</v>
      </c>
      <c r="D431" s="3" t="s">
        <v>22</v>
      </c>
      <c r="E431" s="3" t="s">
        <v>34</v>
      </c>
      <c r="F431" s="3" t="s">
        <v>91</v>
      </c>
      <c r="G431" s="3" t="s">
        <v>25</v>
      </c>
      <c r="H431" s="3" t="s">
        <v>19</v>
      </c>
      <c r="I431" s="3">
        <v>49914</v>
      </c>
      <c r="J431" s="3">
        <v>1</v>
      </c>
      <c r="K431" s="3">
        <v>1</v>
      </c>
      <c r="L431" s="3">
        <v>3</v>
      </c>
      <c r="M431" s="3">
        <v>2</v>
      </c>
      <c r="N431" s="3" t="s">
        <v>14</v>
      </c>
      <c r="O431" s="3" t="s">
        <v>20</v>
      </c>
      <c r="P431" s="3">
        <v>3</v>
      </c>
      <c r="Q431" s="3">
        <v>3</v>
      </c>
      <c r="R431" s="4" t="s">
        <v>14</v>
      </c>
      <c r="S431" s="4" t="s">
        <v>14</v>
      </c>
      <c r="T431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432" spans="1:20" ht="18" x14ac:dyDescent="0.35">
      <c r="A432" s="3" t="s">
        <v>475</v>
      </c>
      <c r="B432" s="3" t="str">
        <f>IF(Table1[[#This Row],[Age]]&lt;25,"Under 25",IF(Table1[[#This Row],[Age]]&lt;35,"25-34",IF(Table1[[#This Row],[Age]]&lt;45,"35-44",IF(Table1[[#This Row],[Age]]&lt;55,"45-54","55+"))))</f>
        <v>25-34</v>
      </c>
      <c r="C432" s="3">
        <v>30</v>
      </c>
      <c r="D432" s="3" t="s">
        <v>7</v>
      </c>
      <c r="E432" s="3" t="s">
        <v>8</v>
      </c>
      <c r="F432" s="3" t="s">
        <v>66</v>
      </c>
      <c r="G432" s="3" t="s">
        <v>10</v>
      </c>
      <c r="H432" s="3" t="s">
        <v>11</v>
      </c>
      <c r="I432" s="3">
        <v>71763</v>
      </c>
      <c r="J432" s="3">
        <v>2</v>
      </c>
      <c r="K432" s="3">
        <v>0</v>
      </c>
      <c r="L432" s="3">
        <v>4</v>
      </c>
      <c r="M432" s="3">
        <v>3</v>
      </c>
      <c r="N432" s="3" t="s">
        <v>14</v>
      </c>
      <c r="O432" s="3" t="s">
        <v>13</v>
      </c>
      <c r="P432" s="3">
        <v>3</v>
      </c>
      <c r="Q432" s="3">
        <v>2</v>
      </c>
      <c r="R432" s="4" t="s">
        <v>14</v>
      </c>
      <c r="S432" s="4" t="s">
        <v>14</v>
      </c>
      <c r="T432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433" spans="1:20" ht="18" x14ac:dyDescent="0.35">
      <c r="A433" s="3" t="s">
        <v>476</v>
      </c>
      <c r="B433" s="3" t="str">
        <f>IF(Table1[[#This Row],[Age]]&lt;25,"Under 25",IF(Table1[[#This Row],[Age]]&lt;35,"25-34",IF(Table1[[#This Row],[Age]]&lt;45,"35-44",IF(Table1[[#This Row],[Age]]&lt;55,"45-54","55+"))))</f>
        <v>Under 25</v>
      </c>
      <c r="C433" s="3">
        <v>24</v>
      </c>
      <c r="D433" s="3" t="s">
        <v>22</v>
      </c>
      <c r="E433" s="3" t="s">
        <v>8</v>
      </c>
      <c r="F433" s="3" t="s">
        <v>66</v>
      </c>
      <c r="G433" s="3" t="s">
        <v>10</v>
      </c>
      <c r="H433" s="3" t="s">
        <v>11</v>
      </c>
      <c r="I433" s="3">
        <v>54370</v>
      </c>
      <c r="J433" s="3">
        <v>1</v>
      </c>
      <c r="K433" s="3">
        <v>1</v>
      </c>
      <c r="L433" s="3">
        <v>1</v>
      </c>
      <c r="M433" s="3">
        <v>3</v>
      </c>
      <c r="N433" s="3" t="s">
        <v>14</v>
      </c>
      <c r="O433" s="3" t="s">
        <v>13</v>
      </c>
      <c r="P433" s="3">
        <v>2</v>
      </c>
      <c r="Q433" s="3">
        <v>0</v>
      </c>
      <c r="R433" s="4" t="s">
        <v>14</v>
      </c>
      <c r="S433" s="4" t="s">
        <v>14</v>
      </c>
      <c r="T433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434" spans="1:20" ht="18" x14ac:dyDescent="0.35">
      <c r="A434" s="3" t="s">
        <v>477</v>
      </c>
      <c r="B434" s="3" t="str">
        <f>IF(Table1[[#This Row],[Age]]&lt;25,"Under 25",IF(Table1[[#This Row],[Age]]&lt;35,"25-34",IF(Table1[[#This Row],[Age]]&lt;45,"35-44",IF(Table1[[#This Row],[Age]]&lt;55,"45-54","55+"))))</f>
        <v>25-34</v>
      </c>
      <c r="C434" s="3">
        <v>33</v>
      </c>
      <c r="D434" s="3" t="s">
        <v>7</v>
      </c>
      <c r="E434" s="3" t="s">
        <v>16</v>
      </c>
      <c r="F434" s="3" t="s">
        <v>17</v>
      </c>
      <c r="G434" s="3" t="s">
        <v>10</v>
      </c>
      <c r="H434" s="3" t="s">
        <v>42</v>
      </c>
      <c r="I434" s="3">
        <v>84621</v>
      </c>
      <c r="J434" s="3">
        <v>12</v>
      </c>
      <c r="K434" s="3">
        <v>9</v>
      </c>
      <c r="L434" s="3">
        <v>4</v>
      </c>
      <c r="M434" s="3">
        <v>3</v>
      </c>
      <c r="N434" s="3" t="s">
        <v>14</v>
      </c>
      <c r="O434" s="3" t="s">
        <v>20</v>
      </c>
      <c r="P434" s="3">
        <v>3</v>
      </c>
      <c r="Q434" s="3">
        <v>2</v>
      </c>
      <c r="R434" s="4" t="s">
        <v>14</v>
      </c>
      <c r="S434" s="4" t="s">
        <v>14</v>
      </c>
      <c r="T434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435" spans="1:20" ht="18" x14ac:dyDescent="0.35">
      <c r="A435" s="3" t="s">
        <v>478</v>
      </c>
      <c r="B435" s="3" t="str">
        <f>IF(Table1[[#This Row],[Age]]&lt;25,"Under 25",IF(Table1[[#This Row],[Age]]&lt;35,"25-34",IF(Table1[[#This Row],[Age]]&lt;45,"35-44",IF(Table1[[#This Row],[Age]]&lt;55,"45-54","55+"))))</f>
        <v>35-44</v>
      </c>
      <c r="C435" s="3">
        <v>42</v>
      </c>
      <c r="D435" s="3" t="s">
        <v>22</v>
      </c>
      <c r="E435" s="3" t="s">
        <v>16</v>
      </c>
      <c r="F435" s="3" t="s">
        <v>47</v>
      </c>
      <c r="G435" s="3" t="s">
        <v>10</v>
      </c>
      <c r="H435" s="3" t="s">
        <v>11</v>
      </c>
      <c r="I435" s="3">
        <v>53678</v>
      </c>
      <c r="J435" s="3">
        <v>7</v>
      </c>
      <c r="K435" s="3">
        <v>6</v>
      </c>
      <c r="L435" s="3">
        <v>2</v>
      </c>
      <c r="M435" s="3">
        <v>4</v>
      </c>
      <c r="N435" s="3" t="s">
        <v>14</v>
      </c>
      <c r="O435" s="3" t="s">
        <v>13</v>
      </c>
      <c r="P435" s="3">
        <v>3</v>
      </c>
      <c r="Q435" s="3">
        <v>4</v>
      </c>
      <c r="R435" s="4" t="s">
        <v>14</v>
      </c>
      <c r="S435" s="4" t="s">
        <v>12</v>
      </c>
      <c r="T435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436" spans="1:20" ht="18" x14ac:dyDescent="0.35">
      <c r="A436" s="3" t="s">
        <v>479</v>
      </c>
      <c r="B436" s="3" t="str">
        <f>IF(Table1[[#This Row],[Age]]&lt;25,"Under 25",IF(Table1[[#This Row],[Age]]&lt;35,"25-34",IF(Table1[[#This Row],[Age]]&lt;45,"35-44",IF(Table1[[#This Row],[Age]]&lt;55,"45-54","55+"))))</f>
        <v>25-34</v>
      </c>
      <c r="C436" s="3">
        <v>32</v>
      </c>
      <c r="D436" s="3" t="s">
        <v>7</v>
      </c>
      <c r="E436" s="3" t="s">
        <v>34</v>
      </c>
      <c r="F436" s="3" t="s">
        <v>91</v>
      </c>
      <c r="G436" s="3" t="s">
        <v>25</v>
      </c>
      <c r="H436" s="3" t="s">
        <v>11</v>
      </c>
      <c r="I436" s="3">
        <v>86743</v>
      </c>
      <c r="J436" s="3">
        <v>10</v>
      </c>
      <c r="K436" s="3">
        <v>3</v>
      </c>
      <c r="L436" s="3">
        <v>2</v>
      </c>
      <c r="M436" s="3">
        <v>3</v>
      </c>
      <c r="N436" s="3" t="s">
        <v>14</v>
      </c>
      <c r="O436" s="3" t="s">
        <v>13</v>
      </c>
      <c r="P436" s="3">
        <v>3</v>
      </c>
      <c r="Q436" s="3">
        <v>5</v>
      </c>
      <c r="R436" s="4" t="s">
        <v>14</v>
      </c>
      <c r="S436" s="4" t="s">
        <v>14</v>
      </c>
      <c r="T436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437" spans="1:20" ht="18" x14ac:dyDescent="0.35">
      <c r="A437" s="3" t="s">
        <v>480</v>
      </c>
      <c r="B437" s="3" t="str">
        <f>IF(Table1[[#This Row],[Age]]&lt;25,"Under 25",IF(Table1[[#This Row],[Age]]&lt;35,"25-34",IF(Table1[[#This Row],[Age]]&lt;45,"35-44",IF(Table1[[#This Row],[Age]]&lt;55,"45-54","55+"))))</f>
        <v>Under 25</v>
      </c>
      <c r="C437" s="3">
        <v>21</v>
      </c>
      <c r="D437" s="3" t="s">
        <v>7</v>
      </c>
      <c r="E437" s="3" t="s">
        <v>16</v>
      </c>
      <c r="F437" s="3" t="s">
        <v>28</v>
      </c>
      <c r="G437" s="3" t="s">
        <v>25</v>
      </c>
      <c r="H437" s="3" t="s">
        <v>11</v>
      </c>
      <c r="I437" s="3">
        <v>38566</v>
      </c>
      <c r="J437" s="3">
        <v>1</v>
      </c>
      <c r="K437" s="3">
        <v>0</v>
      </c>
      <c r="L437" s="3">
        <v>3</v>
      </c>
      <c r="M437" s="3">
        <v>3</v>
      </c>
      <c r="N437" s="3" t="s">
        <v>14</v>
      </c>
      <c r="O437" s="3" t="s">
        <v>13</v>
      </c>
      <c r="P437" s="3">
        <v>4</v>
      </c>
      <c r="Q437" s="3">
        <v>1</v>
      </c>
      <c r="R437" s="4" t="s">
        <v>14</v>
      </c>
      <c r="S437" s="4" t="s">
        <v>14</v>
      </c>
      <c r="T437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438" spans="1:20" ht="18" x14ac:dyDescent="0.35">
      <c r="A438" s="3" t="s">
        <v>481</v>
      </c>
      <c r="B438" s="3" t="str">
        <f>IF(Table1[[#This Row],[Age]]&lt;25,"Under 25",IF(Table1[[#This Row],[Age]]&lt;35,"25-34",IF(Table1[[#This Row],[Age]]&lt;45,"35-44",IF(Table1[[#This Row],[Age]]&lt;55,"45-54","55+"))))</f>
        <v>35-44</v>
      </c>
      <c r="C438" s="3">
        <v>43</v>
      </c>
      <c r="D438" s="3" t="s">
        <v>7</v>
      </c>
      <c r="E438" s="3" t="s">
        <v>34</v>
      </c>
      <c r="F438" s="3" t="s">
        <v>150</v>
      </c>
      <c r="G438" s="3" t="s">
        <v>10</v>
      </c>
      <c r="H438" s="3" t="s">
        <v>42</v>
      </c>
      <c r="I438" s="3">
        <v>70042</v>
      </c>
      <c r="J438" s="3">
        <v>3</v>
      </c>
      <c r="K438" s="3">
        <v>2</v>
      </c>
      <c r="L438" s="3">
        <v>4</v>
      </c>
      <c r="M438" s="3">
        <v>3</v>
      </c>
      <c r="N438" s="3" t="s">
        <v>14</v>
      </c>
      <c r="O438" s="3" t="s">
        <v>13</v>
      </c>
      <c r="P438" s="3">
        <v>4</v>
      </c>
      <c r="Q438" s="3">
        <v>6</v>
      </c>
      <c r="R438" s="4" t="s">
        <v>14</v>
      </c>
      <c r="S438" s="4" t="s">
        <v>14</v>
      </c>
      <c r="T438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439" spans="1:20" ht="18" x14ac:dyDescent="0.35">
      <c r="A439" s="3" t="s">
        <v>482</v>
      </c>
      <c r="B439" s="3" t="str">
        <f>IF(Table1[[#This Row],[Age]]&lt;25,"Under 25",IF(Table1[[#This Row],[Age]]&lt;35,"25-34",IF(Table1[[#This Row],[Age]]&lt;45,"35-44",IF(Table1[[#This Row],[Age]]&lt;55,"45-54","55+"))))</f>
        <v>35-44</v>
      </c>
      <c r="C439" s="3">
        <v>41</v>
      </c>
      <c r="D439" s="3" t="s">
        <v>22</v>
      </c>
      <c r="E439" s="3" t="s">
        <v>8</v>
      </c>
      <c r="F439" s="3" t="s">
        <v>23</v>
      </c>
      <c r="G439" s="3" t="s">
        <v>25</v>
      </c>
      <c r="H439" s="3" t="s">
        <v>19</v>
      </c>
      <c r="I439" s="3">
        <v>48528</v>
      </c>
      <c r="J439" s="3">
        <v>18</v>
      </c>
      <c r="K439" s="3">
        <v>3</v>
      </c>
      <c r="L439" s="3">
        <v>3</v>
      </c>
      <c r="M439" s="3">
        <v>3</v>
      </c>
      <c r="N439" s="3" t="s">
        <v>14</v>
      </c>
      <c r="O439" s="3" t="s">
        <v>13</v>
      </c>
      <c r="P439" s="3">
        <v>3</v>
      </c>
      <c r="Q439" s="3">
        <v>3</v>
      </c>
      <c r="R439" s="4" t="s">
        <v>14</v>
      </c>
      <c r="S439" s="4" t="s">
        <v>14</v>
      </c>
      <c r="T439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440" spans="1:20" ht="18" x14ac:dyDescent="0.35">
      <c r="A440" s="3" t="s">
        <v>483</v>
      </c>
      <c r="B440" s="3" t="str">
        <f>IF(Table1[[#This Row],[Age]]&lt;25,"Under 25",IF(Table1[[#This Row],[Age]]&lt;35,"25-34",IF(Table1[[#This Row],[Age]]&lt;45,"35-44",IF(Table1[[#This Row],[Age]]&lt;55,"45-54","55+"))))</f>
        <v>25-34</v>
      </c>
      <c r="C440" s="3">
        <v>34</v>
      </c>
      <c r="D440" s="3" t="s">
        <v>7</v>
      </c>
      <c r="E440" s="3" t="s">
        <v>51</v>
      </c>
      <c r="F440" s="3" t="s">
        <v>52</v>
      </c>
      <c r="G440" s="3" t="s">
        <v>10</v>
      </c>
      <c r="H440" s="3" t="s">
        <v>11</v>
      </c>
      <c r="I440" s="3">
        <v>91688</v>
      </c>
      <c r="J440" s="3">
        <v>11</v>
      </c>
      <c r="K440" s="3">
        <v>3</v>
      </c>
      <c r="L440" s="3">
        <v>3</v>
      </c>
      <c r="M440" s="3">
        <v>2</v>
      </c>
      <c r="N440" s="3" t="s">
        <v>14</v>
      </c>
      <c r="O440" s="3" t="s">
        <v>13</v>
      </c>
      <c r="P440" s="3">
        <v>4</v>
      </c>
      <c r="Q440" s="3">
        <v>0</v>
      </c>
      <c r="R440" s="4" t="s">
        <v>14</v>
      </c>
      <c r="S440" s="4" t="s">
        <v>14</v>
      </c>
      <c r="T440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441" spans="1:20" ht="18" x14ac:dyDescent="0.35">
      <c r="A441" s="3" t="s">
        <v>484</v>
      </c>
      <c r="B441" s="3" t="str">
        <f>IF(Table1[[#This Row],[Age]]&lt;25,"Under 25",IF(Table1[[#This Row],[Age]]&lt;35,"25-34",IF(Table1[[#This Row],[Age]]&lt;45,"35-44",IF(Table1[[#This Row],[Age]]&lt;55,"45-54","55+"))))</f>
        <v>35-44</v>
      </c>
      <c r="C441" s="3">
        <v>41</v>
      </c>
      <c r="D441" s="3" t="s">
        <v>22</v>
      </c>
      <c r="E441" s="3" t="s">
        <v>8</v>
      </c>
      <c r="F441" s="3" t="s">
        <v>23</v>
      </c>
      <c r="G441" s="3" t="s">
        <v>10</v>
      </c>
      <c r="H441" s="3" t="s">
        <v>11</v>
      </c>
      <c r="I441" s="3">
        <v>58446</v>
      </c>
      <c r="J441" s="3">
        <v>4</v>
      </c>
      <c r="K441" s="3">
        <v>4</v>
      </c>
      <c r="L441" s="3">
        <v>2</v>
      </c>
      <c r="M441" s="3">
        <v>4</v>
      </c>
      <c r="N441" s="3" t="s">
        <v>14</v>
      </c>
      <c r="O441" s="3" t="s">
        <v>13</v>
      </c>
      <c r="P441" s="3">
        <v>3</v>
      </c>
      <c r="Q441" s="3">
        <v>6</v>
      </c>
      <c r="R441" s="4" t="s">
        <v>12</v>
      </c>
      <c r="S441" s="4" t="s">
        <v>14</v>
      </c>
      <c r="T441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442" spans="1:20" ht="18" x14ac:dyDescent="0.35">
      <c r="A442" s="3" t="s">
        <v>485</v>
      </c>
      <c r="B442" s="3" t="str">
        <f>IF(Table1[[#This Row],[Age]]&lt;25,"Under 25",IF(Table1[[#This Row],[Age]]&lt;35,"25-34",IF(Table1[[#This Row],[Age]]&lt;45,"35-44",IF(Table1[[#This Row],[Age]]&lt;55,"45-54","55+"))))</f>
        <v>25-34</v>
      </c>
      <c r="C442" s="3">
        <v>26</v>
      </c>
      <c r="D442" s="3" t="s">
        <v>22</v>
      </c>
      <c r="E442" s="3" t="s">
        <v>16</v>
      </c>
      <c r="F442" s="3" t="s">
        <v>28</v>
      </c>
      <c r="G442" s="3" t="s">
        <v>18</v>
      </c>
      <c r="H442" s="3" t="s">
        <v>11</v>
      </c>
      <c r="I442" s="3">
        <v>89988</v>
      </c>
      <c r="J442" s="3">
        <v>5</v>
      </c>
      <c r="K442" s="3">
        <v>5</v>
      </c>
      <c r="L442" s="3">
        <v>1</v>
      </c>
      <c r="M442" s="3">
        <v>3</v>
      </c>
      <c r="N442" s="3" t="s">
        <v>14</v>
      </c>
      <c r="O442" s="3" t="s">
        <v>13</v>
      </c>
      <c r="P442" s="3">
        <v>4</v>
      </c>
      <c r="Q442" s="3">
        <v>1</v>
      </c>
      <c r="R442" s="4" t="s">
        <v>14</v>
      </c>
      <c r="S442" s="4" t="s">
        <v>14</v>
      </c>
      <c r="T442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443" spans="1:20" ht="18" x14ac:dyDescent="0.35">
      <c r="A443" s="3" t="s">
        <v>486</v>
      </c>
      <c r="B443" s="3" t="str">
        <f>IF(Table1[[#This Row],[Age]]&lt;25,"Under 25",IF(Table1[[#This Row],[Age]]&lt;35,"25-34",IF(Table1[[#This Row],[Age]]&lt;45,"35-44",IF(Table1[[#This Row],[Age]]&lt;55,"45-54","55+"))))</f>
        <v>35-44</v>
      </c>
      <c r="C443" s="3">
        <v>43</v>
      </c>
      <c r="D443" s="3" t="s">
        <v>7</v>
      </c>
      <c r="E443" s="3" t="s">
        <v>31</v>
      </c>
      <c r="F443" s="3" t="s">
        <v>136</v>
      </c>
      <c r="G443" s="3" t="s">
        <v>18</v>
      </c>
      <c r="H443" s="3" t="s">
        <v>19</v>
      </c>
      <c r="I443" s="3">
        <v>69827</v>
      </c>
      <c r="J443" s="3">
        <v>13</v>
      </c>
      <c r="K443" s="3">
        <v>6</v>
      </c>
      <c r="L443" s="3">
        <v>3</v>
      </c>
      <c r="M443" s="3">
        <v>2</v>
      </c>
      <c r="N443" s="3" t="s">
        <v>12</v>
      </c>
      <c r="O443" s="3" t="s">
        <v>13</v>
      </c>
      <c r="P443" s="3">
        <v>3</v>
      </c>
      <c r="Q443" s="3">
        <v>4</v>
      </c>
      <c r="R443" s="4" t="s">
        <v>14</v>
      </c>
      <c r="S443" s="4" t="s">
        <v>14</v>
      </c>
      <c r="T443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444" spans="1:20" ht="18" x14ac:dyDescent="0.35">
      <c r="A444" s="3" t="s">
        <v>487</v>
      </c>
      <c r="B444" s="3" t="str">
        <f>IF(Table1[[#This Row],[Age]]&lt;25,"Under 25",IF(Table1[[#This Row],[Age]]&lt;35,"25-34",IF(Table1[[#This Row],[Age]]&lt;45,"35-44",IF(Table1[[#This Row],[Age]]&lt;55,"45-54","55+"))))</f>
        <v>35-44</v>
      </c>
      <c r="C444" s="3">
        <v>44</v>
      </c>
      <c r="D444" s="3" t="s">
        <v>7</v>
      </c>
      <c r="E444" s="3" t="s">
        <v>16</v>
      </c>
      <c r="F444" s="3" t="s">
        <v>28</v>
      </c>
      <c r="G444" s="3" t="s">
        <v>25</v>
      </c>
      <c r="H444" s="3" t="s">
        <v>11</v>
      </c>
      <c r="I444" s="3">
        <v>60541</v>
      </c>
      <c r="J444" s="3">
        <v>10</v>
      </c>
      <c r="K444" s="3">
        <v>10</v>
      </c>
      <c r="L444" s="3">
        <v>3</v>
      </c>
      <c r="M444" s="3">
        <v>2</v>
      </c>
      <c r="N444" s="3" t="s">
        <v>12</v>
      </c>
      <c r="O444" s="3" t="s">
        <v>13</v>
      </c>
      <c r="P444" s="3">
        <v>3</v>
      </c>
      <c r="Q444" s="3">
        <v>0</v>
      </c>
      <c r="R444" s="4" t="s">
        <v>14</v>
      </c>
      <c r="S444" s="4" t="s">
        <v>14</v>
      </c>
      <c r="T444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445" spans="1:20" ht="18" x14ac:dyDescent="0.35">
      <c r="A445" s="3" t="s">
        <v>488</v>
      </c>
      <c r="B445" s="3" t="str">
        <f>IF(Table1[[#This Row],[Age]]&lt;25,"Under 25",IF(Table1[[#This Row],[Age]]&lt;35,"25-34",IF(Table1[[#This Row],[Age]]&lt;45,"35-44",IF(Table1[[#This Row],[Age]]&lt;55,"45-54","55+"))))</f>
        <v>55+</v>
      </c>
      <c r="C445" s="3">
        <v>55</v>
      </c>
      <c r="D445" s="3" t="s">
        <v>22</v>
      </c>
      <c r="E445" s="3" t="s">
        <v>38</v>
      </c>
      <c r="F445" s="3" t="s">
        <v>59</v>
      </c>
      <c r="G445" s="3" t="s">
        <v>25</v>
      </c>
      <c r="H445" s="3" t="s">
        <v>11</v>
      </c>
      <c r="I445" s="3">
        <v>39598</v>
      </c>
      <c r="J445" s="3">
        <v>20</v>
      </c>
      <c r="K445" s="3">
        <v>10</v>
      </c>
      <c r="L445" s="3">
        <v>2</v>
      </c>
      <c r="M445" s="3">
        <v>3</v>
      </c>
      <c r="N445" s="3" t="s">
        <v>14</v>
      </c>
      <c r="O445" s="3" t="s">
        <v>13</v>
      </c>
      <c r="P445" s="3">
        <v>3</v>
      </c>
      <c r="Q445" s="3">
        <v>0</v>
      </c>
      <c r="R445" s="4" t="s">
        <v>14</v>
      </c>
      <c r="S445" s="4" t="s">
        <v>14</v>
      </c>
      <c r="T445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446" spans="1:20" ht="18" x14ac:dyDescent="0.35">
      <c r="A446" s="3" t="s">
        <v>489</v>
      </c>
      <c r="B446" s="3" t="str">
        <f>IF(Table1[[#This Row],[Age]]&lt;25,"Under 25",IF(Table1[[#This Row],[Age]]&lt;35,"25-34",IF(Table1[[#This Row],[Age]]&lt;45,"35-44",IF(Table1[[#This Row],[Age]]&lt;55,"45-54","55+"))))</f>
        <v>Under 25</v>
      </c>
      <c r="C446" s="3">
        <v>24</v>
      </c>
      <c r="D446" s="3" t="s">
        <v>7</v>
      </c>
      <c r="E446" s="3" t="s">
        <v>8</v>
      </c>
      <c r="F446" s="3" t="s">
        <v>23</v>
      </c>
      <c r="G446" s="3" t="s">
        <v>45</v>
      </c>
      <c r="H446" s="3" t="s">
        <v>11</v>
      </c>
      <c r="I446" s="3">
        <v>86565</v>
      </c>
      <c r="J446" s="3">
        <v>3</v>
      </c>
      <c r="K446" s="3">
        <v>3</v>
      </c>
      <c r="L446" s="3">
        <v>2</v>
      </c>
      <c r="M446" s="3">
        <v>3</v>
      </c>
      <c r="N446" s="3" t="s">
        <v>14</v>
      </c>
      <c r="O446" s="3" t="s">
        <v>13</v>
      </c>
      <c r="P446" s="3">
        <v>3</v>
      </c>
      <c r="Q446" s="3">
        <v>3</v>
      </c>
      <c r="R446" s="4" t="s">
        <v>14</v>
      </c>
      <c r="S446" s="4" t="s">
        <v>14</v>
      </c>
      <c r="T446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447" spans="1:20" ht="18" x14ac:dyDescent="0.35">
      <c r="A447" s="3" t="s">
        <v>490</v>
      </c>
      <c r="B447" s="3" t="str">
        <f>IF(Table1[[#This Row],[Age]]&lt;25,"Under 25",IF(Table1[[#This Row],[Age]]&lt;35,"25-34",IF(Table1[[#This Row],[Age]]&lt;45,"35-44",IF(Table1[[#This Row],[Age]]&lt;55,"45-54","55+"))))</f>
        <v>45-54</v>
      </c>
      <c r="C447" s="3">
        <v>45</v>
      </c>
      <c r="D447" s="3" t="s">
        <v>22</v>
      </c>
      <c r="E447" s="3" t="s">
        <v>34</v>
      </c>
      <c r="F447" s="3" t="s">
        <v>54</v>
      </c>
      <c r="G447" s="3" t="s">
        <v>10</v>
      </c>
      <c r="H447" s="3" t="s">
        <v>11</v>
      </c>
      <c r="I447" s="3">
        <v>77467</v>
      </c>
      <c r="J447" s="3">
        <v>19</v>
      </c>
      <c r="K447" s="3">
        <v>12</v>
      </c>
      <c r="L447" s="3">
        <v>1</v>
      </c>
      <c r="M447" s="3">
        <v>1</v>
      </c>
      <c r="N447" s="3" t="s">
        <v>12</v>
      </c>
      <c r="O447" s="3" t="s">
        <v>13</v>
      </c>
      <c r="P447" s="3">
        <v>3</v>
      </c>
      <c r="Q447" s="3">
        <v>2</v>
      </c>
      <c r="R447" s="4" t="s">
        <v>14</v>
      </c>
      <c r="S447" s="4" t="s">
        <v>14</v>
      </c>
      <c r="T447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448" spans="1:20" ht="18" x14ac:dyDescent="0.35">
      <c r="A448" s="3" t="s">
        <v>491</v>
      </c>
      <c r="B448" s="3" t="str">
        <f>IF(Table1[[#This Row],[Age]]&lt;25,"Under 25",IF(Table1[[#This Row],[Age]]&lt;35,"25-34",IF(Table1[[#This Row],[Age]]&lt;45,"35-44",IF(Table1[[#This Row],[Age]]&lt;55,"45-54","55+"))))</f>
        <v>35-44</v>
      </c>
      <c r="C448" s="3">
        <v>35</v>
      </c>
      <c r="D448" s="3" t="s">
        <v>7</v>
      </c>
      <c r="E448" s="3" t="s">
        <v>38</v>
      </c>
      <c r="F448" s="3" t="s">
        <v>59</v>
      </c>
      <c r="G448" s="3" t="s">
        <v>25</v>
      </c>
      <c r="H448" s="3" t="s">
        <v>19</v>
      </c>
      <c r="I448" s="3">
        <v>71156</v>
      </c>
      <c r="J448" s="3">
        <v>15</v>
      </c>
      <c r="K448" s="3">
        <v>0</v>
      </c>
      <c r="L448" s="3">
        <v>4</v>
      </c>
      <c r="M448" s="3">
        <v>2</v>
      </c>
      <c r="N448" s="3" t="s">
        <v>14</v>
      </c>
      <c r="O448" s="3" t="s">
        <v>20</v>
      </c>
      <c r="P448" s="3">
        <v>3</v>
      </c>
      <c r="Q448" s="3">
        <v>4</v>
      </c>
      <c r="R448" s="4" t="s">
        <v>14</v>
      </c>
      <c r="S448" s="4" t="s">
        <v>12</v>
      </c>
      <c r="T448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449" spans="1:20" ht="18" x14ac:dyDescent="0.35">
      <c r="A449" s="3" t="s">
        <v>492</v>
      </c>
      <c r="B449" s="3" t="str">
        <f>IF(Table1[[#This Row],[Age]]&lt;25,"Under 25",IF(Table1[[#This Row],[Age]]&lt;35,"25-34",IF(Table1[[#This Row],[Age]]&lt;45,"35-44",IF(Table1[[#This Row],[Age]]&lt;55,"45-54","55+"))))</f>
        <v>35-44</v>
      </c>
      <c r="C449" s="3">
        <v>38</v>
      </c>
      <c r="D449" s="3" t="s">
        <v>7</v>
      </c>
      <c r="E449" s="3" t="s">
        <v>51</v>
      </c>
      <c r="F449" s="3" t="s">
        <v>72</v>
      </c>
      <c r="G449" s="3" t="s">
        <v>18</v>
      </c>
      <c r="H449" s="3" t="s">
        <v>19</v>
      </c>
      <c r="I449" s="3">
        <v>92622</v>
      </c>
      <c r="J449" s="3">
        <v>1</v>
      </c>
      <c r="K449" s="3">
        <v>0</v>
      </c>
      <c r="L449" s="3">
        <v>4</v>
      </c>
      <c r="M449" s="3">
        <v>4</v>
      </c>
      <c r="N449" s="3" t="s">
        <v>14</v>
      </c>
      <c r="O449" s="3" t="s">
        <v>20</v>
      </c>
      <c r="P449" s="3">
        <v>2</v>
      </c>
      <c r="Q449" s="3">
        <v>4</v>
      </c>
      <c r="R449" s="4" t="s">
        <v>14</v>
      </c>
      <c r="S449" s="4" t="s">
        <v>14</v>
      </c>
      <c r="T449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450" spans="1:20" ht="18" x14ac:dyDescent="0.35">
      <c r="A450" s="3" t="s">
        <v>493</v>
      </c>
      <c r="B450" s="3" t="str">
        <f>IF(Table1[[#This Row],[Age]]&lt;25,"Under 25",IF(Table1[[#This Row],[Age]]&lt;35,"25-34",IF(Table1[[#This Row],[Age]]&lt;45,"35-44",IF(Table1[[#This Row],[Age]]&lt;55,"45-54","55+"))))</f>
        <v>25-34</v>
      </c>
      <c r="C450" s="3">
        <v>28</v>
      </c>
      <c r="D450" s="3" t="s">
        <v>22</v>
      </c>
      <c r="E450" s="3" t="s">
        <v>8</v>
      </c>
      <c r="F450" s="3" t="s">
        <v>66</v>
      </c>
      <c r="G450" s="3" t="s">
        <v>25</v>
      </c>
      <c r="H450" s="3" t="s">
        <v>19</v>
      </c>
      <c r="I450" s="3">
        <v>52248</v>
      </c>
      <c r="J450" s="3">
        <v>1</v>
      </c>
      <c r="K450" s="3">
        <v>1</v>
      </c>
      <c r="L450" s="3">
        <v>2</v>
      </c>
      <c r="M450" s="3">
        <v>2</v>
      </c>
      <c r="N450" s="3" t="s">
        <v>12</v>
      </c>
      <c r="O450" s="3" t="s">
        <v>13</v>
      </c>
      <c r="P450" s="3">
        <v>2</v>
      </c>
      <c r="Q450" s="3">
        <v>5</v>
      </c>
      <c r="R450" s="4" t="s">
        <v>14</v>
      </c>
      <c r="S450" s="4" t="s">
        <v>14</v>
      </c>
      <c r="T450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451" spans="1:20" ht="18" x14ac:dyDescent="0.35">
      <c r="A451" s="3" t="s">
        <v>494</v>
      </c>
      <c r="B451" s="3" t="str">
        <f>IF(Table1[[#This Row],[Age]]&lt;25,"Under 25",IF(Table1[[#This Row],[Age]]&lt;35,"25-34",IF(Table1[[#This Row],[Age]]&lt;45,"35-44",IF(Table1[[#This Row],[Age]]&lt;55,"45-54","55+"))))</f>
        <v>25-34</v>
      </c>
      <c r="C451" s="3">
        <v>30</v>
      </c>
      <c r="D451" s="3" t="s">
        <v>7</v>
      </c>
      <c r="E451" s="3" t="s">
        <v>31</v>
      </c>
      <c r="F451" s="3" t="s">
        <v>32</v>
      </c>
      <c r="G451" s="3" t="s">
        <v>10</v>
      </c>
      <c r="H451" s="3" t="s">
        <v>19</v>
      </c>
      <c r="I451" s="3">
        <v>102651</v>
      </c>
      <c r="J451" s="3">
        <v>3</v>
      </c>
      <c r="K451" s="3">
        <v>1</v>
      </c>
      <c r="L451" s="3">
        <v>3</v>
      </c>
      <c r="M451" s="3">
        <v>1</v>
      </c>
      <c r="N451" s="3" t="s">
        <v>14</v>
      </c>
      <c r="O451" s="3" t="s">
        <v>13</v>
      </c>
      <c r="P451" s="3">
        <v>3</v>
      </c>
      <c r="Q451" s="3">
        <v>6</v>
      </c>
      <c r="R451" s="4" t="s">
        <v>14</v>
      </c>
      <c r="S451" s="4" t="s">
        <v>14</v>
      </c>
      <c r="T451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452" spans="1:20" ht="18" x14ac:dyDescent="0.35">
      <c r="A452" s="3" t="s">
        <v>495</v>
      </c>
      <c r="B452" s="3" t="str">
        <f>IF(Table1[[#This Row],[Age]]&lt;25,"Under 25",IF(Table1[[#This Row],[Age]]&lt;35,"25-34",IF(Table1[[#This Row],[Age]]&lt;45,"35-44",IF(Table1[[#This Row],[Age]]&lt;55,"45-54","55+"))))</f>
        <v>25-34</v>
      </c>
      <c r="C452" s="3">
        <v>34</v>
      </c>
      <c r="D452" s="3" t="s">
        <v>7</v>
      </c>
      <c r="E452" s="3" t="s">
        <v>38</v>
      </c>
      <c r="F452" s="3" t="s">
        <v>59</v>
      </c>
      <c r="G452" s="3" t="s">
        <v>25</v>
      </c>
      <c r="H452" s="3" t="s">
        <v>11</v>
      </c>
      <c r="I452" s="3">
        <v>45315</v>
      </c>
      <c r="J452" s="3">
        <v>8</v>
      </c>
      <c r="K452" s="3">
        <v>0</v>
      </c>
      <c r="L452" s="3">
        <v>3</v>
      </c>
      <c r="M452" s="3">
        <v>3</v>
      </c>
      <c r="N452" s="3" t="s">
        <v>14</v>
      </c>
      <c r="O452" s="3" t="s">
        <v>20</v>
      </c>
      <c r="P452" s="3">
        <v>3</v>
      </c>
      <c r="Q452" s="3">
        <v>5</v>
      </c>
      <c r="R452" s="4" t="s">
        <v>14</v>
      </c>
      <c r="S452" s="4" t="s">
        <v>12</v>
      </c>
      <c r="T452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453" spans="1:20" ht="18" x14ac:dyDescent="0.35">
      <c r="A453" s="3" t="s">
        <v>496</v>
      </c>
      <c r="B453" s="3" t="str">
        <f>IF(Table1[[#This Row],[Age]]&lt;25,"Under 25",IF(Table1[[#This Row],[Age]]&lt;35,"25-34",IF(Table1[[#This Row],[Age]]&lt;45,"35-44",IF(Table1[[#This Row],[Age]]&lt;55,"45-54","55+"))))</f>
        <v>25-34</v>
      </c>
      <c r="C453" s="3">
        <v>34</v>
      </c>
      <c r="D453" s="3" t="s">
        <v>7</v>
      </c>
      <c r="E453" s="3" t="s">
        <v>16</v>
      </c>
      <c r="F453" s="3" t="s">
        <v>28</v>
      </c>
      <c r="G453" s="3" t="s">
        <v>10</v>
      </c>
      <c r="H453" s="3" t="s">
        <v>11</v>
      </c>
      <c r="I453" s="3">
        <v>59428</v>
      </c>
      <c r="J453" s="3">
        <v>11</v>
      </c>
      <c r="K453" s="3">
        <v>2</v>
      </c>
      <c r="L453" s="3">
        <v>3</v>
      </c>
      <c r="M453" s="3">
        <v>2</v>
      </c>
      <c r="N453" s="3" t="s">
        <v>12</v>
      </c>
      <c r="O453" s="3" t="s">
        <v>13</v>
      </c>
      <c r="P453" s="3">
        <v>3</v>
      </c>
      <c r="Q453" s="3">
        <v>5</v>
      </c>
      <c r="R453" s="4" t="s">
        <v>14</v>
      </c>
      <c r="S453" s="4" t="s">
        <v>14</v>
      </c>
      <c r="T453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454" spans="1:20" ht="18" x14ac:dyDescent="0.35">
      <c r="A454" s="3" t="s">
        <v>497</v>
      </c>
      <c r="B454" s="3" t="str">
        <f>IF(Table1[[#This Row],[Age]]&lt;25,"Under 25",IF(Table1[[#This Row],[Age]]&lt;35,"25-34",IF(Table1[[#This Row],[Age]]&lt;45,"35-44",IF(Table1[[#This Row],[Age]]&lt;55,"45-54","55+"))))</f>
        <v>25-34</v>
      </c>
      <c r="C454" s="3">
        <v>25</v>
      </c>
      <c r="D454" s="3" t="s">
        <v>22</v>
      </c>
      <c r="E454" s="3" t="s">
        <v>51</v>
      </c>
      <c r="F454" s="3" t="s">
        <v>80</v>
      </c>
      <c r="G454" s="3" t="s">
        <v>25</v>
      </c>
      <c r="H454" s="3" t="s">
        <v>19</v>
      </c>
      <c r="I454" s="3">
        <v>103678</v>
      </c>
      <c r="J454" s="3">
        <v>5</v>
      </c>
      <c r="K454" s="3">
        <v>2</v>
      </c>
      <c r="L454" s="3">
        <v>4</v>
      </c>
      <c r="M454" s="3">
        <v>4</v>
      </c>
      <c r="N454" s="3" t="s">
        <v>12</v>
      </c>
      <c r="O454" s="3" t="s">
        <v>20</v>
      </c>
      <c r="P454" s="3">
        <v>3</v>
      </c>
      <c r="Q454" s="3">
        <v>3</v>
      </c>
      <c r="R454" s="4" t="s">
        <v>14</v>
      </c>
      <c r="S454" s="4" t="s">
        <v>12</v>
      </c>
      <c r="T454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455" spans="1:20" ht="18" x14ac:dyDescent="0.35">
      <c r="A455" s="3" t="s">
        <v>498</v>
      </c>
      <c r="B455" s="3" t="str">
        <f>IF(Table1[[#This Row],[Age]]&lt;25,"Under 25",IF(Table1[[#This Row],[Age]]&lt;35,"25-34",IF(Table1[[#This Row],[Age]]&lt;45,"35-44",IF(Table1[[#This Row],[Age]]&lt;55,"45-54","55+"))))</f>
        <v>Under 25</v>
      </c>
      <c r="C455" s="3">
        <v>21</v>
      </c>
      <c r="D455" s="3" t="s">
        <v>22</v>
      </c>
      <c r="E455" s="3" t="s">
        <v>38</v>
      </c>
      <c r="F455" s="3" t="s">
        <v>89</v>
      </c>
      <c r="G455" s="3" t="s">
        <v>25</v>
      </c>
      <c r="H455" s="3" t="s">
        <v>19</v>
      </c>
      <c r="I455" s="3">
        <v>63922</v>
      </c>
      <c r="J455" s="3">
        <v>1</v>
      </c>
      <c r="K455" s="3">
        <v>1</v>
      </c>
      <c r="L455" s="3">
        <v>3</v>
      </c>
      <c r="M455" s="3">
        <v>3</v>
      </c>
      <c r="N455" s="3" t="s">
        <v>12</v>
      </c>
      <c r="O455" s="3" t="s">
        <v>20</v>
      </c>
      <c r="P455" s="3">
        <v>3</v>
      </c>
      <c r="Q455" s="3">
        <v>5</v>
      </c>
      <c r="R455" s="4" t="s">
        <v>14</v>
      </c>
      <c r="S455" s="4" t="s">
        <v>12</v>
      </c>
      <c r="T455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456" spans="1:20" ht="18" x14ac:dyDescent="0.35">
      <c r="A456" s="3" t="s">
        <v>499</v>
      </c>
      <c r="B456" s="3" t="str">
        <f>IF(Table1[[#This Row],[Age]]&lt;25,"Under 25",IF(Table1[[#This Row],[Age]]&lt;35,"25-34",IF(Table1[[#This Row],[Age]]&lt;45,"35-44",IF(Table1[[#This Row],[Age]]&lt;55,"45-54","55+"))))</f>
        <v>35-44</v>
      </c>
      <c r="C456" s="3">
        <v>36</v>
      </c>
      <c r="D456" s="3" t="s">
        <v>22</v>
      </c>
      <c r="E456" s="3" t="s">
        <v>16</v>
      </c>
      <c r="F456" s="3" t="s">
        <v>47</v>
      </c>
      <c r="G456" s="3" t="s">
        <v>45</v>
      </c>
      <c r="H456" s="3" t="s">
        <v>19</v>
      </c>
      <c r="I456" s="3">
        <v>89043</v>
      </c>
      <c r="J456" s="3">
        <v>5</v>
      </c>
      <c r="K456" s="3">
        <v>4</v>
      </c>
      <c r="L456" s="3">
        <v>4</v>
      </c>
      <c r="M456" s="3">
        <v>2</v>
      </c>
      <c r="N456" s="3" t="s">
        <v>14</v>
      </c>
      <c r="O456" s="3" t="s">
        <v>26</v>
      </c>
      <c r="P456" s="3">
        <v>3</v>
      </c>
      <c r="Q456" s="3">
        <v>5</v>
      </c>
      <c r="R456" s="4" t="s">
        <v>14</v>
      </c>
      <c r="S456" s="4" t="s">
        <v>14</v>
      </c>
      <c r="T456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457" spans="1:20" ht="18" x14ac:dyDescent="0.35">
      <c r="A457" s="3" t="s">
        <v>500</v>
      </c>
      <c r="B457" s="3" t="str">
        <f>IF(Table1[[#This Row],[Age]]&lt;25,"Under 25",IF(Table1[[#This Row],[Age]]&lt;35,"25-34",IF(Table1[[#This Row],[Age]]&lt;45,"35-44",IF(Table1[[#This Row],[Age]]&lt;55,"45-54","55+"))))</f>
        <v>45-54</v>
      </c>
      <c r="C457" s="3">
        <v>46</v>
      </c>
      <c r="D457" s="3" t="s">
        <v>7</v>
      </c>
      <c r="E457" s="3" t="s">
        <v>34</v>
      </c>
      <c r="F457" s="3" t="s">
        <v>91</v>
      </c>
      <c r="G457" s="3" t="s">
        <v>25</v>
      </c>
      <c r="H457" s="3" t="s">
        <v>11</v>
      </c>
      <c r="I457" s="3">
        <v>71942</v>
      </c>
      <c r="J457" s="3">
        <v>24</v>
      </c>
      <c r="K457" s="3">
        <v>3</v>
      </c>
      <c r="L457" s="3">
        <v>4</v>
      </c>
      <c r="M457" s="3">
        <v>2</v>
      </c>
      <c r="N457" s="3" t="s">
        <v>14</v>
      </c>
      <c r="O457" s="3" t="s">
        <v>13</v>
      </c>
      <c r="P457" s="3">
        <v>2</v>
      </c>
      <c r="Q457" s="3">
        <v>1</v>
      </c>
      <c r="R457" s="4" t="s">
        <v>14</v>
      </c>
      <c r="S457" s="4" t="s">
        <v>14</v>
      </c>
      <c r="T457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458" spans="1:20" ht="18" x14ac:dyDescent="0.35">
      <c r="A458" s="3" t="s">
        <v>501</v>
      </c>
      <c r="B458" s="3" t="str">
        <f>IF(Table1[[#This Row],[Age]]&lt;25,"Under 25",IF(Table1[[#This Row],[Age]]&lt;35,"25-34",IF(Table1[[#This Row],[Age]]&lt;45,"35-44",IF(Table1[[#This Row],[Age]]&lt;55,"45-54","55+"))))</f>
        <v>35-44</v>
      </c>
      <c r="C458" s="3">
        <v>35</v>
      </c>
      <c r="D458" s="3" t="s">
        <v>7</v>
      </c>
      <c r="E458" s="3" t="s">
        <v>8</v>
      </c>
      <c r="F458" s="3" t="s">
        <v>9</v>
      </c>
      <c r="G458" s="3" t="s">
        <v>25</v>
      </c>
      <c r="H458" s="3" t="s">
        <v>11</v>
      </c>
      <c r="I458" s="3">
        <v>79800</v>
      </c>
      <c r="J458" s="3">
        <v>1</v>
      </c>
      <c r="K458" s="3">
        <v>1</v>
      </c>
      <c r="L458" s="3">
        <v>2</v>
      </c>
      <c r="M458" s="3">
        <v>2</v>
      </c>
      <c r="N458" s="3" t="s">
        <v>14</v>
      </c>
      <c r="O458" s="3" t="s">
        <v>20</v>
      </c>
      <c r="P458" s="3">
        <v>3</v>
      </c>
      <c r="Q458" s="3">
        <v>4</v>
      </c>
      <c r="R458" s="4" t="s">
        <v>12</v>
      </c>
      <c r="S458" s="4" t="s">
        <v>14</v>
      </c>
      <c r="T458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459" spans="1:20" ht="18" x14ac:dyDescent="0.35">
      <c r="A459" s="3" t="s">
        <v>502</v>
      </c>
      <c r="B459" s="3" t="str">
        <f>IF(Table1[[#This Row],[Age]]&lt;25,"Under 25",IF(Table1[[#This Row],[Age]]&lt;35,"25-34",IF(Table1[[#This Row],[Age]]&lt;45,"35-44",IF(Table1[[#This Row],[Age]]&lt;55,"45-54","55+"))))</f>
        <v>25-34</v>
      </c>
      <c r="C459" s="3">
        <v>30</v>
      </c>
      <c r="D459" s="3" t="s">
        <v>7</v>
      </c>
      <c r="E459" s="3" t="s">
        <v>16</v>
      </c>
      <c r="F459" s="3" t="s">
        <v>28</v>
      </c>
      <c r="G459" s="3" t="s">
        <v>45</v>
      </c>
      <c r="H459" s="3" t="s">
        <v>11</v>
      </c>
      <c r="I459" s="3">
        <v>60260</v>
      </c>
      <c r="J459" s="3">
        <v>3</v>
      </c>
      <c r="K459" s="3">
        <v>0</v>
      </c>
      <c r="L459" s="3">
        <v>2</v>
      </c>
      <c r="M459" s="3">
        <v>3</v>
      </c>
      <c r="N459" s="3" t="s">
        <v>12</v>
      </c>
      <c r="O459" s="3" t="s">
        <v>13</v>
      </c>
      <c r="P459" s="3">
        <v>3</v>
      </c>
      <c r="Q459" s="3">
        <v>2</v>
      </c>
      <c r="R459" s="4" t="s">
        <v>14</v>
      </c>
      <c r="S459" s="4" t="s">
        <v>14</v>
      </c>
      <c r="T459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460" spans="1:20" ht="18" x14ac:dyDescent="0.35">
      <c r="A460" s="3" t="s">
        <v>503</v>
      </c>
      <c r="B460" s="3" t="str">
        <f>IF(Table1[[#This Row],[Age]]&lt;25,"Under 25",IF(Table1[[#This Row],[Age]]&lt;35,"25-34",IF(Table1[[#This Row],[Age]]&lt;45,"35-44",IF(Table1[[#This Row],[Age]]&lt;55,"45-54","55+"))))</f>
        <v>25-34</v>
      </c>
      <c r="C460" s="3">
        <v>34</v>
      </c>
      <c r="D460" s="3" t="s">
        <v>22</v>
      </c>
      <c r="E460" s="3" t="s">
        <v>34</v>
      </c>
      <c r="F460" s="3" t="s">
        <v>150</v>
      </c>
      <c r="G460" s="3" t="s">
        <v>25</v>
      </c>
      <c r="H460" s="3" t="s">
        <v>11</v>
      </c>
      <c r="I460" s="3">
        <v>22000</v>
      </c>
      <c r="J460" s="3">
        <v>5</v>
      </c>
      <c r="K460" s="3">
        <v>1</v>
      </c>
      <c r="L460" s="3">
        <v>2</v>
      </c>
      <c r="M460" s="3">
        <v>3</v>
      </c>
      <c r="N460" s="3" t="s">
        <v>12</v>
      </c>
      <c r="O460" s="3" t="s">
        <v>13</v>
      </c>
      <c r="P460" s="3">
        <v>3</v>
      </c>
      <c r="Q460" s="3">
        <v>0</v>
      </c>
      <c r="R460" s="4" t="s">
        <v>14</v>
      </c>
      <c r="S460" s="4" t="s">
        <v>14</v>
      </c>
      <c r="T460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461" spans="1:20" ht="18" x14ac:dyDescent="0.35">
      <c r="A461" s="3" t="s">
        <v>504</v>
      </c>
      <c r="B461" s="3" t="str">
        <f>IF(Table1[[#This Row],[Age]]&lt;25,"Under 25",IF(Table1[[#This Row],[Age]]&lt;35,"25-34",IF(Table1[[#This Row],[Age]]&lt;45,"35-44",IF(Table1[[#This Row],[Age]]&lt;55,"45-54","55+"))))</f>
        <v>35-44</v>
      </c>
      <c r="C461" s="3">
        <v>35</v>
      </c>
      <c r="D461" s="3" t="s">
        <v>7</v>
      </c>
      <c r="E461" s="3" t="s">
        <v>8</v>
      </c>
      <c r="F461" s="3" t="s">
        <v>66</v>
      </c>
      <c r="G461" s="3" t="s">
        <v>45</v>
      </c>
      <c r="H461" s="3" t="s">
        <v>11</v>
      </c>
      <c r="I461" s="3">
        <v>73755</v>
      </c>
      <c r="J461" s="3">
        <v>6</v>
      </c>
      <c r="K461" s="3">
        <v>3</v>
      </c>
      <c r="L461" s="3">
        <v>1</v>
      </c>
      <c r="M461" s="3">
        <v>3</v>
      </c>
      <c r="N461" s="3" t="s">
        <v>14</v>
      </c>
      <c r="O461" s="3" t="s">
        <v>20</v>
      </c>
      <c r="P461" s="3">
        <v>3</v>
      </c>
      <c r="Q461" s="3">
        <v>0</v>
      </c>
      <c r="R461" s="4" t="s">
        <v>14</v>
      </c>
      <c r="S461" s="4" t="s">
        <v>14</v>
      </c>
      <c r="T461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462" spans="1:20" ht="18" x14ac:dyDescent="0.35">
      <c r="A462" s="3" t="s">
        <v>505</v>
      </c>
      <c r="B462" s="3" t="str">
        <f>IF(Table1[[#This Row],[Age]]&lt;25,"Under 25",IF(Table1[[#This Row],[Age]]&lt;35,"25-34",IF(Table1[[#This Row],[Age]]&lt;45,"35-44",IF(Table1[[#This Row],[Age]]&lt;55,"45-54","55+"))))</f>
        <v>35-44</v>
      </c>
      <c r="C462" s="3">
        <v>43</v>
      </c>
      <c r="D462" s="3" t="s">
        <v>7</v>
      </c>
      <c r="E462" s="3" t="s">
        <v>51</v>
      </c>
      <c r="F462" s="3" t="s">
        <v>72</v>
      </c>
      <c r="G462" s="3" t="s">
        <v>10</v>
      </c>
      <c r="H462" s="3" t="s">
        <v>42</v>
      </c>
      <c r="I462" s="3">
        <v>69612</v>
      </c>
      <c r="J462" s="3">
        <v>12</v>
      </c>
      <c r="K462" s="3">
        <v>10</v>
      </c>
      <c r="L462" s="3">
        <v>4</v>
      </c>
      <c r="M462" s="3">
        <v>3</v>
      </c>
      <c r="N462" s="3" t="s">
        <v>14</v>
      </c>
      <c r="O462" s="3" t="s">
        <v>13</v>
      </c>
      <c r="P462" s="3">
        <v>3</v>
      </c>
      <c r="Q462" s="3">
        <v>0</v>
      </c>
      <c r="R462" s="4" t="s">
        <v>14</v>
      </c>
      <c r="S462" s="4" t="s">
        <v>14</v>
      </c>
      <c r="T462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463" spans="1:20" ht="18" x14ac:dyDescent="0.35">
      <c r="A463" s="3" t="s">
        <v>506</v>
      </c>
      <c r="B463" s="3" t="str">
        <f>IF(Table1[[#This Row],[Age]]&lt;25,"Under 25",IF(Table1[[#This Row],[Age]]&lt;35,"25-34",IF(Table1[[#This Row],[Age]]&lt;45,"35-44",IF(Table1[[#This Row],[Age]]&lt;55,"45-54","55+"))))</f>
        <v>25-34</v>
      </c>
      <c r="C463" s="3">
        <v>25</v>
      </c>
      <c r="D463" s="3" t="s">
        <v>22</v>
      </c>
      <c r="E463" s="3" t="s">
        <v>16</v>
      </c>
      <c r="F463" s="3" t="s">
        <v>28</v>
      </c>
      <c r="G463" s="3" t="s">
        <v>10</v>
      </c>
      <c r="H463" s="3" t="s">
        <v>11</v>
      </c>
      <c r="I463" s="3">
        <v>59845</v>
      </c>
      <c r="J463" s="3">
        <v>7</v>
      </c>
      <c r="K463" s="3">
        <v>3</v>
      </c>
      <c r="L463" s="3">
        <v>3</v>
      </c>
      <c r="M463" s="3">
        <v>3</v>
      </c>
      <c r="N463" s="3" t="s">
        <v>14</v>
      </c>
      <c r="O463" s="3" t="s">
        <v>13</v>
      </c>
      <c r="P463" s="3">
        <v>4</v>
      </c>
      <c r="Q463" s="3">
        <v>6</v>
      </c>
      <c r="R463" s="4" t="s">
        <v>14</v>
      </c>
      <c r="S463" s="4" t="s">
        <v>14</v>
      </c>
      <c r="T463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464" spans="1:20" ht="18" x14ac:dyDescent="0.35">
      <c r="A464" s="3" t="s">
        <v>507</v>
      </c>
      <c r="B464" s="3" t="str">
        <f>IF(Table1[[#This Row],[Age]]&lt;25,"Under 25",IF(Table1[[#This Row],[Age]]&lt;35,"25-34",IF(Table1[[#This Row],[Age]]&lt;45,"35-44",IF(Table1[[#This Row],[Age]]&lt;55,"45-54","55+"))))</f>
        <v>25-34</v>
      </c>
      <c r="C464" s="3">
        <v>26</v>
      </c>
      <c r="D464" s="3" t="s">
        <v>22</v>
      </c>
      <c r="E464" s="3" t="s">
        <v>8</v>
      </c>
      <c r="F464" s="3" t="s">
        <v>9</v>
      </c>
      <c r="G464" s="3" t="s">
        <v>10</v>
      </c>
      <c r="H464" s="3" t="s">
        <v>11</v>
      </c>
      <c r="I464" s="3">
        <v>62226</v>
      </c>
      <c r="J464" s="3">
        <v>5</v>
      </c>
      <c r="K464" s="3">
        <v>5</v>
      </c>
      <c r="L464" s="3">
        <v>3</v>
      </c>
      <c r="M464" s="3">
        <v>2</v>
      </c>
      <c r="N464" s="3" t="s">
        <v>14</v>
      </c>
      <c r="O464" s="3" t="s">
        <v>13</v>
      </c>
      <c r="P464" s="3">
        <v>2</v>
      </c>
      <c r="Q464" s="3">
        <v>2</v>
      </c>
      <c r="R464" s="4" t="s">
        <v>14</v>
      </c>
      <c r="S464" s="4" t="s">
        <v>14</v>
      </c>
      <c r="T464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465" spans="1:20" ht="18" x14ac:dyDescent="0.35">
      <c r="A465" s="3" t="s">
        <v>508</v>
      </c>
      <c r="B465" s="3" t="str">
        <f>IF(Table1[[#This Row],[Age]]&lt;25,"Under 25",IF(Table1[[#This Row],[Age]]&lt;35,"25-34",IF(Table1[[#This Row],[Age]]&lt;45,"35-44",IF(Table1[[#This Row],[Age]]&lt;55,"45-54","55+"))))</f>
        <v>35-44</v>
      </c>
      <c r="C465" s="3">
        <v>39</v>
      </c>
      <c r="D465" s="3" t="s">
        <v>22</v>
      </c>
      <c r="E465" s="3" t="s">
        <v>8</v>
      </c>
      <c r="F465" s="3" t="s">
        <v>9</v>
      </c>
      <c r="G465" s="3" t="s">
        <v>18</v>
      </c>
      <c r="H465" s="3" t="s">
        <v>19</v>
      </c>
      <c r="I465" s="3">
        <v>42757</v>
      </c>
      <c r="J465" s="3">
        <v>10</v>
      </c>
      <c r="K465" s="3">
        <v>1</v>
      </c>
      <c r="L465" s="3">
        <v>1</v>
      </c>
      <c r="M465" s="3">
        <v>3</v>
      </c>
      <c r="N465" s="3" t="s">
        <v>12</v>
      </c>
      <c r="O465" s="3" t="s">
        <v>13</v>
      </c>
      <c r="P465" s="3">
        <v>3</v>
      </c>
      <c r="Q465" s="3">
        <v>0</v>
      </c>
      <c r="R465" s="4" t="s">
        <v>12</v>
      </c>
      <c r="S465" s="4" t="s">
        <v>12</v>
      </c>
      <c r="T465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466" spans="1:20" ht="18" x14ac:dyDescent="0.35">
      <c r="A466" s="3" t="s">
        <v>509</v>
      </c>
      <c r="B466" s="3" t="str">
        <f>IF(Table1[[#This Row],[Age]]&lt;25,"Under 25",IF(Table1[[#This Row],[Age]]&lt;35,"25-34",IF(Table1[[#This Row],[Age]]&lt;45,"35-44",IF(Table1[[#This Row],[Age]]&lt;55,"45-54","55+"))))</f>
        <v>Under 25</v>
      </c>
      <c r="C466" s="3">
        <v>21</v>
      </c>
      <c r="D466" s="3" t="s">
        <v>22</v>
      </c>
      <c r="E466" s="3" t="s">
        <v>51</v>
      </c>
      <c r="F466" s="3" t="s">
        <v>52</v>
      </c>
      <c r="G466" s="3" t="s">
        <v>25</v>
      </c>
      <c r="H466" s="3" t="s">
        <v>19</v>
      </c>
      <c r="I466" s="3">
        <v>68566</v>
      </c>
      <c r="J466" s="3">
        <v>2</v>
      </c>
      <c r="K466" s="3">
        <v>0</v>
      </c>
      <c r="L466" s="3">
        <v>2</v>
      </c>
      <c r="M466" s="3">
        <v>4</v>
      </c>
      <c r="N466" s="3" t="s">
        <v>12</v>
      </c>
      <c r="O466" s="3" t="s">
        <v>13</v>
      </c>
      <c r="P466" s="3">
        <v>2</v>
      </c>
      <c r="Q466" s="3">
        <v>4</v>
      </c>
      <c r="R466" s="4" t="s">
        <v>14</v>
      </c>
      <c r="S466" s="4" t="s">
        <v>14</v>
      </c>
      <c r="T466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467" spans="1:20" ht="18" x14ac:dyDescent="0.35">
      <c r="A467" s="3" t="s">
        <v>510</v>
      </c>
      <c r="B467" s="3" t="str">
        <f>IF(Table1[[#This Row],[Age]]&lt;25,"Under 25",IF(Table1[[#This Row],[Age]]&lt;35,"25-34",IF(Table1[[#This Row],[Age]]&lt;45,"35-44",IF(Table1[[#This Row],[Age]]&lt;55,"45-54","55+"))))</f>
        <v>25-34</v>
      </c>
      <c r="C467" s="3">
        <v>30</v>
      </c>
      <c r="D467" s="3" t="s">
        <v>22</v>
      </c>
      <c r="E467" s="3" t="s">
        <v>51</v>
      </c>
      <c r="F467" s="3" t="s">
        <v>72</v>
      </c>
      <c r="G467" s="3" t="s">
        <v>45</v>
      </c>
      <c r="H467" s="3" t="s">
        <v>11</v>
      </c>
      <c r="I467" s="3">
        <v>59821</v>
      </c>
      <c r="J467" s="3">
        <v>12</v>
      </c>
      <c r="K467" s="3">
        <v>8</v>
      </c>
      <c r="L467" s="3">
        <v>3</v>
      </c>
      <c r="M467" s="3">
        <v>4</v>
      </c>
      <c r="N467" s="3" t="s">
        <v>14</v>
      </c>
      <c r="O467" s="3" t="s">
        <v>20</v>
      </c>
      <c r="P467" s="3">
        <v>3</v>
      </c>
      <c r="Q467" s="3">
        <v>0</v>
      </c>
      <c r="R467" s="4" t="s">
        <v>14</v>
      </c>
      <c r="S467" s="4" t="s">
        <v>14</v>
      </c>
      <c r="T467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468" spans="1:20" ht="18" x14ac:dyDescent="0.35">
      <c r="A468" s="3" t="s">
        <v>511</v>
      </c>
      <c r="B468" s="3" t="str">
        <f>IF(Table1[[#This Row],[Age]]&lt;25,"Under 25",IF(Table1[[#This Row],[Age]]&lt;35,"25-34",IF(Table1[[#This Row],[Age]]&lt;45,"35-44",IF(Table1[[#This Row],[Age]]&lt;55,"45-54","55+"))))</f>
        <v>25-34</v>
      </c>
      <c r="C468" s="3">
        <v>29</v>
      </c>
      <c r="D468" s="3" t="s">
        <v>7</v>
      </c>
      <c r="E468" s="3" t="s">
        <v>34</v>
      </c>
      <c r="F468" s="3" t="s">
        <v>35</v>
      </c>
      <c r="G468" s="3" t="s">
        <v>10</v>
      </c>
      <c r="H468" s="3" t="s">
        <v>11</v>
      </c>
      <c r="I468" s="3">
        <v>41202</v>
      </c>
      <c r="J468" s="3">
        <v>4</v>
      </c>
      <c r="K468" s="3">
        <v>1</v>
      </c>
      <c r="L468" s="3">
        <v>3</v>
      </c>
      <c r="M468" s="3">
        <v>3</v>
      </c>
      <c r="N468" s="3" t="s">
        <v>14</v>
      </c>
      <c r="O468" s="3" t="s">
        <v>26</v>
      </c>
      <c r="P468" s="3">
        <v>3</v>
      </c>
      <c r="Q468" s="3">
        <v>2</v>
      </c>
      <c r="R468" s="4" t="s">
        <v>14</v>
      </c>
      <c r="S468" s="4" t="s">
        <v>14</v>
      </c>
      <c r="T468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469" spans="1:20" ht="18" x14ac:dyDescent="0.35">
      <c r="A469" s="3" t="s">
        <v>512</v>
      </c>
      <c r="B469" s="3" t="str">
        <f>IF(Table1[[#This Row],[Age]]&lt;25,"Under 25",IF(Table1[[#This Row],[Age]]&lt;35,"25-34",IF(Table1[[#This Row],[Age]]&lt;45,"35-44",IF(Table1[[#This Row],[Age]]&lt;55,"45-54","55+"))))</f>
        <v>45-54</v>
      </c>
      <c r="C469" s="3">
        <v>54</v>
      </c>
      <c r="D469" s="3" t="s">
        <v>22</v>
      </c>
      <c r="E469" s="3" t="s">
        <v>34</v>
      </c>
      <c r="F469" s="3" t="s">
        <v>54</v>
      </c>
      <c r="G469" s="3" t="s">
        <v>25</v>
      </c>
      <c r="H469" s="3" t="s">
        <v>19</v>
      </c>
      <c r="I469" s="3">
        <v>49434</v>
      </c>
      <c r="J469" s="3">
        <v>1</v>
      </c>
      <c r="K469" s="3">
        <v>1</v>
      </c>
      <c r="L469" s="3">
        <v>3</v>
      </c>
      <c r="M469" s="3">
        <v>3</v>
      </c>
      <c r="N469" s="3" t="s">
        <v>12</v>
      </c>
      <c r="O469" s="3" t="s">
        <v>13</v>
      </c>
      <c r="P469" s="3">
        <v>3</v>
      </c>
      <c r="Q469" s="3">
        <v>6</v>
      </c>
      <c r="R469" s="4" t="s">
        <v>14</v>
      </c>
      <c r="S469" s="4" t="s">
        <v>14</v>
      </c>
      <c r="T469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470" spans="1:20" ht="18" x14ac:dyDescent="0.35">
      <c r="A470" s="3" t="s">
        <v>513</v>
      </c>
      <c r="B470" s="3" t="str">
        <f>IF(Table1[[#This Row],[Age]]&lt;25,"Under 25",IF(Table1[[#This Row],[Age]]&lt;35,"25-34",IF(Table1[[#This Row],[Age]]&lt;45,"35-44",IF(Table1[[#This Row],[Age]]&lt;55,"45-54","55+"))))</f>
        <v>35-44</v>
      </c>
      <c r="C470" s="3">
        <v>36</v>
      </c>
      <c r="D470" s="3" t="s">
        <v>7</v>
      </c>
      <c r="E470" s="3" t="s">
        <v>38</v>
      </c>
      <c r="F470" s="3" t="s">
        <v>39</v>
      </c>
      <c r="G470" s="3" t="s">
        <v>25</v>
      </c>
      <c r="H470" s="3" t="s">
        <v>19</v>
      </c>
      <c r="I470" s="3">
        <v>80434</v>
      </c>
      <c r="J470" s="3">
        <v>14</v>
      </c>
      <c r="K470" s="3">
        <v>1</v>
      </c>
      <c r="L470" s="3">
        <v>4</v>
      </c>
      <c r="M470" s="3">
        <v>2</v>
      </c>
      <c r="N470" s="3" t="s">
        <v>14</v>
      </c>
      <c r="O470" s="3" t="s">
        <v>13</v>
      </c>
      <c r="P470" s="3">
        <v>2</v>
      </c>
      <c r="Q470" s="3">
        <v>6</v>
      </c>
      <c r="R470" s="4" t="s">
        <v>14</v>
      </c>
      <c r="S470" s="4" t="s">
        <v>14</v>
      </c>
      <c r="T470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471" spans="1:20" ht="18" x14ac:dyDescent="0.35">
      <c r="A471" s="3" t="s">
        <v>514</v>
      </c>
      <c r="B471" s="3" t="str">
        <f>IF(Table1[[#This Row],[Age]]&lt;25,"Under 25",IF(Table1[[#This Row],[Age]]&lt;35,"25-34",IF(Table1[[#This Row],[Age]]&lt;45,"35-44",IF(Table1[[#This Row],[Age]]&lt;55,"45-54","55+"))))</f>
        <v>25-34</v>
      </c>
      <c r="C471" s="3">
        <v>31</v>
      </c>
      <c r="D471" s="3" t="s">
        <v>7</v>
      </c>
      <c r="E471" s="3" t="s">
        <v>38</v>
      </c>
      <c r="F471" s="3" t="s">
        <v>89</v>
      </c>
      <c r="G471" s="3" t="s">
        <v>25</v>
      </c>
      <c r="H471" s="3" t="s">
        <v>19</v>
      </c>
      <c r="I471" s="3">
        <v>40935</v>
      </c>
      <c r="J471" s="3">
        <v>13</v>
      </c>
      <c r="K471" s="3">
        <v>12</v>
      </c>
      <c r="L471" s="3">
        <v>1</v>
      </c>
      <c r="M471" s="3">
        <v>3</v>
      </c>
      <c r="N471" s="3" t="s">
        <v>14</v>
      </c>
      <c r="O471" s="3" t="s">
        <v>26</v>
      </c>
      <c r="P471" s="3">
        <v>4</v>
      </c>
      <c r="Q471" s="3">
        <v>5</v>
      </c>
      <c r="R471" s="4" t="s">
        <v>14</v>
      </c>
      <c r="S471" s="4" t="s">
        <v>14</v>
      </c>
      <c r="T471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472" spans="1:20" ht="18" x14ac:dyDescent="0.35">
      <c r="A472" s="3" t="s">
        <v>515</v>
      </c>
      <c r="B472" s="3" t="str">
        <f>IF(Table1[[#This Row],[Age]]&lt;25,"Under 25",IF(Table1[[#This Row],[Age]]&lt;35,"25-34",IF(Table1[[#This Row],[Age]]&lt;45,"35-44",IF(Table1[[#This Row],[Age]]&lt;55,"45-54","55+"))))</f>
        <v>25-34</v>
      </c>
      <c r="C472" s="3">
        <v>31</v>
      </c>
      <c r="D472" s="3" t="s">
        <v>7</v>
      </c>
      <c r="E472" s="3" t="s">
        <v>38</v>
      </c>
      <c r="F472" s="3" t="s">
        <v>39</v>
      </c>
      <c r="G472" s="3" t="s">
        <v>25</v>
      </c>
      <c r="H472" s="3" t="s">
        <v>11</v>
      </c>
      <c r="I472" s="3">
        <v>62523</v>
      </c>
      <c r="J472" s="3">
        <v>5</v>
      </c>
      <c r="K472" s="3">
        <v>1</v>
      </c>
      <c r="L472" s="3">
        <v>4</v>
      </c>
      <c r="M472" s="3">
        <v>4</v>
      </c>
      <c r="N472" s="3" t="s">
        <v>14</v>
      </c>
      <c r="O472" s="3" t="s">
        <v>20</v>
      </c>
      <c r="P472" s="3">
        <v>3</v>
      </c>
      <c r="Q472" s="3">
        <v>0</v>
      </c>
      <c r="R472" s="4" t="s">
        <v>14</v>
      </c>
      <c r="S472" s="4" t="s">
        <v>14</v>
      </c>
      <c r="T472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473" spans="1:20" ht="18" x14ac:dyDescent="0.35">
      <c r="A473" s="3" t="s">
        <v>516</v>
      </c>
      <c r="B473" s="3" t="str">
        <f>IF(Table1[[#This Row],[Age]]&lt;25,"Under 25",IF(Table1[[#This Row],[Age]]&lt;35,"25-34",IF(Table1[[#This Row],[Age]]&lt;45,"35-44",IF(Table1[[#This Row],[Age]]&lt;55,"45-54","55+"))))</f>
        <v>45-54</v>
      </c>
      <c r="C473" s="3">
        <v>49</v>
      </c>
      <c r="D473" s="3" t="s">
        <v>22</v>
      </c>
      <c r="E473" s="3" t="s">
        <v>16</v>
      </c>
      <c r="F473" s="3" t="s">
        <v>28</v>
      </c>
      <c r="G473" s="3" t="s">
        <v>25</v>
      </c>
      <c r="H473" s="3" t="s">
        <v>42</v>
      </c>
      <c r="I473" s="3">
        <v>31595</v>
      </c>
      <c r="J473" s="3">
        <v>9</v>
      </c>
      <c r="K473" s="3">
        <v>9</v>
      </c>
      <c r="L473" s="3">
        <v>3</v>
      </c>
      <c r="M473" s="3">
        <v>3</v>
      </c>
      <c r="N473" s="3" t="s">
        <v>14</v>
      </c>
      <c r="O473" s="3" t="s">
        <v>13</v>
      </c>
      <c r="P473" s="3">
        <v>3</v>
      </c>
      <c r="Q473" s="3">
        <v>1</v>
      </c>
      <c r="R473" s="4" t="s">
        <v>14</v>
      </c>
      <c r="S473" s="4" t="s">
        <v>14</v>
      </c>
      <c r="T473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474" spans="1:20" ht="18" x14ac:dyDescent="0.35">
      <c r="A474" s="3" t="s">
        <v>517</v>
      </c>
      <c r="B474" s="3" t="str">
        <f>IF(Table1[[#This Row],[Age]]&lt;25,"Under 25",IF(Table1[[#This Row],[Age]]&lt;35,"25-34",IF(Table1[[#This Row],[Age]]&lt;45,"35-44",IF(Table1[[#This Row],[Age]]&lt;55,"45-54","55+"))))</f>
        <v>25-34</v>
      </c>
      <c r="C474" s="3">
        <v>31</v>
      </c>
      <c r="D474" s="3" t="s">
        <v>22</v>
      </c>
      <c r="E474" s="3" t="s">
        <v>16</v>
      </c>
      <c r="F474" s="3" t="s">
        <v>28</v>
      </c>
      <c r="G474" s="3" t="s">
        <v>25</v>
      </c>
      <c r="H474" s="3" t="s">
        <v>19</v>
      </c>
      <c r="I474" s="3">
        <v>58634</v>
      </c>
      <c r="J474" s="3">
        <v>4</v>
      </c>
      <c r="K474" s="3">
        <v>1</v>
      </c>
      <c r="L474" s="3">
        <v>1</v>
      </c>
      <c r="M474" s="3">
        <v>3</v>
      </c>
      <c r="N474" s="3" t="s">
        <v>14</v>
      </c>
      <c r="O474" s="3" t="s">
        <v>13</v>
      </c>
      <c r="P474" s="3">
        <v>3</v>
      </c>
      <c r="Q474" s="3">
        <v>2</v>
      </c>
      <c r="R474" s="4" t="s">
        <v>14</v>
      </c>
      <c r="S474" s="4" t="s">
        <v>14</v>
      </c>
      <c r="T474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475" spans="1:20" ht="18" x14ac:dyDescent="0.35">
      <c r="A475" s="3" t="s">
        <v>518</v>
      </c>
      <c r="B475" s="3" t="str">
        <f>IF(Table1[[#This Row],[Age]]&lt;25,"Under 25",IF(Table1[[#This Row],[Age]]&lt;35,"25-34",IF(Table1[[#This Row],[Age]]&lt;45,"35-44",IF(Table1[[#This Row],[Age]]&lt;55,"45-54","55+"))))</f>
        <v>35-44</v>
      </c>
      <c r="C475" s="3">
        <v>41</v>
      </c>
      <c r="D475" s="3" t="s">
        <v>22</v>
      </c>
      <c r="E475" s="3" t="s">
        <v>34</v>
      </c>
      <c r="F475" s="3" t="s">
        <v>91</v>
      </c>
      <c r="G475" s="3" t="s">
        <v>10</v>
      </c>
      <c r="H475" s="3" t="s">
        <v>11</v>
      </c>
      <c r="I475" s="3">
        <v>91191</v>
      </c>
      <c r="J475" s="3">
        <v>23</v>
      </c>
      <c r="K475" s="3">
        <v>1</v>
      </c>
      <c r="L475" s="3">
        <v>3</v>
      </c>
      <c r="M475" s="3">
        <v>3</v>
      </c>
      <c r="N475" s="3" t="s">
        <v>12</v>
      </c>
      <c r="O475" s="3" t="s">
        <v>20</v>
      </c>
      <c r="P475" s="3">
        <v>4</v>
      </c>
      <c r="Q475" s="3">
        <v>6</v>
      </c>
      <c r="R475" s="4" t="s">
        <v>14</v>
      </c>
      <c r="S475" s="4" t="s">
        <v>14</v>
      </c>
      <c r="T475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476" spans="1:20" ht="18" x14ac:dyDescent="0.35">
      <c r="A476" s="3" t="s">
        <v>519</v>
      </c>
      <c r="B476" s="3" t="str">
        <f>IF(Table1[[#This Row],[Age]]&lt;25,"Under 25",IF(Table1[[#This Row],[Age]]&lt;35,"25-34",IF(Table1[[#This Row],[Age]]&lt;45,"35-44",IF(Table1[[#This Row],[Age]]&lt;55,"45-54","55+"))))</f>
        <v>Under 25</v>
      </c>
      <c r="C476" s="3">
        <v>23</v>
      </c>
      <c r="D476" s="3" t="s">
        <v>22</v>
      </c>
      <c r="E476" s="3" t="s">
        <v>34</v>
      </c>
      <c r="F476" s="3" t="s">
        <v>35</v>
      </c>
      <c r="G476" s="3" t="s">
        <v>25</v>
      </c>
      <c r="H476" s="3" t="s">
        <v>11</v>
      </c>
      <c r="I476" s="3">
        <v>75116</v>
      </c>
      <c r="J476" s="3">
        <v>0</v>
      </c>
      <c r="K476" s="3">
        <v>0</v>
      </c>
      <c r="L476" s="3">
        <v>2</v>
      </c>
      <c r="M476" s="3">
        <v>4</v>
      </c>
      <c r="N476" s="3" t="s">
        <v>14</v>
      </c>
      <c r="O476" s="3" t="s">
        <v>13</v>
      </c>
      <c r="P476" s="3">
        <v>4</v>
      </c>
      <c r="Q476" s="3">
        <v>2</v>
      </c>
      <c r="R476" s="4" t="s">
        <v>14</v>
      </c>
      <c r="S476" s="4" t="s">
        <v>14</v>
      </c>
      <c r="T476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Less than 1 Year</v>
      </c>
    </row>
    <row r="477" spans="1:20" ht="18" x14ac:dyDescent="0.35">
      <c r="A477" s="3" t="s">
        <v>520</v>
      </c>
      <c r="B477" s="3" t="str">
        <f>IF(Table1[[#This Row],[Age]]&lt;25,"Under 25",IF(Table1[[#This Row],[Age]]&lt;35,"25-34",IF(Table1[[#This Row],[Age]]&lt;45,"35-44",IF(Table1[[#This Row],[Age]]&lt;55,"45-54","55+"))))</f>
        <v>35-44</v>
      </c>
      <c r="C477" s="3">
        <v>43</v>
      </c>
      <c r="D477" s="3" t="s">
        <v>22</v>
      </c>
      <c r="E477" s="3" t="s">
        <v>8</v>
      </c>
      <c r="F477" s="3" t="s">
        <v>66</v>
      </c>
      <c r="G477" s="3" t="s">
        <v>25</v>
      </c>
      <c r="H477" s="3" t="s">
        <v>11</v>
      </c>
      <c r="I477" s="3">
        <v>42915</v>
      </c>
      <c r="J477" s="3">
        <v>19</v>
      </c>
      <c r="K477" s="3">
        <v>10</v>
      </c>
      <c r="L477" s="3">
        <v>4</v>
      </c>
      <c r="M477" s="3">
        <v>3</v>
      </c>
      <c r="N477" s="3" t="s">
        <v>14</v>
      </c>
      <c r="O477" s="3" t="s">
        <v>13</v>
      </c>
      <c r="P477" s="3">
        <v>3</v>
      </c>
      <c r="Q477" s="3">
        <v>6</v>
      </c>
      <c r="R477" s="4" t="s">
        <v>14</v>
      </c>
      <c r="S477" s="4" t="s">
        <v>14</v>
      </c>
      <c r="T477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478" spans="1:20" ht="18" x14ac:dyDescent="0.35">
      <c r="A478" s="3" t="s">
        <v>521</v>
      </c>
      <c r="B478" s="3" t="str">
        <f>IF(Table1[[#This Row],[Age]]&lt;25,"Under 25",IF(Table1[[#This Row],[Age]]&lt;35,"25-34",IF(Table1[[#This Row],[Age]]&lt;45,"35-44",IF(Table1[[#This Row],[Age]]&lt;55,"45-54","55+"))))</f>
        <v>25-34</v>
      </c>
      <c r="C478" s="3">
        <v>32</v>
      </c>
      <c r="D478" s="3" t="s">
        <v>7</v>
      </c>
      <c r="E478" s="3" t="s">
        <v>8</v>
      </c>
      <c r="F478" s="3" t="s">
        <v>9</v>
      </c>
      <c r="G478" s="3" t="s">
        <v>25</v>
      </c>
      <c r="H478" s="3" t="s">
        <v>11</v>
      </c>
      <c r="I478" s="3">
        <v>61832</v>
      </c>
      <c r="J478" s="3">
        <v>8</v>
      </c>
      <c r="K478" s="3">
        <v>3</v>
      </c>
      <c r="L478" s="3">
        <v>2</v>
      </c>
      <c r="M478" s="3">
        <v>2</v>
      </c>
      <c r="N478" s="3" t="s">
        <v>14</v>
      </c>
      <c r="O478" s="3" t="s">
        <v>20</v>
      </c>
      <c r="P478" s="3">
        <v>3</v>
      </c>
      <c r="Q478" s="3">
        <v>0</v>
      </c>
      <c r="R478" s="4" t="s">
        <v>14</v>
      </c>
      <c r="S478" s="4" t="s">
        <v>14</v>
      </c>
      <c r="T478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479" spans="1:20" ht="18" x14ac:dyDescent="0.35">
      <c r="A479" s="3" t="s">
        <v>522</v>
      </c>
      <c r="B479" s="3" t="str">
        <f>IF(Table1[[#This Row],[Age]]&lt;25,"Under 25",IF(Table1[[#This Row],[Age]]&lt;35,"25-34",IF(Table1[[#This Row],[Age]]&lt;45,"35-44",IF(Table1[[#This Row],[Age]]&lt;55,"45-54","55+"))))</f>
        <v>25-34</v>
      </c>
      <c r="C479" s="3">
        <v>32</v>
      </c>
      <c r="D479" s="3" t="s">
        <v>7</v>
      </c>
      <c r="E479" s="3" t="s">
        <v>51</v>
      </c>
      <c r="F479" s="3" t="s">
        <v>52</v>
      </c>
      <c r="G479" s="3" t="s">
        <v>10</v>
      </c>
      <c r="H479" s="3" t="s">
        <v>11</v>
      </c>
      <c r="I479" s="3">
        <v>106189</v>
      </c>
      <c r="J479" s="3">
        <v>10</v>
      </c>
      <c r="K479" s="3">
        <v>9</v>
      </c>
      <c r="L479" s="3">
        <v>2</v>
      </c>
      <c r="M479" s="3">
        <v>3</v>
      </c>
      <c r="N479" s="3" t="s">
        <v>14</v>
      </c>
      <c r="O479" s="3" t="s">
        <v>13</v>
      </c>
      <c r="P479" s="3">
        <v>3</v>
      </c>
      <c r="Q479" s="3">
        <v>3</v>
      </c>
      <c r="R479" s="4" t="s">
        <v>14</v>
      </c>
      <c r="S479" s="4" t="s">
        <v>14</v>
      </c>
      <c r="T479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480" spans="1:20" ht="18" x14ac:dyDescent="0.35">
      <c r="A480" s="3" t="s">
        <v>523</v>
      </c>
      <c r="B480" s="3" t="str">
        <f>IF(Table1[[#This Row],[Age]]&lt;25,"Under 25",IF(Table1[[#This Row],[Age]]&lt;35,"25-34",IF(Table1[[#This Row],[Age]]&lt;45,"35-44",IF(Table1[[#This Row],[Age]]&lt;55,"45-54","55+"))))</f>
        <v>25-34</v>
      </c>
      <c r="C480" s="3">
        <v>25</v>
      </c>
      <c r="D480" s="3" t="s">
        <v>22</v>
      </c>
      <c r="E480" s="3" t="s">
        <v>38</v>
      </c>
      <c r="F480" s="3" t="s">
        <v>59</v>
      </c>
      <c r="G480" s="3" t="s">
        <v>18</v>
      </c>
      <c r="H480" s="3" t="s">
        <v>11</v>
      </c>
      <c r="I480" s="3">
        <v>90407</v>
      </c>
      <c r="J480" s="3">
        <v>5</v>
      </c>
      <c r="K480" s="3">
        <v>5</v>
      </c>
      <c r="L480" s="3">
        <v>3</v>
      </c>
      <c r="M480" s="3">
        <v>3</v>
      </c>
      <c r="N480" s="3" t="s">
        <v>14</v>
      </c>
      <c r="O480" s="3" t="s">
        <v>13</v>
      </c>
      <c r="P480" s="3">
        <v>3</v>
      </c>
      <c r="Q480" s="3">
        <v>0</v>
      </c>
      <c r="R480" s="4" t="s">
        <v>14</v>
      </c>
      <c r="S480" s="4" t="s">
        <v>14</v>
      </c>
      <c r="T480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481" spans="1:20" ht="18" x14ac:dyDescent="0.35">
      <c r="A481" s="3" t="s">
        <v>524</v>
      </c>
      <c r="B481" s="3" t="str">
        <f>IF(Table1[[#This Row],[Age]]&lt;25,"Under 25",IF(Table1[[#This Row],[Age]]&lt;35,"25-34",IF(Table1[[#This Row],[Age]]&lt;45,"35-44",IF(Table1[[#This Row],[Age]]&lt;55,"45-54","55+"))))</f>
        <v>25-34</v>
      </c>
      <c r="C481" s="3">
        <v>29</v>
      </c>
      <c r="D481" s="3" t="s">
        <v>7</v>
      </c>
      <c r="E481" s="3" t="s">
        <v>34</v>
      </c>
      <c r="F481" s="3" t="s">
        <v>54</v>
      </c>
      <c r="G481" s="3" t="s">
        <v>10</v>
      </c>
      <c r="H481" s="3" t="s">
        <v>19</v>
      </c>
      <c r="I481" s="3">
        <v>53969</v>
      </c>
      <c r="J481" s="3">
        <v>1</v>
      </c>
      <c r="K481" s="3">
        <v>0</v>
      </c>
      <c r="L481" s="3">
        <v>3</v>
      </c>
      <c r="M481" s="3">
        <v>3</v>
      </c>
      <c r="N481" s="3" t="s">
        <v>12</v>
      </c>
      <c r="O481" s="3" t="s">
        <v>13</v>
      </c>
      <c r="P481" s="3">
        <v>3</v>
      </c>
      <c r="Q481" s="3">
        <v>3</v>
      </c>
      <c r="R481" s="4" t="s">
        <v>14</v>
      </c>
      <c r="S481" s="4" t="s">
        <v>14</v>
      </c>
      <c r="T481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482" spans="1:20" ht="18" x14ac:dyDescent="0.35">
      <c r="A482" s="3" t="s">
        <v>525</v>
      </c>
      <c r="B482" s="3" t="str">
        <f>IF(Table1[[#This Row],[Age]]&lt;25,"Under 25",IF(Table1[[#This Row],[Age]]&lt;35,"25-34",IF(Table1[[#This Row],[Age]]&lt;45,"35-44",IF(Table1[[#This Row],[Age]]&lt;55,"45-54","55+"))))</f>
        <v>35-44</v>
      </c>
      <c r="C482" s="3">
        <v>43</v>
      </c>
      <c r="D482" s="3" t="s">
        <v>22</v>
      </c>
      <c r="E482" s="3" t="s">
        <v>8</v>
      </c>
      <c r="F482" s="3" t="s">
        <v>66</v>
      </c>
      <c r="G482" s="3" t="s">
        <v>18</v>
      </c>
      <c r="H482" s="3" t="s">
        <v>19</v>
      </c>
      <c r="I482" s="3">
        <v>82114</v>
      </c>
      <c r="J482" s="3">
        <v>16</v>
      </c>
      <c r="K482" s="3">
        <v>12</v>
      </c>
      <c r="L482" s="3">
        <v>2</v>
      </c>
      <c r="M482" s="3">
        <v>3</v>
      </c>
      <c r="N482" s="3" t="s">
        <v>14</v>
      </c>
      <c r="O482" s="3" t="s">
        <v>13</v>
      </c>
      <c r="P482" s="3">
        <v>3</v>
      </c>
      <c r="Q482" s="3">
        <v>5</v>
      </c>
      <c r="R482" s="4" t="s">
        <v>12</v>
      </c>
      <c r="S482" s="4" t="s">
        <v>12</v>
      </c>
      <c r="T482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483" spans="1:20" ht="18" x14ac:dyDescent="0.35">
      <c r="A483" s="3" t="s">
        <v>526</v>
      </c>
      <c r="B483" s="3" t="str">
        <f>IF(Table1[[#This Row],[Age]]&lt;25,"Under 25",IF(Table1[[#This Row],[Age]]&lt;35,"25-34",IF(Table1[[#This Row],[Age]]&lt;45,"35-44",IF(Table1[[#This Row],[Age]]&lt;55,"45-54","55+"))))</f>
        <v>25-34</v>
      </c>
      <c r="C483" s="3">
        <v>26</v>
      </c>
      <c r="D483" s="3" t="s">
        <v>22</v>
      </c>
      <c r="E483" s="3" t="s">
        <v>38</v>
      </c>
      <c r="F483" s="3" t="s">
        <v>39</v>
      </c>
      <c r="G483" s="3" t="s">
        <v>25</v>
      </c>
      <c r="H483" s="3" t="s">
        <v>11</v>
      </c>
      <c r="I483" s="3">
        <v>88300</v>
      </c>
      <c r="J483" s="3">
        <v>4</v>
      </c>
      <c r="K483" s="3">
        <v>0</v>
      </c>
      <c r="L483" s="3">
        <v>3</v>
      </c>
      <c r="M483" s="3">
        <v>4</v>
      </c>
      <c r="N483" s="3" t="s">
        <v>12</v>
      </c>
      <c r="O483" s="3" t="s">
        <v>13</v>
      </c>
      <c r="P483" s="3">
        <v>4</v>
      </c>
      <c r="Q483" s="3">
        <v>5</v>
      </c>
      <c r="R483" s="4" t="s">
        <v>14</v>
      </c>
      <c r="S483" s="4" t="s">
        <v>14</v>
      </c>
      <c r="T483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484" spans="1:20" ht="18" x14ac:dyDescent="0.35">
      <c r="A484" s="3" t="s">
        <v>527</v>
      </c>
      <c r="B484" s="3" t="str">
        <f>IF(Table1[[#This Row],[Age]]&lt;25,"Under 25",IF(Table1[[#This Row],[Age]]&lt;35,"25-34",IF(Table1[[#This Row],[Age]]&lt;45,"35-44",IF(Table1[[#This Row],[Age]]&lt;55,"45-54","55+"))))</f>
        <v>35-44</v>
      </c>
      <c r="C484" s="3">
        <v>35</v>
      </c>
      <c r="D484" s="3" t="s">
        <v>22</v>
      </c>
      <c r="E484" s="3" t="s">
        <v>16</v>
      </c>
      <c r="F484" s="3" t="s">
        <v>47</v>
      </c>
      <c r="G484" s="3" t="s">
        <v>25</v>
      </c>
      <c r="H484" s="3" t="s">
        <v>42</v>
      </c>
      <c r="I484" s="3">
        <v>53565</v>
      </c>
      <c r="J484" s="3">
        <v>10</v>
      </c>
      <c r="K484" s="3">
        <v>5</v>
      </c>
      <c r="L484" s="3">
        <v>4</v>
      </c>
      <c r="M484" s="3">
        <v>1</v>
      </c>
      <c r="N484" s="3" t="s">
        <v>14</v>
      </c>
      <c r="O484" s="3" t="s">
        <v>13</v>
      </c>
      <c r="P484" s="3">
        <v>4</v>
      </c>
      <c r="Q484" s="3">
        <v>3</v>
      </c>
      <c r="R484" s="4" t="s">
        <v>12</v>
      </c>
      <c r="S484" s="4" t="s">
        <v>12</v>
      </c>
      <c r="T484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485" spans="1:20" ht="18" x14ac:dyDescent="0.35">
      <c r="A485" s="3" t="s">
        <v>528</v>
      </c>
      <c r="B485" s="3" t="str">
        <f>IF(Table1[[#This Row],[Age]]&lt;25,"Under 25",IF(Table1[[#This Row],[Age]]&lt;35,"25-34",IF(Table1[[#This Row],[Age]]&lt;45,"35-44",IF(Table1[[#This Row],[Age]]&lt;55,"45-54","55+"))))</f>
        <v>35-44</v>
      </c>
      <c r="C485" s="3">
        <v>44</v>
      </c>
      <c r="D485" s="3" t="s">
        <v>22</v>
      </c>
      <c r="E485" s="3" t="s">
        <v>38</v>
      </c>
      <c r="F485" s="3" t="s">
        <v>59</v>
      </c>
      <c r="G485" s="3" t="s">
        <v>18</v>
      </c>
      <c r="H485" s="3" t="s">
        <v>11</v>
      </c>
      <c r="I485" s="3">
        <v>58354</v>
      </c>
      <c r="J485" s="3">
        <v>8</v>
      </c>
      <c r="K485" s="3">
        <v>5</v>
      </c>
      <c r="L485" s="3">
        <v>3</v>
      </c>
      <c r="M485" s="3">
        <v>2</v>
      </c>
      <c r="N485" s="3" t="s">
        <v>14</v>
      </c>
      <c r="O485" s="3" t="s">
        <v>20</v>
      </c>
      <c r="P485" s="3">
        <v>2</v>
      </c>
      <c r="Q485" s="3">
        <v>0</v>
      </c>
      <c r="R485" s="4" t="s">
        <v>14</v>
      </c>
      <c r="S485" s="4" t="s">
        <v>14</v>
      </c>
      <c r="T485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486" spans="1:20" ht="18" x14ac:dyDescent="0.35">
      <c r="A486" s="3" t="s">
        <v>529</v>
      </c>
      <c r="B486" s="3" t="str">
        <f>IF(Table1[[#This Row],[Age]]&lt;25,"Under 25",IF(Table1[[#This Row],[Age]]&lt;35,"25-34",IF(Table1[[#This Row],[Age]]&lt;45,"35-44",IF(Table1[[#This Row],[Age]]&lt;55,"45-54","55+"))))</f>
        <v>45-54</v>
      </c>
      <c r="C486" s="3">
        <v>47</v>
      </c>
      <c r="D486" s="3" t="s">
        <v>7</v>
      </c>
      <c r="E486" s="3" t="s">
        <v>16</v>
      </c>
      <c r="F486" s="3" t="s">
        <v>28</v>
      </c>
      <c r="G486" s="3" t="s">
        <v>25</v>
      </c>
      <c r="H486" s="3" t="s">
        <v>19</v>
      </c>
      <c r="I486" s="3">
        <v>58638</v>
      </c>
      <c r="J486" s="3">
        <v>6</v>
      </c>
      <c r="K486" s="3">
        <v>6</v>
      </c>
      <c r="L486" s="3">
        <v>3</v>
      </c>
      <c r="M486" s="3">
        <v>2</v>
      </c>
      <c r="N486" s="3" t="s">
        <v>14</v>
      </c>
      <c r="O486" s="3" t="s">
        <v>13</v>
      </c>
      <c r="P486" s="3">
        <v>4</v>
      </c>
      <c r="Q486" s="3">
        <v>6</v>
      </c>
      <c r="R486" s="4" t="s">
        <v>14</v>
      </c>
      <c r="S486" s="4" t="s">
        <v>14</v>
      </c>
      <c r="T486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487" spans="1:20" ht="18" x14ac:dyDescent="0.35">
      <c r="A487" s="3" t="s">
        <v>530</v>
      </c>
      <c r="B487" s="3" t="str">
        <f>IF(Table1[[#This Row],[Age]]&lt;25,"Under 25",IF(Table1[[#This Row],[Age]]&lt;35,"25-34",IF(Table1[[#This Row],[Age]]&lt;45,"35-44",IF(Table1[[#This Row],[Age]]&lt;55,"45-54","55+"))))</f>
        <v>25-34</v>
      </c>
      <c r="C487" s="3">
        <v>27</v>
      </c>
      <c r="D487" s="3" t="s">
        <v>22</v>
      </c>
      <c r="E487" s="3" t="s">
        <v>38</v>
      </c>
      <c r="F487" s="3" t="s">
        <v>39</v>
      </c>
      <c r="G487" s="3" t="s">
        <v>18</v>
      </c>
      <c r="H487" s="3" t="s">
        <v>19</v>
      </c>
      <c r="I487" s="3">
        <v>65023</v>
      </c>
      <c r="J487" s="3">
        <v>2</v>
      </c>
      <c r="K487" s="3">
        <v>2</v>
      </c>
      <c r="L487" s="3">
        <v>3</v>
      </c>
      <c r="M487" s="3">
        <v>4</v>
      </c>
      <c r="N487" s="3" t="s">
        <v>14</v>
      </c>
      <c r="O487" s="3" t="s">
        <v>13</v>
      </c>
      <c r="P487" s="3">
        <v>3</v>
      </c>
      <c r="Q487" s="3">
        <v>3</v>
      </c>
      <c r="R487" s="4" t="s">
        <v>14</v>
      </c>
      <c r="S487" s="4" t="s">
        <v>12</v>
      </c>
      <c r="T487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488" spans="1:20" ht="18" x14ac:dyDescent="0.35">
      <c r="A488" s="3" t="s">
        <v>531</v>
      </c>
      <c r="B488" s="3" t="str">
        <f>IF(Table1[[#This Row],[Age]]&lt;25,"Under 25",IF(Table1[[#This Row],[Age]]&lt;35,"25-34",IF(Table1[[#This Row],[Age]]&lt;45,"35-44",IF(Table1[[#This Row],[Age]]&lt;55,"45-54","55+"))))</f>
        <v>25-34</v>
      </c>
      <c r="C488" s="3">
        <v>26</v>
      </c>
      <c r="D488" s="3" t="s">
        <v>7</v>
      </c>
      <c r="E488" s="3" t="s">
        <v>8</v>
      </c>
      <c r="F488" s="3" t="s">
        <v>66</v>
      </c>
      <c r="G488" s="3" t="s">
        <v>45</v>
      </c>
      <c r="H488" s="3" t="s">
        <v>19</v>
      </c>
      <c r="I488" s="3">
        <v>34604</v>
      </c>
      <c r="J488" s="3">
        <v>4</v>
      </c>
      <c r="K488" s="3">
        <v>4</v>
      </c>
      <c r="L488" s="3">
        <v>3</v>
      </c>
      <c r="M488" s="3">
        <v>3</v>
      </c>
      <c r="N488" s="3" t="s">
        <v>14</v>
      </c>
      <c r="O488" s="3" t="s">
        <v>13</v>
      </c>
      <c r="P488" s="3">
        <v>3</v>
      </c>
      <c r="Q488" s="3">
        <v>1</v>
      </c>
      <c r="R488" s="4" t="s">
        <v>14</v>
      </c>
      <c r="S488" s="4" t="s">
        <v>14</v>
      </c>
      <c r="T488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489" spans="1:20" ht="18" x14ac:dyDescent="0.35">
      <c r="A489" s="3" t="s">
        <v>532</v>
      </c>
      <c r="B489" s="3" t="str">
        <f>IF(Table1[[#This Row],[Age]]&lt;25,"Under 25",IF(Table1[[#This Row],[Age]]&lt;35,"25-34",IF(Table1[[#This Row],[Age]]&lt;45,"35-44",IF(Table1[[#This Row],[Age]]&lt;55,"45-54","55+"))))</f>
        <v>25-34</v>
      </c>
      <c r="C489" s="3">
        <v>28</v>
      </c>
      <c r="D489" s="3" t="s">
        <v>7</v>
      </c>
      <c r="E489" s="3" t="s">
        <v>38</v>
      </c>
      <c r="F489" s="3" t="s">
        <v>59</v>
      </c>
      <c r="G489" s="3" t="s">
        <v>1245</v>
      </c>
      <c r="H489" s="3" t="s">
        <v>11</v>
      </c>
      <c r="I489" s="3">
        <v>42426</v>
      </c>
      <c r="J489" s="3">
        <v>8</v>
      </c>
      <c r="K489" s="3">
        <v>3</v>
      </c>
      <c r="L489" s="3">
        <v>3</v>
      </c>
      <c r="M489" s="3">
        <v>3</v>
      </c>
      <c r="N489" s="3" t="s">
        <v>12</v>
      </c>
      <c r="O489" s="3" t="s">
        <v>13</v>
      </c>
      <c r="P489" s="3">
        <v>3</v>
      </c>
      <c r="Q489" s="3">
        <v>5</v>
      </c>
      <c r="R489" s="4" t="s">
        <v>14</v>
      </c>
      <c r="S489" s="4" t="s">
        <v>14</v>
      </c>
      <c r="T489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490" spans="1:20" ht="18" x14ac:dyDescent="0.35">
      <c r="A490" s="3" t="s">
        <v>533</v>
      </c>
      <c r="B490" s="3" t="str">
        <f>IF(Table1[[#This Row],[Age]]&lt;25,"Under 25",IF(Table1[[#This Row],[Age]]&lt;35,"25-34",IF(Table1[[#This Row],[Age]]&lt;45,"35-44",IF(Table1[[#This Row],[Age]]&lt;55,"45-54","55+"))))</f>
        <v>25-34</v>
      </c>
      <c r="C490" s="3">
        <v>32</v>
      </c>
      <c r="D490" s="3" t="s">
        <v>22</v>
      </c>
      <c r="E490" s="3" t="s">
        <v>8</v>
      </c>
      <c r="F490" s="3" t="s">
        <v>9</v>
      </c>
      <c r="G490" s="3" t="s">
        <v>10</v>
      </c>
      <c r="H490" s="3" t="s">
        <v>11</v>
      </c>
      <c r="I490" s="3">
        <v>95887</v>
      </c>
      <c r="J490" s="3">
        <v>9</v>
      </c>
      <c r="K490" s="3">
        <v>4</v>
      </c>
      <c r="L490" s="3">
        <v>2</v>
      </c>
      <c r="M490" s="3">
        <v>1</v>
      </c>
      <c r="N490" s="3" t="s">
        <v>14</v>
      </c>
      <c r="O490" s="3" t="s">
        <v>13</v>
      </c>
      <c r="P490" s="3">
        <v>3</v>
      </c>
      <c r="Q490" s="3">
        <v>5</v>
      </c>
      <c r="R490" s="4" t="s">
        <v>14</v>
      </c>
      <c r="S490" s="4" t="s">
        <v>12</v>
      </c>
      <c r="T490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491" spans="1:20" ht="18" x14ac:dyDescent="0.35">
      <c r="A491" s="3" t="s">
        <v>534</v>
      </c>
      <c r="B491" s="3" t="str">
        <f>IF(Table1[[#This Row],[Age]]&lt;25,"Under 25",IF(Table1[[#This Row],[Age]]&lt;35,"25-34",IF(Table1[[#This Row],[Age]]&lt;45,"35-44",IF(Table1[[#This Row],[Age]]&lt;55,"45-54","55+"))))</f>
        <v>35-44</v>
      </c>
      <c r="C491" s="3">
        <v>36</v>
      </c>
      <c r="D491" s="3" t="s">
        <v>7</v>
      </c>
      <c r="E491" s="3" t="s">
        <v>34</v>
      </c>
      <c r="F491" s="3" t="s">
        <v>150</v>
      </c>
      <c r="G491" s="3" t="s">
        <v>18</v>
      </c>
      <c r="H491" s="3" t="s">
        <v>42</v>
      </c>
      <c r="I491" s="3">
        <v>55368</v>
      </c>
      <c r="J491" s="3">
        <v>2</v>
      </c>
      <c r="K491" s="3">
        <v>1</v>
      </c>
      <c r="L491" s="3">
        <v>3</v>
      </c>
      <c r="M491" s="3">
        <v>4</v>
      </c>
      <c r="N491" s="3" t="s">
        <v>12</v>
      </c>
      <c r="O491" s="3" t="s">
        <v>13</v>
      </c>
      <c r="P491" s="3">
        <v>3</v>
      </c>
      <c r="Q491" s="3">
        <v>4</v>
      </c>
      <c r="R491" s="4" t="s">
        <v>14</v>
      </c>
      <c r="S491" s="4" t="s">
        <v>14</v>
      </c>
      <c r="T491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492" spans="1:20" ht="18" x14ac:dyDescent="0.35">
      <c r="A492" s="3" t="s">
        <v>535</v>
      </c>
      <c r="B492" s="3" t="str">
        <f>IF(Table1[[#This Row],[Age]]&lt;25,"Under 25",IF(Table1[[#This Row],[Age]]&lt;35,"25-34",IF(Table1[[#This Row],[Age]]&lt;45,"35-44",IF(Table1[[#This Row],[Age]]&lt;55,"45-54","55+"))))</f>
        <v>35-44</v>
      </c>
      <c r="C492" s="3">
        <v>41</v>
      </c>
      <c r="D492" s="3" t="s">
        <v>22</v>
      </c>
      <c r="E492" s="3" t="s">
        <v>38</v>
      </c>
      <c r="F492" s="3" t="s">
        <v>89</v>
      </c>
      <c r="G492" s="3" t="s">
        <v>10</v>
      </c>
      <c r="H492" s="3" t="s">
        <v>19</v>
      </c>
      <c r="I492" s="3">
        <v>81869</v>
      </c>
      <c r="J492" s="3">
        <v>23</v>
      </c>
      <c r="K492" s="3">
        <v>12</v>
      </c>
      <c r="L492" s="3">
        <v>3</v>
      </c>
      <c r="M492" s="3">
        <v>4</v>
      </c>
      <c r="N492" s="3" t="s">
        <v>14</v>
      </c>
      <c r="O492" s="3" t="s">
        <v>13</v>
      </c>
      <c r="P492" s="3">
        <v>3</v>
      </c>
      <c r="Q492" s="3">
        <v>6</v>
      </c>
      <c r="R492" s="4" t="s">
        <v>14</v>
      </c>
      <c r="S492" s="4" t="s">
        <v>14</v>
      </c>
      <c r="T492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493" spans="1:20" ht="18" x14ac:dyDescent="0.35">
      <c r="A493" s="3" t="s">
        <v>536</v>
      </c>
      <c r="B493" s="3" t="str">
        <f>IF(Table1[[#This Row],[Age]]&lt;25,"Under 25",IF(Table1[[#This Row],[Age]]&lt;35,"25-34",IF(Table1[[#This Row],[Age]]&lt;45,"35-44",IF(Table1[[#This Row],[Age]]&lt;55,"45-54","55+"))))</f>
        <v>25-34</v>
      </c>
      <c r="C493" s="3">
        <v>33</v>
      </c>
      <c r="D493" s="3" t="s">
        <v>22</v>
      </c>
      <c r="E493" s="3" t="s">
        <v>16</v>
      </c>
      <c r="F493" s="3" t="s">
        <v>28</v>
      </c>
      <c r="G493" s="3" t="s">
        <v>25</v>
      </c>
      <c r="H493" s="3" t="s">
        <v>11</v>
      </c>
      <c r="I493" s="3">
        <v>97071</v>
      </c>
      <c r="J493" s="3">
        <v>11</v>
      </c>
      <c r="K493" s="3">
        <v>7</v>
      </c>
      <c r="L493" s="3">
        <v>4</v>
      </c>
      <c r="M493" s="3">
        <v>1</v>
      </c>
      <c r="N493" s="3" t="s">
        <v>12</v>
      </c>
      <c r="O493" s="3" t="s">
        <v>13</v>
      </c>
      <c r="P493" s="3">
        <v>3</v>
      </c>
      <c r="Q493" s="3">
        <v>2</v>
      </c>
      <c r="R493" s="4" t="s">
        <v>14</v>
      </c>
      <c r="S493" s="4" t="s">
        <v>14</v>
      </c>
      <c r="T493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494" spans="1:20" ht="18" x14ac:dyDescent="0.35">
      <c r="A494" s="3" t="s">
        <v>537</v>
      </c>
      <c r="B494" s="3" t="str">
        <f>IF(Table1[[#This Row],[Age]]&lt;25,"Under 25",IF(Table1[[#This Row],[Age]]&lt;35,"25-34",IF(Table1[[#This Row],[Age]]&lt;45,"35-44",IF(Table1[[#This Row],[Age]]&lt;55,"45-54","55+"))))</f>
        <v>35-44</v>
      </c>
      <c r="C494" s="3">
        <v>39</v>
      </c>
      <c r="D494" s="3" t="s">
        <v>22</v>
      </c>
      <c r="E494" s="3" t="s">
        <v>38</v>
      </c>
      <c r="F494" s="3" t="s">
        <v>89</v>
      </c>
      <c r="G494" s="3" t="s">
        <v>45</v>
      </c>
      <c r="H494" s="3" t="s">
        <v>11</v>
      </c>
      <c r="I494" s="3">
        <v>108322</v>
      </c>
      <c r="J494" s="3">
        <v>20</v>
      </c>
      <c r="K494" s="3">
        <v>10</v>
      </c>
      <c r="L494" s="3">
        <v>4</v>
      </c>
      <c r="M494" s="3">
        <v>4</v>
      </c>
      <c r="N494" s="3" t="s">
        <v>14</v>
      </c>
      <c r="O494" s="3" t="s">
        <v>13</v>
      </c>
      <c r="P494" s="3">
        <v>3</v>
      </c>
      <c r="Q494" s="3">
        <v>2</v>
      </c>
      <c r="R494" s="4" t="s">
        <v>14</v>
      </c>
      <c r="S494" s="4" t="s">
        <v>14</v>
      </c>
      <c r="T494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495" spans="1:20" ht="18" x14ac:dyDescent="0.35">
      <c r="A495" s="3" t="s">
        <v>538</v>
      </c>
      <c r="B495" s="3" t="str">
        <f>IF(Table1[[#This Row],[Age]]&lt;25,"Under 25",IF(Table1[[#This Row],[Age]]&lt;35,"25-34",IF(Table1[[#This Row],[Age]]&lt;45,"35-44",IF(Table1[[#This Row],[Age]]&lt;55,"45-54","55+"))))</f>
        <v>35-44</v>
      </c>
      <c r="C495" s="3">
        <v>37</v>
      </c>
      <c r="D495" s="3" t="s">
        <v>7</v>
      </c>
      <c r="E495" s="3" t="s">
        <v>8</v>
      </c>
      <c r="F495" s="3" t="s">
        <v>9</v>
      </c>
      <c r="G495" s="3" t="s">
        <v>25</v>
      </c>
      <c r="H495" s="3" t="s">
        <v>19</v>
      </c>
      <c r="I495" s="3">
        <v>65752</v>
      </c>
      <c r="J495" s="3">
        <v>3</v>
      </c>
      <c r="K495" s="3">
        <v>1</v>
      </c>
      <c r="L495" s="3">
        <v>3</v>
      </c>
      <c r="M495" s="3">
        <v>3</v>
      </c>
      <c r="N495" s="3" t="s">
        <v>14</v>
      </c>
      <c r="O495" s="3" t="s">
        <v>13</v>
      </c>
      <c r="P495" s="3">
        <v>2</v>
      </c>
      <c r="Q495" s="3">
        <v>0</v>
      </c>
      <c r="R495" s="4" t="s">
        <v>12</v>
      </c>
      <c r="S495" s="4" t="s">
        <v>14</v>
      </c>
      <c r="T495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496" spans="1:20" ht="18" x14ac:dyDescent="0.35">
      <c r="A496" s="3" t="s">
        <v>539</v>
      </c>
      <c r="B496" s="3" t="str">
        <f>IF(Table1[[#This Row],[Age]]&lt;25,"Under 25",IF(Table1[[#This Row],[Age]]&lt;35,"25-34",IF(Table1[[#This Row],[Age]]&lt;45,"35-44",IF(Table1[[#This Row],[Age]]&lt;55,"45-54","55+"))))</f>
        <v>35-44</v>
      </c>
      <c r="C496" s="3">
        <v>40</v>
      </c>
      <c r="D496" s="3" t="s">
        <v>7</v>
      </c>
      <c r="E496" s="3" t="s">
        <v>31</v>
      </c>
      <c r="F496" s="3" t="s">
        <v>32</v>
      </c>
      <c r="G496" s="3" t="s">
        <v>25</v>
      </c>
      <c r="H496" s="3" t="s">
        <v>11</v>
      </c>
      <c r="I496" s="3">
        <v>30246</v>
      </c>
      <c r="J496" s="3">
        <v>8</v>
      </c>
      <c r="K496" s="3">
        <v>3</v>
      </c>
      <c r="L496" s="3">
        <v>3</v>
      </c>
      <c r="M496" s="3">
        <v>2</v>
      </c>
      <c r="N496" s="3" t="s">
        <v>14</v>
      </c>
      <c r="O496" s="3" t="s">
        <v>13</v>
      </c>
      <c r="P496" s="3">
        <v>3</v>
      </c>
      <c r="Q496" s="3">
        <v>2</v>
      </c>
      <c r="R496" s="4" t="s">
        <v>14</v>
      </c>
      <c r="S496" s="4" t="s">
        <v>14</v>
      </c>
      <c r="T496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497" spans="1:20" ht="18" x14ac:dyDescent="0.35">
      <c r="A497" s="3" t="s">
        <v>540</v>
      </c>
      <c r="B497" s="3" t="str">
        <f>IF(Table1[[#This Row],[Age]]&lt;25,"Under 25",IF(Table1[[#This Row],[Age]]&lt;35,"25-34",IF(Table1[[#This Row],[Age]]&lt;45,"35-44",IF(Table1[[#This Row],[Age]]&lt;55,"45-54","55+"))))</f>
        <v>35-44</v>
      </c>
      <c r="C497" s="3">
        <v>35</v>
      </c>
      <c r="D497" s="3" t="s">
        <v>22</v>
      </c>
      <c r="E497" s="3" t="s">
        <v>38</v>
      </c>
      <c r="F497" s="3" t="s">
        <v>89</v>
      </c>
      <c r="G497" s="3" t="s">
        <v>18</v>
      </c>
      <c r="H497" s="3" t="s">
        <v>11</v>
      </c>
      <c r="I497" s="3">
        <v>51791</v>
      </c>
      <c r="J497" s="3">
        <v>2</v>
      </c>
      <c r="K497" s="3">
        <v>0</v>
      </c>
      <c r="L497" s="3">
        <v>3</v>
      </c>
      <c r="M497" s="3">
        <v>2</v>
      </c>
      <c r="N497" s="3" t="s">
        <v>14</v>
      </c>
      <c r="O497" s="3" t="s">
        <v>20</v>
      </c>
      <c r="P497" s="3">
        <v>3</v>
      </c>
      <c r="Q497" s="3">
        <v>4</v>
      </c>
      <c r="R497" s="4" t="s">
        <v>14</v>
      </c>
      <c r="S497" s="4" t="s">
        <v>14</v>
      </c>
      <c r="T497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498" spans="1:20" ht="18" x14ac:dyDescent="0.35">
      <c r="A498" s="3" t="s">
        <v>541</v>
      </c>
      <c r="B498" s="3" t="str">
        <f>IF(Table1[[#This Row],[Age]]&lt;25,"Under 25",IF(Table1[[#This Row],[Age]]&lt;35,"25-34",IF(Table1[[#This Row],[Age]]&lt;45,"35-44",IF(Table1[[#This Row],[Age]]&lt;55,"45-54","55+"))))</f>
        <v>25-34</v>
      </c>
      <c r="C498" s="3">
        <v>31</v>
      </c>
      <c r="D498" s="3" t="s">
        <v>22</v>
      </c>
      <c r="E498" s="3" t="s">
        <v>31</v>
      </c>
      <c r="F498" s="3" t="s">
        <v>136</v>
      </c>
      <c r="G498" s="3" t="s">
        <v>25</v>
      </c>
      <c r="H498" s="3" t="s">
        <v>19</v>
      </c>
      <c r="I498" s="3">
        <v>38313</v>
      </c>
      <c r="J498" s="3">
        <v>13</v>
      </c>
      <c r="K498" s="3">
        <v>8</v>
      </c>
      <c r="L498" s="3">
        <v>4</v>
      </c>
      <c r="M498" s="3">
        <v>1</v>
      </c>
      <c r="N498" s="3" t="s">
        <v>14</v>
      </c>
      <c r="O498" s="3" t="s">
        <v>13</v>
      </c>
      <c r="P498" s="3">
        <v>3</v>
      </c>
      <c r="Q498" s="3">
        <v>1</v>
      </c>
      <c r="R498" s="4" t="s">
        <v>14</v>
      </c>
      <c r="S498" s="4" t="s">
        <v>14</v>
      </c>
      <c r="T498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499" spans="1:20" ht="18" x14ac:dyDescent="0.35">
      <c r="A499" s="3" t="s">
        <v>542</v>
      </c>
      <c r="B499" s="3" t="str">
        <f>IF(Table1[[#This Row],[Age]]&lt;25,"Under 25",IF(Table1[[#This Row],[Age]]&lt;35,"25-34",IF(Table1[[#This Row],[Age]]&lt;45,"35-44",IF(Table1[[#This Row],[Age]]&lt;55,"45-54","55+"))))</f>
        <v>35-44</v>
      </c>
      <c r="C499" s="3">
        <v>37</v>
      </c>
      <c r="D499" s="3" t="s">
        <v>7</v>
      </c>
      <c r="E499" s="3" t="s">
        <v>8</v>
      </c>
      <c r="F499" s="3" t="s">
        <v>23</v>
      </c>
      <c r="G499" s="3" t="s">
        <v>10</v>
      </c>
      <c r="H499" s="3" t="s">
        <v>11</v>
      </c>
      <c r="I499" s="3">
        <v>76419</v>
      </c>
      <c r="J499" s="3">
        <v>2</v>
      </c>
      <c r="K499" s="3">
        <v>0</v>
      </c>
      <c r="L499" s="3">
        <v>4</v>
      </c>
      <c r="M499" s="3">
        <v>2</v>
      </c>
      <c r="N499" s="3" t="s">
        <v>14</v>
      </c>
      <c r="O499" s="3" t="s">
        <v>13</v>
      </c>
      <c r="P499" s="3">
        <v>3</v>
      </c>
      <c r="Q499" s="3">
        <v>2</v>
      </c>
      <c r="R499" s="4" t="s">
        <v>14</v>
      </c>
      <c r="S499" s="4" t="s">
        <v>14</v>
      </c>
      <c r="T499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500" spans="1:20" ht="18" x14ac:dyDescent="0.35">
      <c r="A500" s="3" t="s">
        <v>543</v>
      </c>
      <c r="B500" s="3" t="str">
        <f>IF(Table1[[#This Row],[Age]]&lt;25,"Under 25",IF(Table1[[#This Row],[Age]]&lt;35,"25-34",IF(Table1[[#This Row],[Age]]&lt;45,"35-44",IF(Table1[[#This Row],[Age]]&lt;55,"45-54","55+"))))</f>
        <v>35-44</v>
      </c>
      <c r="C500" s="3">
        <v>40</v>
      </c>
      <c r="D500" s="3" t="s">
        <v>7</v>
      </c>
      <c r="E500" s="3" t="s">
        <v>8</v>
      </c>
      <c r="F500" s="3" t="s">
        <v>9</v>
      </c>
      <c r="G500" s="3" t="s">
        <v>25</v>
      </c>
      <c r="H500" s="3" t="s">
        <v>11</v>
      </c>
      <c r="I500" s="3">
        <v>99738</v>
      </c>
      <c r="J500" s="3">
        <v>2</v>
      </c>
      <c r="K500" s="3">
        <v>0</v>
      </c>
      <c r="L500" s="3">
        <v>4</v>
      </c>
      <c r="M500" s="3">
        <v>3</v>
      </c>
      <c r="N500" s="3" t="s">
        <v>12</v>
      </c>
      <c r="O500" s="3" t="s">
        <v>20</v>
      </c>
      <c r="P500" s="3">
        <v>3</v>
      </c>
      <c r="Q500" s="3">
        <v>5</v>
      </c>
      <c r="R500" s="4" t="s">
        <v>14</v>
      </c>
      <c r="S500" s="4" t="s">
        <v>14</v>
      </c>
      <c r="T500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501" spans="1:20" ht="18" x14ac:dyDescent="0.35">
      <c r="A501" s="3" t="s">
        <v>544</v>
      </c>
      <c r="B501" s="3" t="str">
        <f>IF(Table1[[#This Row],[Age]]&lt;25,"Under 25",IF(Table1[[#This Row],[Age]]&lt;35,"25-34",IF(Table1[[#This Row],[Age]]&lt;45,"35-44",IF(Table1[[#This Row],[Age]]&lt;55,"45-54","55+"))))</f>
        <v>25-34</v>
      </c>
      <c r="C501" s="3">
        <v>32</v>
      </c>
      <c r="D501" s="3" t="s">
        <v>22</v>
      </c>
      <c r="E501" s="3" t="s">
        <v>51</v>
      </c>
      <c r="F501" s="3" t="s">
        <v>80</v>
      </c>
      <c r="G501" s="3" t="s">
        <v>25</v>
      </c>
      <c r="H501" s="3" t="s">
        <v>11</v>
      </c>
      <c r="I501" s="3">
        <v>72403</v>
      </c>
      <c r="J501" s="3">
        <v>8</v>
      </c>
      <c r="K501" s="3">
        <v>2</v>
      </c>
      <c r="L501" s="3">
        <v>3</v>
      </c>
      <c r="M501" s="3">
        <v>1</v>
      </c>
      <c r="N501" s="3" t="s">
        <v>12</v>
      </c>
      <c r="O501" s="3" t="s">
        <v>20</v>
      </c>
      <c r="P501" s="3">
        <v>3</v>
      </c>
      <c r="Q501" s="3">
        <v>3</v>
      </c>
      <c r="R501" s="4" t="s">
        <v>12</v>
      </c>
      <c r="S501" s="4" t="s">
        <v>14</v>
      </c>
      <c r="T501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502" spans="1:20" ht="18" x14ac:dyDescent="0.35">
      <c r="A502" s="3" t="s">
        <v>545</v>
      </c>
      <c r="B502" s="3" t="str">
        <f>IF(Table1[[#This Row],[Age]]&lt;25,"Under 25",IF(Table1[[#This Row],[Age]]&lt;35,"25-34",IF(Table1[[#This Row],[Age]]&lt;45,"35-44",IF(Table1[[#This Row],[Age]]&lt;55,"45-54","55+"))))</f>
        <v>Under 25</v>
      </c>
      <c r="C502" s="3">
        <v>21</v>
      </c>
      <c r="D502" s="3" t="s">
        <v>7</v>
      </c>
      <c r="E502" s="3" t="s">
        <v>38</v>
      </c>
      <c r="F502" s="3" t="s">
        <v>39</v>
      </c>
      <c r="G502" s="3" t="s">
        <v>10</v>
      </c>
      <c r="H502" s="3" t="s">
        <v>19</v>
      </c>
      <c r="I502" s="3">
        <v>52970</v>
      </c>
      <c r="J502" s="3">
        <v>1</v>
      </c>
      <c r="K502" s="3">
        <v>1</v>
      </c>
      <c r="L502" s="3">
        <v>1</v>
      </c>
      <c r="M502" s="3">
        <v>2</v>
      </c>
      <c r="N502" s="3" t="s">
        <v>14</v>
      </c>
      <c r="O502" s="3" t="s">
        <v>13</v>
      </c>
      <c r="P502" s="3">
        <v>3</v>
      </c>
      <c r="Q502" s="3">
        <v>2</v>
      </c>
      <c r="R502" s="4" t="s">
        <v>14</v>
      </c>
      <c r="S502" s="4" t="s">
        <v>14</v>
      </c>
      <c r="T502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503" spans="1:20" ht="18" x14ac:dyDescent="0.35">
      <c r="A503" s="3" t="s">
        <v>546</v>
      </c>
      <c r="B503" s="3" t="str">
        <f>IF(Table1[[#This Row],[Age]]&lt;25,"Under 25",IF(Table1[[#This Row],[Age]]&lt;35,"25-34",IF(Table1[[#This Row],[Age]]&lt;45,"35-44",IF(Table1[[#This Row],[Age]]&lt;55,"45-54","55+"))))</f>
        <v>35-44</v>
      </c>
      <c r="C503" s="3">
        <v>38</v>
      </c>
      <c r="D503" s="3" t="s">
        <v>7</v>
      </c>
      <c r="E503" s="3" t="s">
        <v>16</v>
      </c>
      <c r="F503" s="3" t="s">
        <v>47</v>
      </c>
      <c r="G503" s="3" t="s">
        <v>45</v>
      </c>
      <c r="H503" s="3" t="s">
        <v>11</v>
      </c>
      <c r="I503" s="3">
        <v>77811</v>
      </c>
      <c r="J503" s="3">
        <v>2</v>
      </c>
      <c r="K503" s="3">
        <v>0</v>
      </c>
      <c r="L503" s="3">
        <v>1</v>
      </c>
      <c r="M503" s="3">
        <v>3</v>
      </c>
      <c r="N503" s="3" t="s">
        <v>14</v>
      </c>
      <c r="O503" s="3" t="s">
        <v>13</v>
      </c>
      <c r="P503" s="3">
        <v>3</v>
      </c>
      <c r="Q503" s="3">
        <v>6</v>
      </c>
      <c r="R503" s="4" t="s">
        <v>14</v>
      </c>
      <c r="S503" s="4" t="s">
        <v>12</v>
      </c>
      <c r="T503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504" spans="1:20" ht="18" x14ac:dyDescent="0.35">
      <c r="A504" s="3" t="s">
        <v>547</v>
      </c>
      <c r="B504" s="3" t="str">
        <f>IF(Table1[[#This Row],[Age]]&lt;25,"Under 25",IF(Table1[[#This Row],[Age]]&lt;35,"25-34",IF(Table1[[#This Row],[Age]]&lt;45,"35-44",IF(Table1[[#This Row],[Age]]&lt;55,"45-54","55+"))))</f>
        <v>35-44</v>
      </c>
      <c r="C504" s="3">
        <v>39</v>
      </c>
      <c r="D504" s="3" t="s">
        <v>22</v>
      </c>
      <c r="E504" s="3" t="s">
        <v>16</v>
      </c>
      <c r="F504" s="3" t="s">
        <v>17</v>
      </c>
      <c r="G504" s="3" t="s">
        <v>25</v>
      </c>
      <c r="H504" s="3" t="s">
        <v>11</v>
      </c>
      <c r="I504" s="3">
        <v>28792</v>
      </c>
      <c r="J504" s="3">
        <v>8</v>
      </c>
      <c r="K504" s="3">
        <v>5</v>
      </c>
      <c r="L504" s="3">
        <v>3</v>
      </c>
      <c r="M504" s="3">
        <v>4</v>
      </c>
      <c r="N504" s="3" t="s">
        <v>14</v>
      </c>
      <c r="O504" s="3" t="s">
        <v>13</v>
      </c>
      <c r="P504" s="3">
        <v>3</v>
      </c>
      <c r="Q504" s="3">
        <v>0</v>
      </c>
      <c r="R504" s="4" t="s">
        <v>14</v>
      </c>
      <c r="S504" s="4" t="s">
        <v>14</v>
      </c>
      <c r="T504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505" spans="1:20" ht="18" x14ac:dyDescent="0.35">
      <c r="A505" s="3" t="s">
        <v>548</v>
      </c>
      <c r="B505" s="3" t="str">
        <f>IF(Table1[[#This Row],[Age]]&lt;25,"Under 25",IF(Table1[[#This Row],[Age]]&lt;35,"25-34",IF(Table1[[#This Row],[Age]]&lt;45,"35-44",IF(Table1[[#This Row],[Age]]&lt;55,"45-54","55+"))))</f>
        <v>55+</v>
      </c>
      <c r="C505" s="3">
        <v>55</v>
      </c>
      <c r="D505" s="3" t="s">
        <v>7</v>
      </c>
      <c r="E505" s="3" t="s">
        <v>34</v>
      </c>
      <c r="F505" s="3" t="s">
        <v>91</v>
      </c>
      <c r="G505" s="3" t="s">
        <v>10</v>
      </c>
      <c r="H505" s="3" t="s">
        <v>19</v>
      </c>
      <c r="I505" s="3">
        <v>52724</v>
      </c>
      <c r="J505" s="3">
        <v>10</v>
      </c>
      <c r="K505" s="3">
        <v>3</v>
      </c>
      <c r="L505" s="3">
        <v>4</v>
      </c>
      <c r="M505" s="3">
        <v>4</v>
      </c>
      <c r="N505" s="3" t="s">
        <v>14</v>
      </c>
      <c r="O505" s="3" t="s">
        <v>13</v>
      </c>
      <c r="P505" s="3">
        <v>2</v>
      </c>
      <c r="Q505" s="3">
        <v>2</v>
      </c>
      <c r="R505" s="4" t="s">
        <v>12</v>
      </c>
      <c r="S505" s="4" t="s">
        <v>14</v>
      </c>
      <c r="T505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506" spans="1:20" ht="18" x14ac:dyDescent="0.35">
      <c r="A506" s="3" t="s">
        <v>549</v>
      </c>
      <c r="B506" s="3" t="str">
        <f>IF(Table1[[#This Row],[Age]]&lt;25,"Under 25",IF(Table1[[#This Row],[Age]]&lt;35,"25-34",IF(Table1[[#This Row],[Age]]&lt;45,"35-44",IF(Table1[[#This Row],[Age]]&lt;55,"45-54","55+"))))</f>
        <v>35-44</v>
      </c>
      <c r="C506" s="3">
        <v>38</v>
      </c>
      <c r="D506" s="3" t="s">
        <v>7</v>
      </c>
      <c r="E506" s="3" t="s">
        <v>38</v>
      </c>
      <c r="F506" s="3" t="s">
        <v>59</v>
      </c>
      <c r="G506" s="3" t="s">
        <v>18</v>
      </c>
      <c r="H506" s="3" t="s">
        <v>42</v>
      </c>
      <c r="I506" s="3">
        <v>78449</v>
      </c>
      <c r="J506" s="3">
        <v>2</v>
      </c>
      <c r="K506" s="3">
        <v>0</v>
      </c>
      <c r="L506" s="3">
        <v>2</v>
      </c>
      <c r="M506" s="3">
        <v>4</v>
      </c>
      <c r="N506" s="3" t="s">
        <v>14</v>
      </c>
      <c r="O506" s="3" t="s">
        <v>13</v>
      </c>
      <c r="P506" s="3">
        <v>3</v>
      </c>
      <c r="Q506" s="3">
        <v>6</v>
      </c>
      <c r="R506" s="4" t="s">
        <v>14</v>
      </c>
      <c r="S506" s="4" t="s">
        <v>14</v>
      </c>
      <c r="T506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507" spans="1:20" ht="18" x14ac:dyDescent="0.35">
      <c r="A507" s="3" t="s">
        <v>550</v>
      </c>
      <c r="B507" s="3" t="str">
        <f>IF(Table1[[#This Row],[Age]]&lt;25,"Under 25",IF(Table1[[#This Row],[Age]]&lt;35,"25-34",IF(Table1[[#This Row],[Age]]&lt;45,"35-44",IF(Table1[[#This Row],[Age]]&lt;55,"45-54","55+"))))</f>
        <v>35-44</v>
      </c>
      <c r="C507" s="3">
        <v>35</v>
      </c>
      <c r="D507" s="3" t="s">
        <v>7</v>
      </c>
      <c r="E507" s="3" t="s">
        <v>51</v>
      </c>
      <c r="F507" s="3" t="s">
        <v>72</v>
      </c>
      <c r="G507" s="3" t="s">
        <v>25</v>
      </c>
      <c r="H507" s="3" t="s">
        <v>11</v>
      </c>
      <c r="I507" s="3">
        <v>79588</v>
      </c>
      <c r="J507" s="3">
        <v>5</v>
      </c>
      <c r="K507" s="3">
        <v>1</v>
      </c>
      <c r="L507" s="3">
        <v>3</v>
      </c>
      <c r="M507" s="3">
        <v>2</v>
      </c>
      <c r="N507" s="3" t="s">
        <v>14</v>
      </c>
      <c r="O507" s="3" t="s">
        <v>13</v>
      </c>
      <c r="P507" s="3">
        <v>3</v>
      </c>
      <c r="Q507" s="3">
        <v>0</v>
      </c>
      <c r="R507" s="4" t="s">
        <v>12</v>
      </c>
      <c r="S507" s="4" t="s">
        <v>14</v>
      </c>
      <c r="T507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508" spans="1:20" ht="18" x14ac:dyDescent="0.35">
      <c r="A508" s="3" t="s">
        <v>551</v>
      </c>
      <c r="B508" s="3" t="str">
        <f>IF(Table1[[#This Row],[Age]]&lt;25,"Under 25",IF(Table1[[#This Row],[Age]]&lt;35,"25-34",IF(Table1[[#This Row],[Age]]&lt;45,"35-44",IF(Table1[[#This Row],[Age]]&lt;55,"45-54","55+"))))</f>
        <v>35-44</v>
      </c>
      <c r="C508" s="3">
        <v>39</v>
      </c>
      <c r="D508" s="3" t="s">
        <v>22</v>
      </c>
      <c r="E508" s="3" t="s">
        <v>34</v>
      </c>
      <c r="F508" s="3" t="s">
        <v>35</v>
      </c>
      <c r="G508" s="3" t="s">
        <v>10</v>
      </c>
      <c r="H508" s="3" t="s">
        <v>42</v>
      </c>
      <c r="I508" s="3">
        <v>60815</v>
      </c>
      <c r="J508" s="3">
        <v>5</v>
      </c>
      <c r="K508" s="3">
        <v>0</v>
      </c>
      <c r="L508" s="3">
        <v>3</v>
      </c>
      <c r="M508" s="3">
        <v>3</v>
      </c>
      <c r="N508" s="3" t="s">
        <v>12</v>
      </c>
      <c r="O508" s="3" t="s">
        <v>20</v>
      </c>
      <c r="P508" s="3">
        <v>3</v>
      </c>
      <c r="Q508" s="3">
        <v>2</v>
      </c>
      <c r="R508" s="4" t="s">
        <v>12</v>
      </c>
      <c r="S508" s="4" t="s">
        <v>14</v>
      </c>
      <c r="T508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509" spans="1:20" ht="18" x14ac:dyDescent="0.35">
      <c r="A509" s="3" t="s">
        <v>552</v>
      </c>
      <c r="B509" s="3" t="str">
        <f>IF(Table1[[#This Row],[Age]]&lt;25,"Under 25",IF(Table1[[#This Row],[Age]]&lt;35,"25-34",IF(Table1[[#This Row],[Age]]&lt;45,"35-44",IF(Table1[[#This Row],[Age]]&lt;55,"45-54","55+"))))</f>
        <v>25-34</v>
      </c>
      <c r="C509" s="3">
        <v>27</v>
      </c>
      <c r="D509" s="3" t="s">
        <v>7</v>
      </c>
      <c r="E509" s="3" t="s">
        <v>38</v>
      </c>
      <c r="F509" s="3" t="s">
        <v>89</v>
      </c>
      <c r="G509" s="3" t="s">
        <v>45</v>
      </c>
      <c r="H509" s="3" t="s">
        <v>19</v>
      </c>
      <c r="I509" s="3">
        <v>92618</v>
      </c>
      <c r="J509" s="3">
        <v>2</v>
      </c>
      <c r="K509" s="3">
        <v>2</v>
      </c>
      <c r="L509" s="3">
        <v>3</v>
      </c>
      <c r="M509" s="3">
        <v>2</v>
      </c>
      <c r="N509" s="3" t="s">
        <v>14</v>
      </c>
      <c r="O509" s="3" t="s">
        <v>20</v>
      </c>
      <c r="P509" s="3">
        <v>3</v>
      </c>
      <c r="Q509" s="3">
        <v>3</v>
      </c>
      <c r="R509" s="4" t="s">
        <v>14</v>
      </c>
      <c r="S509" s="4" t="s">
        <v>14</v>
      </c>
      <c r="T509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510" spans="1:20" ht="18" x14ac:dyDescent="0.35">
      <c r="A510" s="3" t="s">
        <v>553</v>
      </c>
      <c r="B510" s="3" t="str">
        <f>IF(Table1[[#This Row],[Age]]&lt;25,"Under 25",IF(Table1[[#This Row],[Age]]&lt;35,"25-34",IF(Table1[[#This Row],[Age]]&lt;45,"35-44",IF(Table1[[#This Row],[Age]]&lt;55,"45-54","55+"))))</f>
        <v>35-44</v>
      </c>
      <c r="C510" s="3">
        <v>41</v>
      </c>
      <c r="D510" s="3" t="s">
        <v>7</v>
      </c>
      <c r="E510" s="3" t="s">
        <v>16</v>
      </c>
      <c r="F510" s="3" t="s">
        <v>17</v>
      </c>
      <c r="G510" s="3" t="s">
        <v>25</v>
      </c>
      <c r="H510" s="3" t="s">
        <v>19</v>
      </c>
      <c r="I510" s="3">
        <v>65876</v>
      </c>
      <c r="J510" s="3">
        <v>10</v>
      </c>
      <c r="K510" s="3">
        <v>6</v>
      </c>
      <c r="L510" s="3">
        <v>1</v>
      </c>
      <c r="M510" s="3">
        <v>2</v>
      </c>
      <c r="N510" s="3" t="s">
        <v>14</v>
      </c>
      <c r="O510" s="3" t="s">
        <v>26</v>
      </c>
      <c r="P510" s="3">
        <v>3</v>
      </c>
      <c r="Q510" s="3">
        <v>1</v>
      </c>
      <c r="R510" s="4" t="s">
        <v>14</v>
      </c>
      <c r="S510" s="4" t="s">
        <v>14</v>
      </c>
      <c r="T510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511" spans="1:20" ht="18" x14ac:dyDescent="0.35">
      <c r="A511" s="3" t="s">
        <v>554</v>
      </c>
      <c r="B511" s="3" t="str">
        <f>IF(Table1[[#This Row],[Age]]&lt;25,"Under 25",IF(Table1[[#This Row],[Age]]&lt;35,"25-34",IF(Table1[[#This Row],[Age]]&lt;45,"35-44",IF(Table1[[#This Row],[Age]]&lt;55,"45-54","55+"))))</f>
        <v>35-44</v>
      </c>
      <c r="C511" s="3">
        <v>40</v>
      </c>
      <c r="D511" s="3" t="s">
        <v>7</v>
      </c>
      <c r="E511" s="3" t="s">
        <v>38</v>
      </c>
      <c r="F511" s="3" t="s">
        <v>39</v>
      </c>
      <c r="G511" s="3" t="s">
        <v>10</v>
      </c>
      <c r="H511" s="3" t="s">
        <v>19</v>
      </c>
      <c r="I511" s="3">
        <v>77691</v>
      </c>
      <c r="J511" s="3">
        <v>17</v>
      </c>
      <c r="K511" s="3">
        <v>4</v>
      </c>
      <c r="L511" s="3">
        <v>3</v>
      </c>
      <c r="M511" s="3">
        <v>3</v>
      </c>
      <c r="N511" s="3" t="s">
        <v>14</v>
      </c>
      <c r="O511" s="3" t="s">
        <v>20</v>
      </c>
      <c r="P511" s="3">
        <v>3</v>
      </c>
      <c r="Q511" s="3">
        <v>1</v>
      </c>
      <c r="R511" s="4" t="s">
        <v>14</v>
      </c>
      <c r="S511" s="4" t="s">
        <v>14</v>
      </c>
      <c r="T511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512" spans="1:20" ht="18" x14ac:dyDescent="0.35">
      <c r="A512" s="3" t="s">
        <v>555</v>
      </c>
      <c r="B512" s="3" t="str">
        <f>IF(Table1[[#This Row],[Age]]&lt;25,"Under 25",IF(Table1[[#This Row],[Age]]&lt;35,"25-34",IF(Table1[[#This Row],[Age]]&lt;45,"35-44",IF(Table1[[#This Row],[Age]]&lt;55,"45-54","55+"))))</f>
        <v>35-44</v>
      </c>
      <c r="C512" s="3">
        <v>38</v>
      </c>
      <c r="D512" s="3" t="s">
        <v>22</v>
      </c>
      <c r="E512" s="3" t="s">
        <v>51</v>
      </c>
      <c r="F512" s="3" t="s">
        <v>80</v>
      </c>
      <c r="G512" s="3" t="s">
        <v>25</v>
      </c>
      <c r="H512" s="3" t="s">
        <v>42</v>
      </c>
      <c r="I512" s="3">
        <v>101665</v>
      </c>
      <c r="J512" s="3">
        <v>7</v>
      </c>
      <c r="K512" s="3">
        <v>6</v>
      </c>
      <c r="L512" s="3">
        <v>4</v>
      </c>
      <c r="M512" s="3">
        <v>3</v>
      </c>
      <c r="N512" s="3" t="s">
        <v>14</v>
      </c>
      <c r="O512" s="3" t="s">
        <v>26</v>
      </c>
      <c r="P512" s="3">
        <v>3</v>
      </c>
      <c r="Q512" s="3">
        <v>0</v>
      </c>
      <c r="R512" s="4" t="s">
        <v>14</v>
      </c>
      <c r="S512" s="4" t="s">
        <v>14</v>
      </c>
      <c r="T512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513" spans="1:20" ht="18" x14ac:dyDescent="0.35">
      <c r="A513" s="3" t="s">
        <v>556</v>
      </c>
      <c r="B513" s="3" t="str">
        <f>IF(Table1[[#This Row],[Age]]&lt;25,"Under 25",IF(Table1[[#This Row],[Age]]&lt;35,"25-34",IF(Table1[[#This Row],[Age]]&lt;45,"35-44",IF(Table1[[#This Row],[Age]]&lt;55,"45-54","55+"))))</f>
        <v>25-34</v>
      </c>
      <c r="C513" s="3">
        <v>30</v>
      </c>
      <c r="D513" s="3" t="s">
        <v>22</v>
      </c>
      <c r="E513" s="3" t="s">
        <v>16</v>
      </c>
      <c r="F513" s="3" t="s">
        <v>28</v>
      </c>
      <c r="G513" s="3" t="s">
        <v>10</v>
      </c>
      <c r="H513" s="3" t="s">
        <v>11</v>
      </c>
      <c r="I513" s="3">
        <v>54567</v>
      </c>
      <c r="J513" s="3">
        <v>7</v>
      </c>
      <c r="K513" s="3">
        <v>7</v>
      </c>
      <c r="L513" s="3">
        <v>3</v>
      </c>
      <c r="M513" s="3">
        <v>2</v>
      </c>
      <c r="N513" s="3" t="s">
        <v>14</v>
      </c>
      <c r="O513" s="3" t="s">
        <v>13</v>
      </c>
      <c r="P513" s="3">
        <v>2</v>
      </c>
      <c r="Q513" s="3">
        <v>5</v>
      </c>
      <c r="R513" s="4" t="s">
        <v>14</v>
      </c>
      <c r="S513" s="4" t="s">
        <v>14</v>
      </c>
      <c r="T513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514" spans="1:20" ht="18" x14ac:dyDescent="0.35">
      <c r="A514" s="3" t="s">
        <v>557</v>
      </c>
      <c r="B514" s="3" t="str">
        <f>IF(Table1[[#This Row],[Age]]&lt;25,"Under 25",IF(Table1[[#This Row],[Age]]&lt;35,"25-34",IF(Table1[[#This Row],[Age]]&lt;45,"35-44",IF(Table1[[#This Row],[Age]]&lt;55,"45-54","55+"))))</f>
        <v>25-34</v>
      </c>
      <c r="C514" s="3">
        <v>31</v>
      </c>
      <c r="D514" s="3" t="s">
        <v>22</v>
      </c>
      <c r="E514" s="3" t="s">
        <v>8</v>
      </c>
      <c r="F514" s="3" t="s">
        <v>23</v>
      </c>
      <c r="G514" s="3" t="s">
        <v>45</v>
      </c>
      <c r="H514" s="3" t="s">
        <v>11</v>
      </c>
      <c r="I514" s="3">
        <v>74265</v>
      </c>
      <c r="J514" s="3">
        <v>10</v>
      </c>
      <c r="K514" s="3">
        <v>0</v>
      </c>
      <c r="L514" s="3">
        <v>3</v>
      </c>
      <c r="M514" s="3">
        <v>3</v>
      </c>
      <c r="N514" s="3" t="s">
        <v>14</v>
      </c>
      <c r="O514" s="3" t="s">
        <v>13</v>
      </c>
      <c r="P514" s="3">
        <v>3</v>
      </c>
      <c r="Q514" s="3">
        <v>4</v>
      </c>
      <c r="R514" s="4" t="s">
        <v>14</v>
      </c>
      <c r="S514" s="4" t="s">
        <v>14</v>
      </c>
      <c r="T514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515" spans="1:20" ht="18" x14ac:dyDescent="0.35">
      <c r="A515" s="3" t="s">
        <v>558</v>
      </c>
      <c r="B515" s="3" t="str">
        <f>IF(Table1[[#This Row],[Age]]&lt;25,"Under 25",IF(Table1[[#This Row],[Age]]&lt;35,"25-34",IF(Table1[[#This Row],[Age]]&lt;45,"35-44",IF(Table1[[#This Row],[Age]]&lt;55,"45-54","55+"))))</f>
        <v>45-54</v>
      </c>
      <c r="C515" s="3">
        <v>52</v>
      </c>
      <c r="D515" s="3" t="s">
        <v>7</v>
      </c>
      <c r="E515" s="3" t="s">
        <v>8</v>
      </c>
      <c r="F515" s="3" t="s">
        <v>9</v>
      </c>
      <c r="G515" s="3" t="s">
        <v>25</v>
      </c>
      <c r="H515" s="3" t="s">
        <v>19</v>
      </c>
      <c r="I515" s="3">
        <v>48716</v>
      </c>
      <c r="J515" s="3">
        <v>20</v>
      </c>
      <c r="K515" s="3">
        <v>4</v>
      </c>
      <c r="L515" s="3">
        <v>3</v>
      </c>
      <c r="M515" s="3">
        <v>1</v>
      </c>
      <c r="N515" s="3" t="s">
        <v>12</v>
      </c>
      <c r="O515" s="3" t="s">
        <v>20</v>
      </c>
      <c r="P515" s="3">
        <v>2</v>
      </c>
      <c r="Q515" s="3">
        <v>4</v>
      </c>
      <c r="R515" s="4" t="s">
        <v>14</v>
      </c>
      <c r="S515" s="4" t="s">
        <v>12</v>
      </c>
      <c r="T515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516" spans="1:20" ht="18" x14ac:dyDescent="0.35">
      <c r="A516" s="3" t="s">
        <v>559</v>
      </c>
      <c r="B516" s="3" t="str">
        <f>IF(Table1[[#This Row],[Age]]&lt;25,"Under 25",IF(Table1[[#This Row],[Age]]&lt;35,"25-34",IF(Table1[[#This Row],[Age]]&lt;45,"35-44",IF(Table1[[#This Row],[Age]]&lt;55,"45-54","55+"))))</f>
        <v>45-54</v>
      </c>
      <c r="C516" s="3">
        <v>49</v>
      </c>
      <c r="D516" s="3" t="s">
        <v>7</v>
      </c>
      <c r="E516" s="3" t="s">
        <v>8</v>
      </c>
      <c r="F516" s="3" t="s">
        <v>23</v>
      </c>
      <c r="G516" s="3" t="s">
        <v>10</v>
      </c>
      <c r="H516" s="3" t="s">
        <v>19</v>
      </c>
      <c r="I516" s="3">
        <v>60749</v>
      </c>
      <c r="J516" s="3">
        <v>21</v>
      </c>
      <c r="K516" s="3">
        <v>5</v>
      </c>
      <c r="L516" s="3">
        <v>3</v>
      </c>
      <c r="M516" s="3">
        <v>3</v>
      </c>
      <c r="N516" s="3" t="s">
        <v>14</v>
      </c>
      <c r="O516" s="3" t="s">
        <v>13</v>
      </c>
      <c r="P516" s="3">
        <v>4</v>
      </c>
      <c r="Q516" s="3">
        <v>3</v>
      </c>
      <c r="R516" s="4" t="s">
        <v>14</v>
      </c>
      <c r="S516" s="4" t="s">
        <v>14</v>
      </c>
      <c r="T516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517" spans="1:20" ht="18" x14ac:dyDescent="0.35">
      <c r="A517" s="3" t="s">
        <v>560</v>
      </c>
      <c r="B517" s="3" t="str">
        <f>IF(Table1[[#This Row],[Age]]&lt;25,"Under 25",IF(Table1[[#This Row],[Age]]&lt;35,"25-34",IF(Table1[[#This Row],[Age]]&lt;45,"35-44",IF(Table1[[#This Row],[Age]]&lt;55,"45-54","55+"))))</f>
        <v>25-34</v>
      </c>
      <c r="C517" s="3">
        <v>34</v>
      </c>
      <c r="D517" s="3" t="s">
        <v>7</v>
      </c>
      <c r="E517" s="3" t="s">
        <v>8</v>
      </c>
      <c r="F517" s="3" t="s">
        <v>9</v>
      </c>
      <c r="G517" s="3" t="s">
        <v>10</v>
      </c>
      <c r="H517" s="3" t="s">
        <v>19</v>
      </c>
      <c r="I517" s="3">
        <v>72126</v>
      </c>
      <c r="J517" s="3">
        <v>4</v>
      </c>
      <c r="K517" s="3">
        <v>2</v>
      </c>
      <c r="L517" s="3">
        <v>4</v>
      </c>
      <c r="M517" s="3">
        <v>4</v>
      </c>
      <c r="N517" s="3" t="s">
        <v>12</v>
      </c>
      <c r="O517" s="3" t="s">
        <v>26</v>
      </c>
      <c r="P517" s="3">
        <v>4</v>
      </c>
      <c r="Q517" s="3">
        <v>1</v>
      </c>
      <c r="R517" s="4" t="s">
        <v>14</v>
      </c>
      <c r="S517" s="4" t="s">
        <v>14</v>
      </c>
      <c r="T517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518" spans="1:20" ht="18" x14ac:dyDescent="0.35">
      <c r="A518" s="3" t="s">
        <v>561</v>
      </c>
      <c r="B518" s="3" t="str">
        <f>IF(Table1[[#This Row],[Age]]&lt;25,"Under 25",IF(Table1[[#This Row],[Age]]&lt;35,"25-34",IF(Table1[[#This Row],[Age]]&lt;45,"35-44",IF(Table1[[#This Row],[Age]]&lt;55,"45-54","55+"))))</f>
        <v>25-34</v>
      </c>
      <c r="C518" s="3">
        <v>25</v>
      </c>
      <c r="D518" s="3" t="s">
        <v>7</v>
      </c>
      <c r="E518" s="3" t="s">
        <v>31</v>
      </c>
      <c r="F518" s="3" t="s">
        <v>74</v>
      </c>
      <c r="G518" s="3" t="s">
        <v>18</v>
      </c>
      <c r="H518" s="3" t="s">
        <v>11</v>
      </c>
      <c r="I518" s="3">
        <v>44385</v>
      </c>
      <c r="J518" s="3">
        <v>4</v>
      </c>
      <c r="K518" s="3">
        <v>0</v>
      </c>
      <c r="L518" s="3">
        <v>3</v>
      </c>
      <c r="M518" s="3">
        <v>3</v>
      </c>
      <c r="N518" s="3" t="s">
        <v>12</v>
      </c>
      <c r="O518" s="3" t="s">
        <v>20</v>
      </c>
      <c r="P518" s="3">
        <v>3</v>
      </c>
      <c r="Q518" s="3">
        <v>0</v>
      </c>
      <c r="R518" s="4" t="s">
        <v>14</v>
      </c>
      <c r="S518" s="4" t="s">
        <v>14</v>
      </c>
      <c r="T518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519" spans="1:20" ht="18" x14ac:dyDescent="0.35">
      <c r="A519" s="3" t="s">
        <v>562</v>
      </c>
      <c r="B519" s="3" t="str">
        <f>IF(Table1[[#This Row],[Age]]&lt;25,"Under 25",IF(Table1[[#This Row],[Age]]&lt;35,"25-34",IF(Table1[[#This Row],[Age]]&lt;45,"35-44",IF(Table1[[#This Row],[Age]]&lt;55,"45-54","55+"))))</f>
        <v>45-54</v>
      </c>
      <c r="C519" s="3">
        <v>54</v>
      </c>
      <c r="D519" s="3" t="s">
        <v>7</v>
      </c>
      <c r="E519" s="3" t="s">
        <v>8</v>
      </c>
      <c r="F519" s="3" t="s">
        <v>23</v>
      </c>
      <c r="G519" s="3" t="s">
        <v>10</v>
      </c>
      <c r="H519" s="3" t="s">
        <v>11</v>
      </c>
      <c r="I519" s="3">
        <v>108403</v>
      </c>
      <c r="J519" s="3">
        <v>13</v>
      </c>
      <c r="K519" s="3">
        <v>6</v>
      </c>
      <c r="L519" s="3">
        <v>1</v>
      </c>
      <c r="M519" s="3">
        <v>1</v>
      </c>
      <c r="N519" s="3" t="s">
        <v>14</v>
      </c>
      <c r="O519" s="3" t="s">
        <v>13</v>
      </c>
      <c r="P519" s="3">
        <v>3</v>
      </c>
      <c r="Q519" s="3">
        <v>4</v>
      </c>
      <c r="R519" s="4" t="s">
        <v>14</v>
      </c>
      <c r="S519" s="4" t="s">
        <v>14</v>
      </c>
      <c r="T519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520" spans="1:20" ht="18" x14ac:dyDescent="0.35">
      <c r="A520" s="3" t="s">
        <v>563</v>
      </c>
      <c r="B520" s="3" t="str">
        <f>IF(Table1[[#This Row],[Age]]&lt;25,"Under 25",IF(Table1[[#This Row],[Age]]&lt;35,"25-34",IF(Table1[[#This Row],[Age]]&lt;45,"35-44",IF(Table1[[#This Row],[Age]]&lt;55,"45-54","55+"))))</f>
        <v>Under 25</v>
      </c>
      <c r="C520" s="3">
        <v>21</v>
      </c>
      <c r="D520" s="3" t="s">
        <v>22</v>
      </c>
      <c r="E520" s="3" t="s">
        <v>16</v>
      </c>
      <c r="F520" s="3" t="s">
        <v>47</v>
      </c>
      <c r="G520" s="3" t="s">
        <v>25</v>
      </c>
      <c r="H520" s="3" t="s">
        <v>11</v>
      </c>
      <c r="I520" s="3">
        <v>57319</v>
      </c>
      <c r="J520" s="3">
        <v>3</v>
      </c>
      <c r="K520" s="3">
        <v>0</v>
      </c>
      <c r="L520" s="3">
        <v>1</v>
      </c>
      <c r="M520" s="3">
        <v>2</v>
      </c>
      <c r="N520" s="3" t="s">
        <v>12</v>
      </c>
      <c r="O520" s="3" t="s">
        <v>13</v>
      </c>
      <c r="P520" s="3">
        <v>3</v>
      </c>
      <c r="Q520" s="3">
        <v>0</v>
      </c>
      <c r="R520" s="4" t="s">
        <v>14</v>
      </c>
      <c r="S520" s="4" t="s">
        <v>14</v>
      </c>
      <c r="T520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521" spans="1:20" ht="18" x14ac:dyDescent="0.35">
      <c r="A521" s="3" t="s">
        <v>564</v>
      </c>
      <c r="B521" s="3" t="str">
        <f>IF(Table1[[#This Row],[Age]]&lt;25,"Under 25",IF(Table1[[#This Row],[Age]]&lt;35,"25-34",IF(Table1[[#This Row],[Age]]&lt;45,"35-44",IF(Table1[[#This Row],[Age]]&lt;55,"45-54","55+"))))</f>
        <v>25-34</v>
      </c>
      <c r="C521" s="3">
        <v>30</v>
      </c>
      <c r="D521" s="3" t="s">
        <v>7</v>
      </c>
      <c r="E521" s="3" t="s">
        <v>38</v>
      </c>
      <c r="F521" s="3" t="s">
        <v>89</v>
      </c>
      <c r="G521" s="3" t="s">
        <v>25</v>
      </c>
      <c r="H521" s="3" t="s">
        <v>19</v>
      </c>
      <c r="I521" s="3">
        <v>54823</v>
      </c>
      <c r="J521" s="3">
        <v>7</v>
      </c>
      <c r="K521" s="3">
        <v>3</v>
      </c>
      <c r="L521" s="3">
        <v>1</v>
      </c>
      <c r="M521" s="3">
        <v>1</v>
      </c>
      <c r="N521" s="3" t="s">
        <v>12</v>
      </c>
      <c r="O521" s="3" t="s">
        <v>13</v>
      </c>
      <c r="P521" s="3">
        <v>3</v>
      </c>
      <c r="Q521" s="3">
        <v>3</v>
      </c>
      <c r="R521" s="4" t="s">
        <v>14</v>
      </c>
      <c r="S521" s="4" t="s">
        <v>14</v>
      </c>
      <c r="T521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522" spans="1:20" ht="18" x14ac:dyDescent="0.35">
      <c r="A522" s="3" t="s">
        <v>565</v>
      </c>
      <c r="B522" s="3" t="str">
        <f>IF(Table1[[#This Row],[Age]]&lt;25,"Under 25",IF(Table1[[#This Row],[Age]]&lt;35,"25-34",IF(Table1[[#This Row],[Age]]&lt;45,"35-44",IF(Table1[[#This Row],[Age]]&lt;55,"45-54","55+"))))</f>
        <v>25-34</v>
      </c>
      <c r="C522" s="3">
        <v>33</v>
      </c>
      <c r="D522" s="3" t="s">
        <v>7</v>
      </c>
      <c r="E522" s="3" t="s">
        <v>8</v>
      </c>
      <c r="F522" s="3" t="s">
        <v>23</v>
      </c>
      <c r="G522" s="3" t="s">
        <v>10</v>
      </c>
      <c r="H522" s="3" t="s">
        <v>42</v>
      </c>
      <c r="I522" s="3">
        <v>41580</v>
      </c>
      <c r="J522" s="3">
        <v>14</v>
      </c>
      <c r="K522" s="3">
        <v>11</v>
      </c>
      <c r="L522" s="3">
        <v>2</v>
      </c>
      <c r="M522" s="3">
        <v>3</v>
      </c>
      <c r="N522" s="3" t="s">
        <v>14</v>
      </c>
      <c r="O522" s="3" t="s">
        <v>20</v>
      </c>
      <c r="P522" s="3">
        <v>2</v>
      </c>
      <c r="Q522" s="3">
        <v>4</v>
      </c>
      <c r="R522" s="4" t="s">
        <v>14</v>
      </c>
      <c r="S522" s="4" t="s">
        <v>14</v>
      </c>
      <c r="T522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523" spans="1:20" ht="18" x14ac:dyDescent="0.35">
      <c r="A523" s="3" t="s">
        <v>566</v>
      </c>
      <c r="B523" s="3" t="str">
        <f>IF(Table1[[#This Row],[Age]]&lt;25,"Under 25",IF(Table1[[#This Row],[Age]]&lt;35,"25-34",IF(Table1[[#This Row],[Age]]&lt;45,"35-44",IF(Table1[[#This Row],[Age]]&lt;55,"45-54","55+"))))</f>
        <v>25-34</v>
      </c>
      <c r="C523" s="3">
        <v>34</v>
      </c>
      <c r="D523" s="3" t="s">
        <v>22</v>
      </c>
      <c r="E523" s="3" t="s">
        <v>16</v>
      </c>
      <c r="F523" s="3" t="s">
        <v>28</v>
      </c>
      <c r="G523" s="3" t="s">
        <v>25</v>
      </c>
      <c r="H523" s="3" t="s">
        <v>19</v>
      </c>
      <c r="I523" s="3">
        <v>62621</v>
      </c>
      <c r="J523" s="3">
        <v>6</v>
      </c>
      <c r="K523" s="3">
        <v>6</v>
      </c>
      <c r="L523" s="3">
        <v>1</v>
      </c>
      <c r="M523" s="3">
        <v>1</v>
      </c>
      <c r="N523" s="3" t="s">
        <v>14</v>
      </c>
      <c r="O523" s="3" t="s">
        <v>13</v>
      </c>
      <c r="P523" s="3">
        <v>4</v>
      </c>
      <c r="Q523" s="3">
        <v>6</v>
      </c>
      <c r="R523" s="4" t="s">
        <v>14</v>
      </c>
      <c r="S523" s="4" t="s">
        <v>14</v>
      </c>
      <c r="T523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524" spans="1:20" ht="18" x14ac:dyDescent="0.35">
      <c r="A524" s="3" t="s">
        <v>567</v>
      </c>
      <c r="B524" s="3" t="str">
        <f>IF(Table1[[#This Row],[Age]]&lt;25,"Under 25",IF(Table1[[#This Row],[Age]]&lt;35,"25-34",IF(Table1[[#This Row],[Age]]&lt;45,"35-44",IF(Table1[[#This Row],[Age]]&lt;55,"45-54","55+"))))</f>
        <v>Under 25</v>
      </c>
      <c r="C524" s="3">
        <v>23</v>
      </c>
      <c r="D524" s="3" t="s">
        <v>22</v>
      </c>
      <c r="E524" s="3" t="s">
        <v>38</v>
      </c>
      <c r="F524" s="3" t="s">
        <v>89</v>
      </c>
      <c r="G524" s="3" t="s">
        <v>25</v>
      </c>
      <c r="H524" s="3" t="s">
        <v>42</v>
      </c>
      <c r="I524" s="3">
        <v>126698</v>
      </c>
      <c r="J524" s="3">
        <v>1</v>
      </c>
      <c r="K524" s="3">
        <v>0</v>
      </c>
      <c r="L524" s="3">
        <v>4</v>
      </c>
      <c r="M524" s="3">
        <v>4</v>
      </c>
      <c r="N524" s="3" t="s">
        <v>12</v>
      </c>
      <c r="O524" s="3" t="s">
        <v>13</v>
      </c>
      <c r="P524" s="3">
        <v>4</v>
      </c>
      <c r="Q524" s="3">
        <v>4</v>
      </c>
      <c r="R524" s="4" t="s">
        <v>14</v>
      </c>
      <c r="S524" s="4" t="s">
        <v>14</v>
      </c>
      <c r="T524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525" spans="1:20" ht="18" x14ac:dyDescent="0.35">
      <c r="A525" s="3" t="s">
        <v>568</v>
      </c>
      <c r="B525" s="3" t="str">
        <f>IF(Table1[[#This Row],[Age]]&lt;25,"Under 25",IF(Table1[[#This Row],[Age]]&lt;35,"25-34",IF(Table1[[#This Row],[Age]]&lt;45,"35-44",IF(Table1[[#This Row],[Age]]&lt;55,"45-54","55+"))))</f>
        <v>25-34</v>
      </c>
      <c r="C525" s="3">
        <v>28</v>
      </c>
      <c r="D525" s="3" t="s">
        <v>22</v>
      </c>
      <c r="E525" s="3" t="s">
        <v>38</v>
      </c>
      <c r="F525" s="3" t="s">
        <v>39</v>
      </c>
      <c r="G525" s="3" t="s">
        <v>25</v>
      </c>
      <c r="H525" s="3" t="s">
        <v>11</v>
      </c>
      <c r="I525" s="3">
        <v>37197</v>
      </c>
      <c r="J525" s="3">
        <v>5</v>
      </c>
      <c r="K525" s="3">
        <v>2</v>
      </c>
      <c r="L525" s="3">
        <v>4</v>
      </c>
      <c r="M525" s="3">
        <v>1</v>
      </c>
      <c r="N525" s="3" t="s">
        <v>14</v>
      </c>
      <c r="O525" s="3" t="s">
        <v>20</v>
      </c>
      <c r="P525" s="3">
        <v>3</v>
      </c>
      <c r="Q525" s="3">
        <v>6</v>
      </c>
      <c r="R525" s="4" t="s">
        <v>14</v>
      </c>
      <c r="S525" s="4" t="s">
        <v>14</v>
      </c>
      <c r="T525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526" spans="1:20" ht="18" x14ac:dyDescent="0.35">
      <c r="A526" s="3" t="s">
        <v>569</v>
      </c>
      <c r="B526" s="3" t="str">
        <f>IF(Table1[[#This Row],[Age]]&lt;25,"Under 25",IF(Table1[[#This Row],[Age]]&lt;35,"25-34",IF(Table1[[#This Row],[Age]]&lt;45,"35-44",IF(Table1[[#This Row],[Age]]&lt;55,"45-54","55+"))))</f>
        <v>45-54</v>
      </c>
      <c r="C526" s="3">
        <v>45</v>
      </c>
      <c r="D526" s="3" t="s">
        <v>22</v>
      </c>
      <c r="E526" s="3" t="s">
        <v>34</v>
      </c>
      <c r="F526" s="3" t="s">
        <v>150</v>
      </c>
      <c r="G526" s="3" t="s">
        <v>18</v>
      </c>
      <c r="H526" s="3" t="s">
        <v>11</v>
      </c>
      <c r="I526" s="3">
        <v>81561</v>
      </c>
      <c r="J526" s="3">
        <v>4</v>
      </c>
      <c r="K526" s="3">
        <v>3</v>
      </c>
      <c r="L526" s="3">
        <v>2</v>
      </c>
      <c r="M526" s="3">
        <v>3</v>
      </c>
      <c r="N526" s="3" t="s">
        <v>14</v>
      </c>
      <c r="O526" s="3" t="s">
        <v>13</v>
      </c>
      <c r="P526" s="3">
        <v>3</v>
      </c>
      <c r="Q526" s="3">
        <v>2</v>
      </c>
      <c r="R526" s="4" t="s">
        <v>14</v>
      </c>
      <c r="S526" s="4" t="s">
        <v>14</v>
      </c>
      <c r="T526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527" spans="1:20" ht="18" x14ac:dyDescent="0.35">
      <c r="A527" s="3" t="s">
        <v>570</v>
      </c>
      <c r="B527" s="3" t="str">
        <f>IF(Table1[[#This Row],[Age]]&lt;25,"Under 25",IF(Table1[[#This Row],[Age]]&lt;35,"25-34",IF(Table1[[#This Row],[Age]]&lt;45,"35-44",IF(Table1[[#This Row],[Age]]&lt;55,"45-54","55+"))))</f>
        <v>35-44</v>
      </c>
      <c r="C527" s="3">
        <v>36</v>
      </c>
      <c r="D527" s="3" t="s">
        <v>22</v>
      </c>
      <c r="E527" s="3" t="s">
        <v>31</v>
      </c>
      <c r="F527" s="3" t="s">
        <v>74</v>
      </c>
      <c r="G527" s="3" t="s">
        <v>10</v>
      </c>
      <c r="H527" s="3" t="s">
        <v>11</v>
      </c>
      <c r="I527" s="3">
        <v>89939</v>
      </c>
      <c r="J527" s="3">
        <v>13</v>
      </c>
      <c r="K527" s="3">
        <v>8</v>
      </c>
      <c r="L527" s="3">
        <v>1</v>
      </c>
      <c r="M527" s="3">
        <v>3</v>
      </c>
      <c r="N527" s="3" t="s">
        <v>12</v>
      </c>
      <c r="O527" s="3" t="s">
        <v>13</v>
      </c>
      <c r="P527" s="3">
        <v>3</v>
      </c>
      <c r="Q527" s="3">
        <v>4</v>
      </c>
      <c r="R527" s="4" t="s">
        <v>12</v>
      </c>
      <c r="S527" s="4" t="s">
        <v>14</v>
      </c>
      <c r="T527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528" spans="1:20" ht="18" x14ac:dyDescent="0.35">
      <c r="A528" s="3" t="s">
        <v>571</v>
      </c>
      <c r="B528" s="3" t="str">
        <f>IF(Table1[[#This Row],[Age]]&lt;25,"Under 25",IF(Table1[[#This Row],[Age]]&lt;35,"25-34",IF(Table1[[#This Row],[Age]]&lt;45,"35-44",IF(Table1[[#This Row],[Age]]&lt;55,"45-54","55+"))))</f>
        <v>35-44</v>
      </c>
      <c r="C528" s="3">
        <v>37</v>
      </c>
      <c r="D528" s="3" t="s">
        <v>22</v>
      </c>
      <c r="E528" s="3" t="s">
        <v>34</v>
      </c>
      <c r="F528" s="3" t="s">
        <v>150</v>
      </c>
      <c r="G528" s="3" t="s">
        <v>10</v>
      </c>
      <c r="H528" s="3" t="s">
        <v>19</v>
      </c>
      <c r="I528" s="3">
        <v>88083</v>
      </c>
      <c r="J528" s="3">
        <v>6</v>
      </c>
      <c r="K528" s="3">
        <v>2</v>
      </c>
      <c r="L528" s="3">
        <v>3</v>
      </c>
      <c r="M528" s="3">
        <v>4</v>
      </c>
      <c r="N528" s="3" t="s">
        <v>14</v>
      </c>
      <c r="O528" s="3" t="s">
        <v>13</v>
      </c>
      <c r="P528" s="3">
        <v>2</v>
      </c>
      <c r="Q528" s="3">
        <v>3</v>
      </c>
      <c r="R528" s="4" t="s">
        <v>14</v>
      </c>
      <c r="S528" s="4" t="s">
        <v>14</v>
      </c>
      <c r="T528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529" spans="1:20" ht="18" x14ac:dyDescent="0.35">
      <c r="A529" s="3" t="s">
        <v>572</v>
      </c>
      <c r="B529" s="3" t="str">
        <f>IF(Table1[[#This Row],[Age]]&lt;25,"Under 25",IF(Table1[[#This Row],[Age]]&lt;35,"25-34",IF(Table1[[#This Row],[Age]]&lt;45,"35-44",IF(Table1[[#This Row],[Age]]&lt;55,"45-54","55+"))))</f>
        <v>35-44</v>
      </c>
      <c r="C529" s="3">
        <v>44</v>
      </c>
      <c r="D529" s="3" t="s">
        <v>22</v>
      </c>
      <c r="E529" s="3" t="s">
        <v>51</v>
      </c>
      <c r="F529" s="3" t="s">
        <v>80</v>
      </c>
      <c r="G529" s="3" t="s">
        <v>45</v>
      </c>
      <c r="H529" s="3" t="s">
        <v>11</v>
      </c>
      <c r="I529" s="3">
        <v>42494</v>
      </c>
      <c r="J529" s="3">
        <v>10</v>
      </c>
      <c r="K529" s="3">
        <v>9</v>
      </c>
      <c r="L529" s="3">
        <v>2</v>
      </c>
      <c r="M529" s="3">
        <v>3</v>
      </c>
      <c r="N529" s="3" t="s">
        <v>12</v>
      </c>
      <c r="O529" s="3" t="s">
        <v>13</v>
      </c>
      <c r="P529" s="3">
        <v>3</v>
      </c>
      <c r="Q529" s="3">
        <v>4</v>
      </c>
      <c r="R529" s="4" t="s">
        <v>14</v>
      </c>
      <c r="S529" s="4" t="s">
        <v>14</v>
      </c>
      <c r="T529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530" spans="1:20" ht="18" x14ac:dyDescent="0.35">
      <c r="A530" s="3" t="s">
        <v>573</v>
      </c>
      <c r="B530" s="3" t="str">
        <f>IF(Table1[[#This Row],[Age]]&lt;25,"Under 25",IF(Table1[[#This Row],[Age]]&lt;35,"25-34",IF(Table1[[#This Row],[Age]]&lt;45,"35-44",IF(Table1[[#This Row],[Age]]&lt;55,"45-54","55+"))))</f>
        <v>25-34</v>
      </c>
      <c r="C530" s="3">
        <v>33</v>
      </c>
      <c r="D530" s="3" t="s">
        <v>7</v>
      </c>
      <c r="E530" s="3" t="s">
        <v>31</v>
      </c>
      <c r="F530" s="3" t="s">
        <v>136</v>
      </c>
      <c r="G530" s="3" t="s">
        <v>25</v>
      </c>
      <c r="H530" s="3" t="s">
        <v>11</v>
      </c>
      <c r="I530" s="3">
        <v>35693</v>
      </c>
      <c r="J530" s="3">
        <v>4</v>
      </c>
      <c r="K530" s="3">
        <v>1</v>
      </c>
      <c r="L530" s="3">
        <v>4</v>
      </c>
      <c r="M530" s="3">
        <v>4</v>
      </c>
      <c r="N530" s="3" t="s">
        <v>12</v>
      </c>
      <c r="O530" s="3" t="s">
        <v>13</v>
      </c>
      <c r="P530" s="3">
        <v>3</v>
      </c>
      <c r="Q530" s="3">
        <v>3</v>
      </c>
      <c r="R530" s="4" t="s">
        <v>12</v>
      </c>
      <c r="S530" s="4" t="s">
        <v>14</v>
      </c>
      <c r="T530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531" spans="1:20" ht="18" x14ac:dyDescent="0.35">
      <c r="A531" s="3" t="s">
        <v>574</v>
      </c>
      <c r="B531" s="3" t="str">
        <f>IF(Table1[[#This Row],[Age]]&lt;25,"Under 25",IF(Table1[[#This Row],[Age]]&lt;35,"25-34",IF(Table1[[#This Row],[Age]]&lt;45,"35-44",IF(Table1[[#This Row],[Age]]&lt;55,"45-54","55+"))))</f>
        <v>25-34</v>
      </c>
      <c r="C531" s="3">
        <v>34</v>
      </c>
      <c r="D531" s="3" t="s">
        <v>22</v>
      </c>
      <c r="E531" s="3" t="s">
        <v>34</v>
      </c>
      <c r="F531" s="3" t="s">
        <v>150</v>
      </c>
      <c r="G531" s="3" t="s">
        <v>25</v>
      </c>
      <c r="H531" s="3" t="s">
        <v>11</v>
      </c>
      <c r="I531" s="3">
        <v>49017</v>
      </c>
      <c r="J531" s="3">
        <v>6</v>
      </c>
      <c r="K531" s="3">
        <v>3</v>
      </c>
      <c r="L531" s="3">
        <v>2</v>
      </c>
      <c r="M531" s="3">
        <v>3</v>
      </c>
      <c r="N531" s="3" t="s">
        <v>14</v>
      </c>
      <c r="O531" s="3" t="s">
        <v>20</v>
      </c>
      <c r="P531" s="3">
        <v>2</v>
      </c>
      <c r="Q531" s="3">
        <v>2</v>
      </c>
      <c r="R531" s="4" t="s">
        <v>14</v>
      </c>
      <c r="S531" s="4" t="s">
        <v>14</v>
      </c>
      <c r="T531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532" spans="1:20" ht="18" x14ac:dyDescent="0.35">
      <c r="A532" s="3" t="s">
        <v>575</v>
      </c>
      <c r="B532" s="3" t="str">
        <f>IF(Table1[[#This Row],[Age]]&lt;25,"Under 25",IF(Table1[[#This Row],[Age]]&lt;35,"25-34",IF(Table1[[#This Row],[Age]]&lt;45,"35-44",IF(Table1[[#This Row],[Age]]&lt;55,"45-54","55+"))))</f>
        <v>25-34</v>
      </c>
      <c r="C532" s="3">
        <v>33</v>
      </c>
      <c r="D532" s="3" t="s">
        <v>22</v>
      </c>
      <c r="E532" s="3" t="s">
        <v>34</v>
      </c>
      <c r="F532" s="3" t="s">
        <v>54</v>
      </c>
      <c r="G532" s="3" t="s">
        <v>25</v>
      </c>
      <c r="H532" s="3" t="s">
        <v>11</v>
      </c>
      <c r="I532" s="3">
        <v>31935</v>
      </c>
      <c r="J532" s="3">
        <v>3</v>
      </c>
      <c r="K532" s="3">
        <v>0</v>
      </c>
      <c r="L532" s="3">
        <v>3</v>
      </c>
      <c r="M532" s="3">
        <v>3</v>
      </c>
      <c r="N532" s="3" t="s">
        <v>14</v>
      </c>
      <c r="O532" s="3" t="s">
        <v>13</v>
      </c>
      <c r="P532" s="3">
        <v>3</v>
      </c>
      <c r="Q532" s="3">
        <v>1</v>
      </c>
      <c r="R532" s="4" t="s">
        <v>14</v>
      </c>
      <c r="S532" s="4" t="s">
        <v>12</v>
      </c>
      <c r="T532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533" spans="1:20" ht="18" x14ac:dyDescent="0.35">
      <c r="A533" s="3" t="s">
        <v>576</v>
      </c>
      <c r="B533" s="3" t="str">
        <f>IF(Table1[[#This Row],[Age]]&lt;25,"Under 25",IF(Table1[[#This Row],[Age]]&lt;35,"25-34",IF(Table1[[#This Row],[Age]]&lt;45,"35-44",IF(Table1[[#This Row],[Age]]&lt;55,"45-54","55+"))))</f>
        <v>Under 25</v>
      </c>
      <c r="C533" s="3">
        <v>23</v>
      </c>
      <c r="D533" s="3" t="s">
        <v>7</v>
      </c>
      <c r="E533" s="3" t="s">
        <v>8</v>
      </c>
      <c r="F533" s="3" t="s">
        <v>9</v>
      </c>
      <c r="G533" s="3" t="s">
        <v>25</v>
      </c>
      <c r="H533" s="3" t="s">
        <v>19</v>
      </c>
      <c r="I533" s="3">
        <v>74271</v>
      </c>
      <c r="J533" s="3">
        <v>2</v>
      </c>
      <c r="K533" s="3">
        <v>1</v>
      </c>
      <c r="L533" s="3">
        <v>3</v>
      </c>
      <c r="M533" s="3">
        <v>4</v>
      </c>
      <c r="N533" s="3" t="s">
        <v>14</v>
      </c>
      <c r="O533" s="3" t="s">
        <v>26</v>
      </c>
      <c r="P533" s="3">
        <v>3</v>
      </c>
      <c r="Q533" s="3">
        <v>6</v>
      </c>
      <c r="R533" s="4" t="s">
        <v>14</v>
      </c>
      <c r="S533" s="4" t="s">
        <v>14</v>
      </c>
      <c r="T533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534" spans="1:20" ht="18" x14ac:dyDescent="0.35">
      <c r="A534" s="3" t="s">
        <v>577</v>
      </c>
      <c r="B534" s="3" t="str">
        <f>IF(Table1[[#This Row],[Age]]&lt;25,"Under 25",IF(Table1[[#This Row],[Age]]&lt;35,"25-34",IF(Table1[[#This Row],[Age]]&lt;45,"35-44",IF(Table1[[#This Row],[Age]]&lt;55,"45-54","55+"))))</f>
        <v>35-44</v>
      </c>
      <c r="C534" s="3">
        <v>37</v>
      </c>
      <c r="D534" s="3" t="s">
        <v>7</v>
      </c>
      <c r="E534" s="3" t="s">
        <v>34</v>
      </c>
      <c r="F534" s="3" t="s">
        <v>54</v>
      </c>
      <c r="G534" s="3" t="s">
        <v>25</v>
      </c>
      <c r="H534" s="3" t="s">
        <v>11</v>
      </c>
      <c r="I534" s="3">
        <v>81668</v>
      </c>
      <c r="J534" s="3">
        <v>10</v>
      </c>
      <c r="K534" s="3">
        <v>4</v>
      </c>
      <c r="L534" s="3">
        <v>3</v>
      </c>
      <c r="M534" s="3">
        <v>1</v>
      </c>
      <c r="N534" s="3" t="s">
        <v>14</v>
      </c>
      <c r="O534" s="3" t="s">
        <v>13</v>
      </c>
      <c r="P534" s="3">
        <v>3</v>
      </c>
      <c r="Q534" s="3">
        <v>4</v>
      </c>
      <c r="R534" s="4" t="s">
        <v>14</v>
      </c>
      <c r="S534" s="4" t="s">
        <v>14</v>
      </c>
      <c r="T534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535" spans="1:20" ht="18" x14ac:dyDescent="0.35">
      <c r="A535" s="3" t="s">
        <v>578</v>
      </c>
      <c r="B535" s="3" t="str">
        <f>IF(Table1[[#This Row],[Age]]&lt;25,"Under 25",IF(Table1[[#This Row],[Age]]&lt;35,"25-34",IF(Table1[[#This Row],[Age]]&lt;45,"35-44",IF(Table1[[#This Row],[Age]]&lt;55,"45-54","55+"))))</f>
        <v>25-34</v>
      </c>
      <c r="C535" s="3">
        <v>30</v>
      </c>
      <c r="D535" s="3" t="s">
        <v>22</v>
      </c>
      <c r="E535" s="3" t="s">
        <v>51</v>
      </c>
      <c r="F535" s="3" t="s">
        <v>52</v>
      </c>
      <c r="G535" s="3" t="s">
        <v>25</v>
      </c>
      <c r="H535" s="3" t="s">
        <v>42</v>
      </c>
      <c r="I535" s="3">
        <v>57215</v>
      </c>
      <c r="J535" s="3">
        <v>3</v>
      </c>
      <c r="K535" s="3">
        <v>1</v>
      </c>
      <c r="L535" s="3">
        <v>4</v>
      </c>
      <c r="M535" s="3">
        <v>4</v>
      </c>
      <c r="N535" s="3" t="s">
        <v>14</v>
      </c>
      <c r="O535" s="3" t="s">
        <v>20</v>
      </c>
      <c r="P535" s="3">
        <v>3</v>
      </c>
      <c r="Q535" s="3">
        <v>5</v>
      </c>
      <c r="R535" s="4" t="s">
        <v>12</v>
      </c>
      <c r="S535" s="4" t="s">
        <v>14</v>
      </c>
      <c r="T535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536" spans="1:20" ht="18" x14ac:dyDescent="0.35">
      <c r="A536" s="3" t="s">
        <v>579</v>
      </c>
      <c r="B536" s="3" t="str">
        <f>IF(Table1[[#This Row],[Age]]&lt;25,"Under 25",IF(Table1[[#This Row],[Age]]&lt;35,"25-34",IF(Table1[[#This Row],[Age]]&lt;45,"35-44",IF(Table1[[#This Row],[Age]]&lt;55,"45-54","55+"))))</f>
        <v>25-34</v>
      </c>
      <c r="C536" s="3">
        <v>33</v>
      </c>
      <c r="D536" s="3" t="s">
        <v>22</v>
      </c>
      <c r="E536" s="3" t="s">
        <v>34</v>
      </c>
      <c r="F536" s="3" t="s">
        <v>54</v>
      </c>
      <c r="G536" s="3" t="s">
        <v>10</v>
      </c>
      <c r="H536" s="3" t="s">
        <v>11</v>
      </c>
      <c r="I536" s="3">
        <v>64506</v>
      </c>
      <c r="J536" s="3">
        <v>7</v>
      </c>
      <c r="K536" s="3">
        <v>5</v>
      </c>
      <c r="L536" s="3">
        <v>3</v>
      </c>
      <c r="M536" s="3">
        <v>3</v>
      </c>
      <c r="N536" s="3" t="s">
        <v>12</v>
      </c>
      <c r="O536" s="3" t="s">
        <v>13</v>
      </c>
      <c r="P536" s="3">
        <v>2</v>
      </c>
      <c r="Q536" s="3">
        <v>1</v>
      </c>
      <c r="R536" s="4" t="s">
        <v>12</v>
      </c>
      <c r="S536" s="4" t="s">
        <v>14</v>
      </c>
      <c r="T536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537" spans="1:20" ht="18" x14ac:dyDescent="0.35">
      <c r="A537" s="3" t="s">
        <v>580</v>
      </c>
      <c r="B537" s="3" t="str">
        <f>IF(Table1[[#This Row],[Age]]&lt;25,"Under 25",IF(Table1[[#This Row],[Age]]&lt;35,"25-34",IF(Table1[[#This Row],[Age]]&lt;45,"35-44",IF(Table1[[#This Row],[Age]]&lt;55,"45-54","55+"))))</f>
        <v>25-34</v>
      </c>
      <c r="C537" s="3">
        <v>27</v>
      </c>
      <c r="D537" s="3" t="s">
        <v>7</v>
      </c>
      <c r="E537" s="3" t="s">
        <v>16</v>
      </c>
      <c r="F537" s="3" t="s">
        <v>17</v>
      </c>
      <c r="G537" s="3" t="s">
        <v>25</v>
      </c>
      <c r="H537" s="3" t="s">
        <v>11</v>
      </c>
      <c r="I537" s="3">
        <v>67605</v>
      </c>
      <c r="J537" s="3">
        <v>8</v>
      </c>
      <c r="K537" s="3">
        <v>4</v>
      </c>
      <c r="L537" s="3">
        <v>2</v>
      </c>
      <c r="M537" s="3">
        <v>3</v>
      </c>
      <c r="N537" s="3" t="s">
        <v>14</v>
      </c>
      <c r="O537" s="3" t="s">
        <v>13</v>
      </c>
      <c r="P537" s="3">
        <v>4</v>
      </c>
      <c r="Q537" s="3">
        <v>4</v>
      </c>
      <c r="R537" s="4" t="s">
        <v>14</v>
      </c>
      <c r="S537" s="4" t="s">
        <v>14</v>
      </c>
      <c r="T537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538" spans="1:20" ht="18" x14ac:dyDescent="0.35">
      <c r="A538" s="3" t="s">
        <v>581</v>
      </c>
      <c r="B538" s="3" t="str">
        <f>IF(Table1[[#This Row],[Age]]&lt;25,"Under 25",IF(Table1[[#This Row],[Age]]&lt;35,"25-34",IF(Table1[[#This Row],[Age]]&lt;45,"35-44",IF(Table1[[#This Row],[Age]]&lt;55,"45-54","55+"))))</f>
        <v>25-34</v>
      </c>
      <c r="C538" s="3">
        <v>30</v>
      </c>
      <c r="D538" s="3" t="s">
        <v>22</v>
      </c>
      <c r="E538" s="3" t="s">
        <v>31</v>
      </c>
      <c r="F538" s="3" t="s">
        <v>74</v>
      </c>
      <c r="G538" s="3" t="s">
        <v>25</v>
      </c>
      <c r="H538" s="3" t="s">
        <v>19</v>
      </c>
      <c r="I538" s="3">
        <v>61321</v>
      </c>
      <c r="J538" s="3">
        <v>10</v>
      </c>
      <c r="K538" s="3">
        <v>4</v>
      </c>
      <c r="L538" s="3">
        <v>3</v>
      </c>
      <c r="M538" s="3">
        <v>2</v>
      </c>
      <c r="N538" s="3" t="s">
        <v>12</v>
      </c>
      <c r="O538" s="3" t="s">
        <v>13</v>
      </c>
      <c r="P538" s="3">
        <v>3</v>
      </c>
      <c r="Q538" s="3">
        <v>6</v>
      </c>
      <c r="R538" s="4" t="s">
        <v>14</v>
      </c>
      <c r="S538" s="4" t="s">
        <v>14</v>
      </c>
      <c r="T538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539" spans="1:20" ht="18" x14ac:dyDescent="0.35">
      <c r="A539" s="3" t="s">
        <v>582</v>
      </c>
      <c r="B539" s="3" t="str">
        <f>IF(Table1[[#This Row],[Age]]&lt;25,"Under 25",IF(Table1[[#This Row],[Age]]&lt;35,"25-34",IF(Table1[[#This Row],[Age]]&lt;45,"35-44",IF(Table1[[#This Row],[Age]]&lt;55,"45-54","55+"))))</f>
        <v>45-54</v>
      </c>
      <c r="C539" s="3">
        <v>45</v>
      </c>
      <c r="D539" s="3" t="s">
        <v>22</v>
      </c>
      <c r="E539" s="3" t="s">
        <v>8</v>
      </c>
      <c r="F539" s="3" t="s">
        <v>9</v>
      </c>
      <c r="G539" s="3" t="s">
        <v>45</v>
      </c>
      <c r="H539" s="3" t="s">
        <v>11</v>
      </c>
      <c r="I539" s="3">
        <v>59135</v>
      </c>
      <c r="J539" s="3">
        <v>20</v>
      </c>
      <c r="K539" s="3">
        <v>3</v>
      </c>
      <c r="L539" s="3">
        <v>2</v>
      </c>
      <c r="M539" s="3">
        <v>3</v>
      </c>
      <c r="N539" s="3" t="s">
        <v>14</v>
      </c>
      <c r="O539" s="3" t="s">
        <v>13</v>
      </c>
      <c r="P539" s="3">
        <v>3</v>
      </c>
      <c r="Q539" s="3">
        <v>6</v>
      </c>
      <c r="R539" s="4" t="s">
        <v>14</v>
      </c>
      <c r="S539" s="4" t="s">
        <v>14</v>
      </c>
      <c r="T539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540" spans="1:20" ht="18" x14ac:dyDescent="0.35">
      <c r="A540" s="3" t="s">
        <v>583</v>
      </c>
      <c r="B540" s="3" t="str">
        <f>IF(Table1[[#This Row],[Age]]&lt;25,"Under 25",IF(Table1[[#This Row],[Age]]&lt;35,"25-34",IF(Table1[[#This Row],[Age]]&lt;45,"35-44",IF(Table1[[#This Row],[Age]]&lt;55,"45-54","55+"))))</f>
        <v>25-34</v>
      </c>
      <c r="C540" s="3">
        <v>31</v>
      </c>
      <c r="D540" s="3" t="s">
        <v>22</v>
      </c>
      <c r="E540" s="3" t="s">
        <v>51</v>
      </c>
      <c r="F540" s="3" t="s">
        <v>72</v>
      </c>
      <c r="G540" s="3" t="s">
        <v>18</v>
      </c>
      <c r="H540" s="3" t="s">
        <v>11</v>
      </c>
      <c r="I540" s="3">
        <v>64041</v>
      </c>
      <c r="J540" s="3">
        <v>13</v>
      </c>
      <c r="K540" s="3">
        <v>4</v>
      </c>
      <c r="L540" s="3">
        <v>4</v>
      </c>
      <c r="M540" s="3">
        <v>2</v>
      </c>
      <c r="N540" s="3" t="s">
        <v>12</v>
      </c>
      <c r="O540" s="3" t="s">
        <v>13</v>
      </c>
      <c r="P540" s="3">
        <v>3</v>
      </c>
      <c r="Q540" s="3">
        <v>4</v>
      </c>
      <c r="R540" s="4" t="s">
        <v>14</v>
      </c>
      <c r="S540" s="4" t="s">
        <v>14</v>
      </c>
      <c r="T540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541" spans="1:20" ht="18" x14ac:dyDescent="0.35">
      <c r="A541" s="3" t="s">
        <v>584</v>
      </c>
      <c r="B541" s="3" t="str">
        <f>IF(Table1[[#This Row],[Age]]&lt;25,"Under 25",IF(Table1[[#This Row],[Age]]&lt;35,"25-34",IF(Table1[[#This Row],[Age]]&lt;45,"35-44",IF(Table1[[#This Row],[Age]]&lt;55,"45-54","55+"))))</f>
        <v>25-34</v>
      </c>
      <c r="C541" s="3">
        <v>33</v>
      </c>
      <c r="D541" s="3" t="s">
        <v>22</v>
      </c>
      <c r="E541" s="3" t="s">
        <v>51</v>
      </c>
      <c r="F541" s="3" t="s">
        <v>72</v>
      </c>
      <c r="G541" s="3" t="s">
        <v>25</v>
      </c>
      <c r="H541" s="3" t="s">
        <v>19</v>
      </c>
      <c r="I541" s="3">
        <v>22000</v>
      </c>
      <c r="J541" s="3">
        <v>5</v>
      </c>
      <c r="K541" s="3">
        <v>1</v>
      </c>
      <c r="L541" s="3">
        <v>2</v>
      </c>
      <c r="M541" s="3">
        <v>4</v>
      </c>
      <c r="N541" s="3" t="s">
        <v>14</v>
      </c>
      <c r="O541" s="3" t="s">
        <v>26</v>
      </c>
      <c r="P541" s="3">
        <v>3</v>
      </c>
      <c r="Q541" s="3">
        <v>5</v>
      </c>
      <c r="R541" s="4" t="s">
        <v>12</v>
      </c>
      <c r="S541" s="4" t="s">
        <v>14</v>
      </c>
      <c r="T541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542" spans="1:20" ht="18" x14ac:dyDescent="0.35">
      <c r="A542" s="3" t="s">
        <v>585</v>
      </c>
      <c r="B542" s="3" t="str">
        <f>IF(Table1[[#This Row],[Age]]&lt;25,"Under 25",IF(Table1[[#This Row],[Age]]&lt;35,"25-34",IF(Table1[[#This Row],[Age]]&lt;45,"35-44",IF(Table1[[#This Row],[Age]]&lt;55,"45-54","55+"))))</f>
        <v>25-34</v>
      </c>
      <c r="C542" s="3">
        <v>30</v>
      </c>
      <c r="D542" s="3" t="s">
        <v>7</v>
      </c>
      <c r="E542" s="3" t="s">
        <v>8</v>
      </c>
      <c r="F542" s="3" t="s">
        <v>9</v>
      </c>
      <c r="G542" s="3" t="s">
        <v>18</v>
      </c>
      <c r="H542" s="3" t="s">
        <v>19</v>
      </c>
      <c r="I542" s="3">
        <v>53067</v>
      </c>
      <c r="J542" s="3">
        <v>8</v>
      </c>
      <c r="K542" s="3">
        <v>7</v>
      </c>
      <c r="L542" s="3">
        <v>3</v>
      </c>
      <c r="M542" s="3">
        <v>2</v>
      </c>
      <c r="N542" s="3" t="s">
        <v>12</v>
      </c>
      <c r="O542" s="3" t="s">
        <v>13</v>
      </c>
      <c r="P542" s="3">
        <v>3</v>
      </c>
      <c r="Q542" s="3">
        <v>5</v>
      </c>
      <c r="R542" s="4" t="s">
        <v>14</v>
      </c>
      <c r="S542" s="4" t="s">
        <v>14</v>
      </c>
      <c r="T542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543" spans="1:20" ht="18" x14ac:dyDescent="0.35">
      <c r="A543" s="3" t="s">
        <v>586</v>
      </c>
      <c r="B543" s="3" t="str">
        <f>IF(Table1[[#This Row],[Age]]&lt;25,"Under 25",IF(Table1[[#This Row],[Age]]&lt;35,"25-34",IF(Table1[[#This Row],[Age]]&lt;45,"35-44",IF(Table1[[#This Row],[Age]]&lt;55,"45-54","55+"))))</f>
        <v>Under 25</v>
      </c>
      <c r="C543" s="3">
        <v>24</v>
      </c>
      <c r="D543" s="3" t="s">
        <v>7</v>
      </c>
      <c r="E543" s="3" t="s">
        <v>31</v>
      </c>
      <c r="F543" s="3" t="s">
        <v>136</v>
      </c>
      <c r="G543" s="3" t="s">
        <v>10</v>
      </c>
      <c r="H543" s="3" t="s">
        <v>11</v>
      </c>
      <c r="I543" s="3">
        <v>51223</v>
      </c>
      <c r="J543" s="3">
        <v>5</v>
      </c>
      <c r="K543" s="3">
        <v>1</v>
      </c>
      <c r="L543" s="3">
        <v>3</v>
      </c>
      <c r="M543" s="3">
        <v>3</v>
      </c>
      <c r="N543" s="3" t="s">
        <v>14</v>
      </c>
      <c r="O543" s="3" t="s">
        <v>26</v>
      </c>
      <c r="P543" s="3">
        <v>3</v>
      </c>
      <c r="Q543" s="3">
        <v>0</v>
      </c>
      <c r="R543" s="4" t="s">
        <v>12</v>
      </c>
      <c r="S543" s="4" t="s">
        <v>14</v>
      </c>
      <c r="T543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544" spans="1:20" ht="18" x14ac:dyDescent="0.35">
      <c r="A544" s="3" t="s">
        <v>587</v>
      </c>
      <c r="B544" s="3" t="str">
        <f>IF(Table1[[#This Row],[Age]]&lt;25,"Under 25",IF(Table1[[#This Row],[Age]]&lt;35,"25-34",IF(Table1[[#This Row],[Age]]&lt;45,"35-44",IF(Table1[[#This Row],[Age]]&lt;55,"45-54","55+"))))</f>
        <v>25-34</v>
      </c>
      <c r="C544" s="3">
        <v>28</v>
      </c>
      <c r="D544" s="3" t="s">
        <v>22</v>
      </c>
      <c r="E544" s="3" t="s">
        <v>38</v>
      </c>
      <c r="F544" s="3" t="s">
        <v>39</v>
      </c>
      <c r="G544" s="3" t="s">
        <v>25</v>
      </c>
      <c r="H544" s="3" t="s">
        <v>42</v>
      </c>
      <c r="I544" s="3">
        <v>54657</v>
      </c>
      <c r="J544" s="3">
        <v>1</v>
      </c>
      <c r="K544" s="3">
        <v>0</v>
      </c>
      <c r="L544" s="3">
        <v>2</v>
      </c>
      <c r="M544" s="3">
        <v>3</v>
      </c>
      <c r="N544" s="3" t="s">
        <v>14</v>
      </c>
      <c r="O544" s="3" t="s">
        <v>13</v>
      </c>
      <c r="P544" s="3">
        <v>3</v>
      </c>
      <c r="Q544" s="3">
        <v>2</v>
      </c>
      <c r="R544" s="4" t="s">
        <v>14</v>
      </c>
      <c r="S544" s="4" t="s">
        <v>14</v>
      </c>
      <c r="T544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545" spans="1:20" ht="18" x14ac:dyDescent="0.35">
      <c r="A545" s="3" t="s">
        <v>588</v>
      </c>
      <c r="B545" s="3" t="str">
        <f>IF(Table1[[#This Row],[Age]]&lt;25,"Under 25",IF(Table1[[#This Row],[Age]]&lt;35,"25-34",IF(Table1[[#This Row],[Age]]&lt;45,"35-44",IF(Table1[[#This Row],[Age]]&lt;55,"45-54","55+"))))</f>
        <v>35-44</v>
      </c>
      <c r="C545" s="3">
        <v>35</v>
      </c>
      <c r="D545" s="3" t="s">
        <v>7</v>
      </c>
      <c r="E545" s="3" t="s">
        <v>16</v>
      </c>
      <c r="F545" s="3" t="s">
        <v>47</v>
      </c>
      <c r="G545" s="3" t="s">
        <v>25</v>
      </c>
      <c r="H545" s="3" t="s">
        <v>11</v>
      </c>
      <c r="I545" s="3">
        <v>103636</v>
      </c>
      <c r="J545" s="3">
        <v>2</v>
      </c>
      <c r="K545" s="3">
        <v>2</v>
      </c>
      <c r="L545" s="3">
        <v>1</v>
      </c>
      <c r="M545" s="3">
        <v>4</v>
      </c>
      <c r="N545" s="3" t="s">
        <v>14</v>
      </c>
      <c r="O545" s="3" t="s">
        <v>13</v>
      </c>
      <c r="P545" s="3">
        <v>3</v>
      </c>
      <c r="Q545" s="3">
        <v>4</v>
      </c>
      <c r="R545" s="4" t="s">
        <v>14</v>
      </c>
      <c r="S545" s="4" t="s">
        <v>14</v>
      </c>
      <c r="T545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546" spans="1:20" ht="18" x14ac:dyDescent="0.35">
      <c r="A546" s="3" t="s">
        <v>589</v>
      </c>
      <c r="B546" s="3" t="str">
        <f>IF(Table1[[#This Row],[Age]]&lt;25,"Under 25",IF(Table1[[#This Row],[Age]]&lt;35,"25-34",IF(Table1[[#This Row],[Age]]&lt;45,"35-44",IF(Table1[[#This Row],[Age]]&lt;55,"45-54","55+"))))</f>
        <v>25-34</v>
      </c>
      <c r="C546" s="3">
        <v>34</v>
      </c>
      <c r="D546" s="3" t="s">
        <v>7</v>
      </c>
      <c r="E546" s="3" t="s">
        <v>8</v>
      </c>
      <c r="F546" s="3" t="s">
        <v>23</v>
      </c>
      <c r="G546" s="3" t="s">
        <v>25</v>
      </c>
      <c r="H546" s="3" t="s">
        <v>11</v>
      </c>
      <c r="I546" s="3">
        <v>36253</v>
      </c>
      <c r="J546" s="3">
        <v>2</v>
      </c>
      <c r="K546" s="3">
        <v>1</v>
      </c>
      <c r="L546" s="3">
        <v>2</v>
      </c>
      <c r="M546" s="3">
        <v>3</v>
      </c>
      <c r="N546" s="3" t="s">
        <v>12</v>
      </c>
      <c r="O546" s="3" t="s">
        <v>20</v>
      </c>
      <c r="P546" s="3">
        <v>4</v>
      </c>
      <c r="Q546" s="3">
        <v>5</v>
      </c>
      <c r="R546" s="4" t="s">
        <v>12</v>
      </c>
      <c r="S546" s="4" t="s">
        <v>14</v>
      </c>
      <c r="T546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547" spans="1:20" ht="18" x14ac:dyDescent="0.35">
      <c r="A547" s="3" t="s">
        <v>590</v>
      </c>
      <c r="B547" s="3" t="str">
        <f>IF(Table1[[#This Row],[Age]]&lt;25,"Under 25",IF(Table1[[#This Row],[Age]]&lt;35,"25-34",IF(Table1[[#This Row],[Age]]&lt;45,"35-44",IF(Table1[[#This Row],[Age]]&lt;55,"45-54","55+"))))</f>
        <v>25-34</v>
      </c>
      <c r="C547" s="3">
        <v>27</v>
      </c>
      <c r="D547" s="3" t="s">
        <v>7</v>
      </c>
      <c r="E547" s="3" t="s">
        <v>34</v>
      </c>
      <c r="F547" s="3" t="s">
        <v>35</v>
      </c>
      <c r="G547" s="3" t="s">
        <v>10</v>
      </c>
      <c r="H547" s="3" t="s">
        <v>19</v>
      </c>
      <c r="I547" s="3">
        <v>43498</v>
      </c>
      <c r="J547" s="3">
        <v>8</v>
      </c>
      <c r="K547" s="3">
        <v>0</v>
      </c>
      <c r="L547" s="3">
        <v>2</v>
      </c>
      <c r="M547" s="3">
        <v>3</v>
      </c>
      <c r="N547" s="3" t="s">
        <v>14</v>
      </c>
      <c r="O547" s="3" t="s">
        <v>13</v>
      </c>
      <c r="P547" s="3">
        <v>3</v>
      </c>
      <c r="Q547" s="3">
        <v>5</v>
      </c>
      <c r="R547" s="4" t="s">
        <v>14</v>
      </c>
      <c r="S547" s="4" t="s">
        <v>12</v>
      </c>
      <c r="T547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548" spans="1:20" ht="18" x14ac:dyDescent="0.35">
      <c r="A548" s="3" t="s">
        <v>591</v>
      </c>
      <c r="B548" s="3" t="str">
        <f>IF(Table1[[#This Row],[Age]]&lt;25,"Under 25",IF(Table1[[#This Row],[Age]]&lt;35,"25-34",IF(Table1[[#This Row],[Age]]&lt;45,"35-44",IF(Table1[[#This Row],[Age]]&lt;55,"45-54","55+"))))</f>
        <v>35-44</v>
      </c>
      <c r="C548" s="3">
        <v>39</v>
      </c>
      <c r="D548" s="3" t="s">
        <v>22</v>
      </c>
      <c r="E548" s="3" t="s">
        <v>16</v>
      </c>
      <c r="F548" s="3" t="s">
        <v>28</v>
      </c>
      <c r="G548" s="3" t="s">
        <v>25</v>
      </c>
      <c r="H548" s="3" t="s">
        <v>42</v>
      </c>
      <c r="I548" s="3">
        <v>39267</v>
      </c>
      <c r="J548" s="3">
        <v>0</v>
      </c>
      <c r="K548" s="3">
        <v>0</v>
      </c>
      <c r="L548" s="3">
        <v>2</v>
      </c>
      <c r="M548" s="3">
        <v>3</v>
      </c>
      <c r="N548" s="3" t="s">
        <v>14</v>
      </c>
      <c r="O548" s="3" t="s">
        <v>13</v>
      </c>
      <c r="P548" s="3">
        <v>3</v>
      </c>
      <c r="Q548" s="3">
        <v>1</v>
      </c>
      <c r="R548" s="4" t="s">
        <v>14</v>
      </c>
      <c r="S548" s="4" t="s">
        <v>14</v>
      </c>
      <c r="T548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Less than 1 Year</v>
      </c>
    </row>
    <row r="549" spans="1:20" ht="18" x14ac:dyDescent="0.35">
      <c r="A549" s="3" t="s">
        <v>592</v>
      </c>
      <c r="B549" s="3" t="str">
        <f>IF(Table1[[#This Row],[Age]]&lt;25,"Under 25",IF(Table1[[#This Row],[Age]]&lt;35,"25-34",IF(Table1[[#This Row],[Age]]&lt;45,"35-44",IF(Table1[[#This Row],[Age]]&lt;55,"45-54","55+"))))</f>
        <v>Under 25</v>
      </c>
      <c r="C549" s="3">
        <v>21</v>
      </c>
      <c r="D549" s="3" t="s">
        <v>7</v>
      </c>
      <c r="E549" s="3" t="s">
        <v>8</v>
      </c>
      <c r="F549" s="3" t="s">
        <v>9</v>
      </c>
      <c r="G549" s="3" t="s">
        <v>10</v>
      </c>
      <c r="H549" s="3" t="s">
        <v>11</v>
      </c>
      <c r="I549" s="3">
        <v>44032</v>
      </c>
      <c r="J549" s="3">
        <v>1</v>
      </c>
      <c r="K549" s="3">
        <v>1</v>
      </c>
      <c r="L549" s="3">
        <v>4</v>
      </c>
      <c r="M549" s="3">
        <v>3</v>
      </c>
      <c r="N549" s="3" t="s">
        <v>14</v>
      </c>
      <c r="O549" s="3" t="s">
        <v>13</v>
      </c>
      <c r="P549" s="3">
        <v>2</v>
      </c>
      <c r="Q549" s="3">
        <v>2</v>
      </c>
      <c r="R549" s="4" t="s">
        <v>12</v>
      </c>
      <c r="S549" s="4" t="s">
        <v>14</v>
      </c>
      <c r="T549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550" spans="1:20" ht="18" x14ac:dyDescent="0.35">
      <c r="A550" s="3" t="s">
        <v>593</v>
      </c>
      <c r="B550" s="3" t="str">
        <f>IF(Table1[[#This Row],[Age]]&lt;25,"Under 25",IF(Table1[[#This Row],[Age]]&lt;35,"25-34",IF(Table1[[#This Row],[Age]]&lt;45,"35-44",IF(Table1[[#This Row],[Age]]&lt;55,"45-54","55+"))))</f>
        <v>25-34</v>
      </c>
      <c r="C550" s="3">
        <v>34</v>
      </c>
      <c r="D550" s="3" t="s">
        <v>7</v>
      </c>
      <c r="E550" s="3" t="s">
        <v>16</v>
      </c>
      <c r="F550" s="3" t="s">
        <v>28</v>
      </c>
      <c r="G550" s="3" t="s">
        <v>45</v>
      </c>
      <c r="H550" s="3" t="s">
        <v>42</v>
      </c>
      <c r="I550" s="3">
        <v>121135</v>
      </c>
      <c r="J550" s="3">
        <v>13</v>
      </c>
      <c r="K550" s="3">
        <v>7</v>
      </c>
      <c r="L550" s="3">
        <v>1</v>
      </c>
      <c r="M550" s="3">
        <v>3</v>
      </c>
      <c r="N550" s="3" t="s">
        <v>14</v>
      </c>
      <c r="O550" s="3" t="s">
        <v>13</v>
      </c>
      <c r="P550" s="3">
        <v>2</v>
      </c>
      <c r="Q550" s="3">
        <v>5</v>
      </c>
      <c r="R550" s="4" t="s">
        <v>14</v>
      </c>
      <c r="S550" s="4" t="s">
        <v>14</v>
      </c>
      <c r="T550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551" spans="1:20" ht="18" x14ac:dyDescent="0.35">
      <c r="A551" s="3" t="s">
        <v>594</v>
      </c>
      <c r="B551" s="3" t="str">
        <f>IF(Table1[[#This Row],[Age]]&lt;25,"Under 25",IF(Table1[[#This Row],[Age]]&lt;35,"25-34",IF(Table1[[#This Row],[Age]]&lt;45,"35-44",IF(Table1[[#This Row],[Age]]&lt;55,"45-54","55+"))))</f>
        <v>25-34</v>
      </c>
      <c r="C551" s="3">
        <v>32</v>
      </c>
      <c r="D551" s="3" t="s">
        <v>7</v>
      </c>
      <c r="E551" s="3" t="s">
        <v>31</v>
      </c>
      <c r="F551" s="3" t="s">
        <v>32</v>
      </c>
      <c r="G551" s="3" t="s">
        <v>45</v>
      </c>
      <c r="H551" s="3" t="s">
        <v>19</v>
      </c>
      <c r="I551" s="3">
        <v>54980</v>
      </c>
      <c r="J551" s="3">
        <v>2</v>
      </c>
      <c r="K551" s="3">
        <v>2</v>
      </c>
      <c r="L551" s="3">
        <v>4</v>
      </c>
      <c r="M551" s="3">
        <v>3</v>
      </c>
      <c r="N551" s="3" t="s">
        <v>14</v>
      </c>
      <c r="O551" s="3" t="s">
        <v>20</v>
      </c>
      <c r="P551" s="3">
        <v>4</v>
      </c>
      <c r="Q551" s="3">
        <v>5</v>
      </c>
      <c r="R551" s="4" t="s">
        <v>14</v>
      </c>
      <c r="S551" s="4" t="s">
        <v>14</v>
      </c>
      <c r="T551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552" spans="1:20" ht="18" x14ac:dyDescent="0.35">
      <c r="A552" s="3" t="s">
        <v>595</v>
      </c>
      <c r="B552" s="3" t="str">
        <f>IF(Table1[[#This Row],[Age]]&lt;25,"Under 25",IF(Table1[[#This Row],[Age]]&lt;35,"25-34",IF(Table1[[#This Row],[Age]]&lt;45,"35-44",IF(Table1[[#This Row],[Age]]&lt;55,"45-54","55+"))))</f>
        <v>35-44</v>
      </c>
      <c r="C552" s="3">
        <v>42</v>
      </c>
      <c r="D552" s="3" t="s">
        <v>22</v>
      </c>
      <c r="E552" s="3" t="s">
        <v>38</v>
      </c>
      <c r="F552" s="3" t="s">
        <v>89</v>
      </c>
      <c r="G552" s="3" t="s">
        <v>25</v>
      </c>
      <c r="H552" s="3" t="s">
        <v>11</v>
      </c>
      <c r="I552" s="3">
        <v>34710</v>
      </c>
      <c r="J552" s="3">
        <v>1</v>
      </c>
      <c r="K552" s="3">
        <v>0</v>
      </c>
      <c r="L552" s="3">
        <v>2</v>
      </c>
      <c r="M552" s="3">
        <v>4</v>
      </c>
      <c r="N552" s="3" t="s">
        <v>14</v>
      </c>
      <c r="O552" s="3" t="s">
        <v>20</v>
      </c>
      <c r="P552" s="3">
        <v>3</v>
      </c>
      <c r="Q552" s="3">
        <v>0</v>
      </c>
      <c r="R552" s="4" t="s">
        <v>12</v>
      </c>
      <c r="S552" s="4" t="s">
        <v>14</v>
      </c>
      <c r="T552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553" spans="1:20" ht="18" x14ac:dyDescent="0.35">
      <c r="A553" s="3" t="s">
        <v>596</v>
      </c>
      <c r="B553" s="3" t="str">
        <f>IF(Table1[[#This Row],[Age]]&lt;25,"Under 25",IF(Table1[[#This Row],[Age]]&lt;35,"25-34",IF(Table1[[#This Row],[Age]]&lt;45,"35-44",IF(Table1[[#This Row],[Age]]&lt;55,"45-54","55+"))))</f>
        <v>Under 25</v>
      </c>
      <c r="C553" s="3">
        <v>21</v>
      </c>
      <c r="D553" s="3" t="s">
        <v>7</v>
      </c>
      <c r="E553" s="3" t="s">
        <v>8</v>
      </c>
      <c r="F553" s="3" t="s">
        <v>23</v>
      </c>
      <c r="G553" s="3" t="s">
        <v>25</v>
      </c>
      <c r="H553" s="3" t="s">
        <v>19</v>
      </c>
      <c r="I553" s="3">
        <v>42202</v>
      </c>
      <c r="J553" s="3">
        <v>1</v>
      </c>
      <c r="K553" s="3">
        <v>1</v>
      </c>
      <c r="L553" s="3">
        <v>3</v>
      </c>
      <c r="M553" s="3">
        <v>3</v>
      </c>
      <c r="N553" s="3" t="s">
        <v>14</v>
      </c>
      <c r="O553" s="3" t="s">
        <v>13</v>
      </c>
      <c r="P553" s="3">
        <v>3</v>
      </c>
      <c r="Q553" s="3">
        <v>1</v>
      </c>
      <c r="R553" s="4" t="s">
        <v>14</v>
      </c>
      <c r="S553" s="4" t="s">
        <v>14</v>
      </c>
      <c r="T553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554" spans="1:20" ht="18" x14ac:dyDescent="0.35">
      <c r="A554" s="3" t="s">
        <v>597</v>
      </c>
      <c r="B554" s="3" t="str">
        <f>IF(Table1[[#This Row],[Age]]&lt;25,"Under 25",IF(Table1[[#This Row],[Age]]&lt;35,"25-34",IF(Table1[[#This Row],[Age]]&lt;45,"35-44",IF(Table1[[#This Row],[Age]]&lt;55,"45-54","55+"))))</f>
        <v>45-54</v>
      </c>
      <c r="C554" s="3">
        <v>51</v>
      </c>
      <c r="D554" s="3" t="s">
        <v>22</v>
      </c>
      <c r="E554" s="3" t="s">
        <v>38</v>
      </c>
      <c r="F554" s="3" t="s">
        <v>39</v>
      </c>
      <c r="G554" s="3" t="s">
        <v>10</v>
      </c>
      <c r="H554" s="3" t="s">
        <v>11</v>
      </c>
      <c r="I554" s="3">
        <v>71205</v>
      </c>
      <c r="J554" s="3">
        <v>10</v>
      </c>
      <c r="K554" s="3">
        <v>8</v>
      </c>
      <c r="L554" s="3">
        <v>3</v>
      </c>
      <c r="M554" s="3">
        <v>4</v>
      </c>
      <c r="N554" s="3" t="s">
        <v>14</v>
      </c>
      <c r="O554" s="3" t="s">
        <v>13</v>
      </c>
      <c r="P554" s="3">
        <v>3</v>
      </c>
      <c r="Q554" s="3">
        <v>3</v>
      </c>
      <c r="R554" s="4" t="s">
        <v>14</v>
      </c>
      <c r="S554" s="4" t="s">
        <v>14</v>
      </c>
      <c r="T554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555" spans="1:20" ht="18" x14ac:dyDescent="0.35">
      <c r="A555" s="3" t="s">
        <v>598</v>
      </c>
      <c r="B555" s="3" t="str">
        <f>IF(Table1[[#This Row],[Age]]&lt;25,"Under 25",IF(Table1[[#This Row],[Age]]&lt;35,"25-34",IF(Table1[[#This Row],[Age]]&lt;45,"35-44",IF(Table1[[#This Row],[Age]]&lt;55,"45-54","55+"))))</f>
        <v>35-44</v>
      </c>
      <c r="C555" s="3">
        <v>42</v>
      </c>
      <c r="D555" s="3" t="s">
        <v>7</v>
      </c>
      <c r="E555" s="3" t="s">
        <v>31</v>
      </c>
      <c r="F555" s="3" t="s">
        <v>136</v>
      </c>
      <c r="G555" s="3" t="s">
        <v>10</v>
      </c>
      <c r="H555" s="3" t="s">
        <v>11</v>
      </c>
      <c r="I555" s="3">
        <v>77686</v>
      </c>
      <c r="J555" s="3">
        <v>5</v>
      </c>
      <c r="K555" s="3">
        <v>5</v>
      </c>
      <c r="L555" s="3">
        <v>3</v>
      </c>
      <c r="M555" s="3">
        <v>4</v>
      </c>
      <c r="N555" s="3" t="s">
        <v>14</v>
      </c>
      <c r="O555" s="3" t="s">
        <v>20</v>
      </c>
      <c r="P555" s="3">
        <v>3</v>
      </c>
      <c r="Q555" s="3">
        <v>4</v>
      </c>
      <c r="R555" s="4" t="s">
        <v>14</v>
      </c>
      <c r="S555" s="4" t="s">
        <v>14</v>
      </c>
      <c r="T555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556" spans="1:20" ht="18" x14ac:dyDescent="0.35">
      <c r="A556" s="3" t="s">
        <v>599</v>
      </c>
      <c r="B556" s="3" t="str">
        <f>IF(Table1[[#This Row],[Age]]&lt;25,"Under 25",IF(Table1[[#This Row],[Age]]&lt;35,"25-34",IF(Table1[[#This Row],[Age]]&lt;45,"35-44",IF(Table1[[#This Row],[Age]]&lt;55,"45-54","55+"))))</f>
        <v>35-44</v>
      </c>
      <c r="C556" s="3">
        <v>43</v>
      </c>
      <c r="D556" s="3" t="s">
        <v>7</v>
      </c>
      <c r="E556" s="3" t="s">
        <v>8</v>
      </c>
      <c r="F556" s="3" t="s">
        <v>23</v>
      </c>
      <c r="G556" s="3" t="s">
        <v>45</v>
      </c>
      <c r="H556" s="3" t="s">
        <v>19</v>
      </c>
      <c r="I556" s="3">
        <v>42095</v>
      </c>
      <c r="J556" s="3">
        <v>23</v>
      </c>
      <c r="K556" s="3">
        <v>9</v>
      </c>
      <c r="L556" s="3">
        <v>3</v>
      </c>
      <c r="M556" s="3">
        <v>2</v>
      </c>
      <c r="N556" s="3" t="s">
        <v>14</v>
      </c>
      <c r="O556" s="3" t="s">
        <v>20</v>
      </c>
      <c r="P556" s="3">
        <v>3</v>
      </c>
      <c r="Q556" s="3">
        <v>6</v>
      </c>
      <c r="R556" s="4" t="s">
        <v>14</v>
      </c>
      <c r="S556" s="4" t="s">
        <v>14</v>
      </c>
      <c r="T556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557" spans="1:20" ht="18" x14ac:dyDescent="0.35">
      <c r="A557" s="3" t="s">
        <v>600</v>
      </c>
      <c r="B557" s="3" t="str">
        <f>IF(Table1[[#This Row],[Age]]&lt;25,"Under 25",IF(Table1[[#This Row],[Age]]&lt;35,"25-34",IF(Table1[[#This Row],[Age]]&lt;45,"35-44",IF(Table1[[#This Row],[Age]]&lt;55,"45-54","55+"))))</f>
        <v>25-34</v>
      </c>
      <c r="C557" s="3">
        <v>30</v>
      </c>
      <c r="D557" s="3" t="s">
        <v>22</v>
      </c>
      <c r="E557" s="3" t="s">
        <v>16</v>
      </c>
      <c r="F557" s="3" t="s">
        <v>47</v>
      </c>
      <c r="G557" s="3" t="s">
        <v>45</v>
      </c>
      <c r="H557" s="3" t="s">
        <v>42</v>
      </c>
      <c r="I557" s="3">
        <v>80669</v>
      </c>
      <c r="J557" s="3">
        <v>11</v>
      </c>
      <c r="K557" s="3">
        <v>1</v>
      </c>
      <c r="L557" s="3">
        <v>3</v>
      </c>
      <c r="M557" s="3">
        <v>3</v>
      </c>
      <c r="N557" s="3" t="s">
        <v>14</v>
      </c>
      <c r="O557" s="3" t="s">
        <v>13</v>
      </c>
      <c r="P557" s="3">
        <v>4</v>
      </c>
      <c r="Q557" s="3">
        <v>0</v>
      </c>
      <c r="R557" s="4" t="s">
        <v>12</v>
      </c>
      <c r="S557" s="4" t="s">
        <v>14</v>
      </c>
      <c r="T557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558" spans="1:20" ht="18" x14ac:dyDescent="0.35">
      <c r="A558" s="3" t="s">
        <v>601</v>
      </c>
      <c r="B558" s="3" t="str">
        <f>IF(Table1[[#This Row],[Age]]&lt;25,"Under 25",IF(Table1[[#This Row],[Age]]&lt;35,"25-34",IF(Table1[[#This Row],[Age]]&lt;45,"35-44",IF(Table1[[#This Row],[Age]]&lt;55,"45-54","55+"))))</f>
        <v>Under 25</v>
      </c>
      <c r="C558" s="3">
        <v>23</v>
      </c>
      <c r="D558" s="3" t="s">
        <v>22</v>
      </c>
      <c r="E558" s="3" t="s">
        <v>16</v>
      </c>
      <c r="F558" s="3" t="s">
        <v>47</v>
      </c>
      <c r="G558" s="3" t="s">
        <v>45</v>
      </c>
      <c r="H558" s="3" t="s">
        <v>19</v>
      </c>
      <c r="I558" s="3">
        <v>64908</v>
      </c>
      <c r="J558" s="3">
        <v>3</v>
      </c>
      <c r="K558" s="3">
        <v>2</v>
      </c>
      <c r="L558" s="3">
        <v>4</v>
      </c>
      <c r="M558" s="3">
        <v>4</v>
      </c>
      <c r="N558" s="3" t="s">
        <v>14</v>
      </c>
      <c r="O558" s="3" t="s">
        <v>13</v>
      </c>
      <c r="P558" s="3">
        <v>2</v>
      </c>
      <c r="Q558" s="3">
        <v>4</v>
      </c>
      <c r="R558" s="4" t="s">
        <v>14</v>
      </c>
      <c r="S558" s="4" t="s">
        <v>12</v>
      </c>
      <c r="T558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559" spans="1:20" ht="18" x14ac:dyDescent="0.35">
      <c r="A559" s="3" t="s">
        <v>602</v>
      </c>
      <c r="B559" s="3" t="str">
        <f>IF(Table1[[#This Row],[Age]]&lt;25,"Under 25",IF(Table1[[#This Row],[Age]]&lt;35,"25-34",IF(Table1[[#This Row],[Age]]&lt;45,"35-44",IF(Table1[[#This Row],[Age]]&lt;55,"45-54","55+"))))</f>
        <v>35-44</v>
      </c>
      <c r="C559" s="3">
        <v>43</v>
      </c>
      <c r="D559" s="3" t="s">
        <v>7</v>
      </c>
      <c r="E559" s="3" t="s">
        <v>8</v>
      </c>
      <c r="F559" s="3" t="s">
        <v>66</v>
      </c>
      <c r="G559" s="3" t="s">
        <v>10</v>
      </c>
      <c r="H559" s="3" t="s">
        <v>11</v>
      </c>
      <c r="I559" s="3">
        <v>48655</v>
      </c>
      <c r="J559" s="3">
        <v>21</v>
      </c>
      <c r="K559" s="3">
        <v>6</v>
      </c>
      <c r="L559" s="3">
        <v>4</v>
      </c>
      <c r="M559" s="3">
        <v>2</v>
      </c>
      <c r="N559" s="3" t="s">
        <v>14</v>
      </c>
      <c r="O559" s="3" t="s">
        <v>13</v>
      </c>
      <c r="P559" s="3">
        <v>3</v>
      </c>
      <c r="Q559" s="3">
        <v>1</v>
      </c>
      <c r="R559" s="4" t="s">
        <v>12</v>
      </c>
      <c r="S559" s="4" t="s">
        <v>14</v>
      </c>
      <c r="T559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560" spans="1:20" ht="18" x14ac:dyDescent="0.35">
      <c r="A560" s="3" t="s">
        <v>603</v>
      </c>
      <c r="B560" s="3" t="str">
        <f>IF(Table1[[#This Row],[Age]]&lt;25,"Under 25",IF(Table1[[#This Row],[Age]]&lt;35,"25-34",IF(Table1[[#This Row],[Age]]&lt;45,"35-44",IF(Table1[[#This Row],[Age]]&lt;55,"45-54","55+"))))</f>
        <v>35-44</v>
      </c>
      <c r="C560" s="3">
        <v>35</v>
      </c>
      <c r="D560" s="3" t="s">
        <v>7</v>
      </c>
      <c r="E560" s="3" t="s">
        <v>51</v>
      </c>
      <c r="F560" s="3" t="s">
        <v>72</v>
      </c>
      <c r="G560" s="3" t="s">
        <v>10</v>
      </c>
      <c r="H560" s="3" t="s">
        <v>19</v>
      </c>
      <c r="I560" s="3">
        <v>114931</v>
      </c>
      <c r="J560" s="3">
        <v>5</v>
      </c>
      <c r="K560" s="3">
        <v>5</v>
      </c>
      <c r="L560" s="3">
        <v>2</v>
      </c>
      <c r="M560" s="3">
        <v>4</v>
      </c>
      <c r="N560" s="3" t="s">
        <v>14</v>
      </c>
      <c r="O560" s="3" t="s">
        <v>13</v>
      </c>
      <c r="P560" s="3">
        <v>3</v>
      </c>
      <c r="Q560" s="3">
        <v>6</v>
      </c>
      <c r="R560" s="4" t="s">
        <v>14</v>
      </c>
      <c r="S560" s="4" t="s">
        <v>14</v>
      </c>
      <c r="T560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561" spans="1:20" ht="18" x14ac:dyDescent="0.35">
      <c r="A561" s="3" t="s">
        <v>604</v>
      </c>
      <c r="B561" s="3" t="str">
        <f>IF(Table1[[#This Row],[Age]]&lt;25,"Under 25",IF(Table1[[#This Row],[Age]]&lt;35,"25-34",IF(Table1[[#This Row],[Age]]&lt;45,"35-44",IF(Table1[[#This Row],[Age]]&lt;55,"45-54","55+"))))</f>
        <v>Under 25</v>
      </c>
      <c r="C561" s="3">
        <v>21</v>
      </c>
      <c r="D561" s="3" t="s">
        <v>7</v>
      </c>
      <c r="E561" s="3" t="s">
        <v>38</v>
      </c>
      <c r="F561" s="3" t="s">
        <v>89</v>
      </c>
      <c r="G561" s="3" t="s">
        <v>25</v>
      </c>
      <c r="H561" s="3" t="s">
        <v>19</v>
      </c>
      <c r="I561" s="3">
        <v>48970</v>
      </c>
      <c r="J561" s="3">
        <v>1</v>
      </c>
      <c r="K561" s="3">
        <v>0</v>
      </c>
      <c r="L561" s="3">
        <v>3</v>
      </c>
      <c r="M561" s="3">
        <v>3</v>
      </c>
      <c r="N561" s="3" t="s">
        <v>14</v>
      </c>
      <c r="O561" s="3" t="s">
        <v>20</v>
      </c>
      <c r="P561" s="3">
        <v>3</v>
      </c>
      <c r="Q561" s="3">
        <v>1</v>
      </c>
      <c r="R561" s="4" t="s">
        <v>14</v>
      </c>
      <c r="S561" s="4" t="s">
        <v>14</v>
      </c>
      <c r="T561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562" spans="1:20" ht="18" x14ac:dyDescent="0.35">
      <c r="A562" s="3" t="s">
        <v>605</v>
      </c>
      <c r="B562" s="3" t="str">
        <f>IF(Table1[[#This Row],[Age]]&lt;25,"Under 25",IF(Table1[[#This Row],[Age]]&lt;35,"25-34",IF(Table1[[#This Row],[Age]]&lt;45,"35-44",IF(Table1[[#This Row],[Age]]&lt;55,"45-54","55+"))))</f>
        <v>35-44</v>
      </c>
      <c r="C562" s="3">
        <v>39</v>
      </c>
      <c r="D562" s="3" t="s">
        <v>7</v>
      </c>
      <c r="E562" s="3" t="s">
        <v>8</v>
      </c>
      <c r="F562" s="3" t="s">
        <v>66</v>
      </c>
      <c r="G562" s="3" t="s">
        <v>25</v>
      </c>
      <c r="H562" s="3" t="s">
        <v>11</v>
      </c>
      <c r="I562" s="3">
        <v>55900</v>
      </c>
      <c r="J562" s="3">
        <v>7</v>
      </c>
      <c r="K562" s="3">
        <v>2</v>
      </c>
      <c r="L562" s="3">
        <v>2</v>
      </c>
      <c r="M562" s="3">
        <v>3</v>
      </c>
      <c r="N562" s="3" t="s">
        <v>14</v>
      </c>
      <c r="O562" s="3" t="s">
        <v>13</v>
      </c>
      <c r="P562" s="3">
        <v>3</v>
      </c>
      <c r="Q562" s="3">
        <v>1</v>
      </c>
      <c r="R562" s="4" t="s">
        <v>14</v>
      </c>
      <c r="S562" s="4" t="s">
        <v>14</v>
      </c>
      <c r="T562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563" spans="1:20" ht="18" x14ac:dyDescent="0.35">
      <c r="A563" s="3" t="s">
        <v>606</v>
      </c>
      <c r="B563" s="3" t="str">
        <f>IF(Table1[[#This Row],[Age]]&lt;25,"Under 25",IF(Table1[[#This Row],[Age]]&lt;35,"25-34",IF(Table1[[#This Row],[Age]]&lt;45,"35-44",IF(Table1[[#This Row],[Age]]&lt;55,"45-54","55+"))))</f>
        <v>Under 25</v>
      </c>
      <c r="C563" s="3">
        <v>21</v>
      </c>
      <c r="D563" s="3" t="s">
        <v>22</v>
      </c>
      <c r="E563" s="3" t="s">
        <v>38</v>
      </c>
      <c r="F563" s="3" t="s">
        <v>89</v>
      </c>
      <c r="G563" s="3" t="s">
        <v>10</v>
      </c>
      <c r="H563" s="3" t="s">
        <v>11</v>
      </c>
      <c r="I563" s="3">
        <v>110144</v>
      </c>
      <c r="J563" s="3">
        <v>1</v>
      </c>
      <c r="K563" s="3">
        <v>1</v>
      </c>
      <c r="L563" s="3">
        <v>2</v>
      </c>
      <c r="M563" s="3">
        <v>2</v>
      </c>
      <c r="N563" s="3" t="s">
        <v>14</v>
      </c>
      <c r="O563" s="3" t="s">
        <v>13</v>
      </c>
      <c r="P563" s="3">
        <v>3</v>
      </c>
      <c r="Q563" s="3">
        <v>1</v>
      </c>
      <c r="R563" s="4" t="s">
        <v>14</v>
      </c>
      <c r="S563" s="4" t="s">
        <v>14</v>
      </c>
      <c r="T563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564" spans="1:20" ht="18" x14ac:dyDescent="0.35">
      <c r="A564" s="3" t="s">
        <v>607</v>
      </c>
      <c r="B564" s="3" t="str">
        <f>IF(Table1[[#This Row],[Age]]&lt;25,"Under 25",IF(Table1[[#This Row],[Age]]&lt;35,"25-34",IF(Table1[[#This Row],[Age]]&lt;45,"35-44",IF(Table1[[#This Row],[Age]]&lt;55,"45-54","55+"))))</f>
        <v>25-34</v>
      </c>
      <c r="C564" s="3">
        <v>33</v>
      </c>
      <c r="D564" s="3" t="s">
        <v>22</v>
      </c>
      <c r="E564" s="3" t="s">
        <v>38</v>
      </c>
      <c r="F564" s="3" t="s">
        <v>59</v>
      </c>
      <c r="G564" s="3" t="s">
        <v>25</v>
      </c>
      <c r="H564" s="3" t="s">
        <v>11</v>
      </c>
      <c r="I564" s="3">
        <v>51544</v>
      </c>
      <c r="J564" s="3">
        <v>3</v>
      </c>
      <c r="K564" s="3">
        <v>3</v>
      </c>
      <c r="L564" s="3">
        <v>3</v>
      </c>
      <c r="M564" s="3">
        <v>3</v>
      </c>
      <c r="N564" s="3" t="s">
        <v>14</v>
      </c>
      <c r="O564" s="3" t="s">
        <v>20</v>
      </c>
      <c r="P564" s="3">
        <v>3</v>
      </c>
      <c r="Q564" s="3">
        <v>6</v>
      </c>
      <c r="R564" s="4" t="s">
        <v>14</v>
      </c>
      <c r="S564" s="4" t="s">
        <v>14</v>
      </c>
      <c r="T564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565" spans="1:20" ht="18" x14ac:dyDescent="0.35">
      <c r="A565" s="3" t="s">
        <v>608</v>
      </c>
      <c r="B565" s="3" t="str">
        <f>IF(Table1[[#This Row],[Age]]&lt;25,"Under 25",IF(Table1[[#This Row],[Age]]&lt;35,"25-34",IF(Table1[[#This Row],[Age]]&lt;45,"35-44",IF(Table1[[#This Row],[Age]]&lt;55,"45-54","55+"))))</f>
        <v>25-34</v>
      </c>
      <c r="C565" s="3">
        <v>32</v>
      </c>
      <c r="D565" s="3" t="s">
        <v>7</v>
      </c>
      <c r="E565" s="3" t="s">
        <v>31</v>
      </c>
      <c r="F565" s="3" t="s">
        <v>74</v>
      </c>
      <c r="G565" s="3" t="s">
        <v>10</v>
      </c>
      <c r="H565" s="3" t="s">
        <v>11</v>
      </c>
      <c r="I565" s="3">
        <v>50833</v>
      </c>
      <c r="J565" s="3">
        <v>8</v>
      </c>
      <c r="K565" s="3">
        <v>3</v>
      </c>
      <c r="L565" s="3">
        <v>3</v>
      </c>
      <c r="M565" s="3">
        <v>3</v>
      </c>
      <c r="N565" s="3" t="s">
        <v>14</v>
      </c>
      <c r="O565" s="3" t="s">
        <v>20</v>
      </c>
      <c r="P565" s="3">
        <v>3</v>
      </c>
      <c r="Q565" s="3">
        <v>6</v>
      </c>
      <c r="R565" s="4" t="s">
        <v>12</v>
      </c>
      <c r="S565" s="4" t="s">
        <v>14</v>
      </c>
      <c r="T565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566" spans="1:20" ht="18" x14ac:dyDescent="0.35">
      <c r="A566" s="3" t="s">
        <v>609</v>
      </c>
      <c r="B566" s="3" t="str">
        <f>IF(Table1[[#This Row],[Age]]&lt;25,"Under 25",IF(Table1[[#This Row],[Age]]&lt;35,"25-34",IF(Table1[[#This Row],[Age]]&lt;45,"35-44",IF(Table1[[#This Row],[Age]]&lt;55,"45-54","55+"))))</f>
        <v>35-44</v>
      </c>
      <c r="C566" s="3">
        <v>44</v>
      </c>
      <c r="D566" s="3" t="s">
        <v>7</v>
      </c>
      <c r="E566" s="3" t="s">
        <v>51</v>
      </c>
      <c r="F566" s="3" t="s">
        <v>80</v>
      </c>
      <c r="G566" s="3" t="s">
        <v>45</v>
      </c>
      <c r="H566" s="3" t="s">
        <v>11</v>
      </c>
      <c r="I566" s="3">
        <v>69268</v>
      </c>
      <c r="J566" s="3">
        <v>5</v>
      </c>
      <c r="K566" s="3">
        <v>5</v>
      </c>
      <c r="L566" s="3">
        <v>4</v>
      </c>
      <c r="M566" s="3">
        <v>2</v>
      </c>
      <c r="N566" s="3" t="s">
        <v>14</v>
      </c>
      <c r="O566" s="3" t="s">
        <v>13</v>
      </c>
      <c r="P566" s="3">
        <v>3</v>
      </c>
      <c r="Q566" s="3">
        <v>1</v>
      </c>
      <c r="R566" s="4" t="s">
        <v>14</v>
      </c>
      <c r="S566" s="4" t="s">
        <v>14</v>
      </c>
      <c r="T566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567" spans="1:20" ht="18" x14ac:dyDescent="0.35">
      <c r="A567" s="3" t="s">
        <v>610</v>
      </c>
      <c r="B567" s="3" t="str">
        <f>IF(Table1[[#This Row],[Age]]&lt;25,"Under 25",IF(Table1[[#This Row],[Age]]&lt;35,"25-34",IF(Table1[[#This Row],[Age]]&lt;45,"35-44",IF(Table1[[#This Row],[Age]]&lt;55,"45-54","55+"))))</f>
        <v>35-44</v>
      </c>
      <c r="C567" s="3">
        <v>39</v>
      </c>
      <c r="D567" s="3" t="s">
        <v>22</v>
      </c>
      <c r="E567" s="3" t="s">
        <v>38</v>
      </c>
      <c r="F567" s="3" t="s">
        <v>89</v>
      </c>
      <c r="G567" s="3" t="s">
        <v>10</v>
      </c>
      <c r="H567" s="3" t="s">
        <v>19</v>
      </c>
      <c r="I567" s="3">
        <v>99313</v>
      </c>
      <c r="J567" s="3">
        <v>18</v>
      </c>
      <c r="K567" s="3">
        <v>7</v>
      </c>
      <c r="L567" s="3">
        <v>1</v>
      </c>
      <c r="M567" s="3">
        <v>4</v>
      </c>
      <c r="N567" s="3" t="s">
        <v>14</v>
      </c>
      <c r="O567" s="3" t="s">
        <v>13</v>
      </c>
      <c r="P567" s="3">
        <v>3</v>
      </c>
      <c r="Q567" s="3">
        <v>6</v>
      </c>
      <c r="R567" s="4" t="s">
        <v>14</v>
      </c>
      <c r="S567" s="4" t="s">
        <v>14</v>
      </c>
      <c r="T567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568" spans="1:20" ht="18" x14ac:dyDescent="0.35">
      <c r="A568" s="3" t="s">
        <v>611</v>
      </c>
      <c r="B568" s="3" t="str">
        <f>IF(Table1[[#This Row],[Age]]&lt;25,"Under 25",IF(Table1[[#This Row],[Age]]&lt;35,"25-34",IF(Table1[[#This Row],[Age]]&lt;45,"35-44",IF(Table1[[#This Row],[Age]]&lt;55,"45-54","55+"))))</f>
        <v>35-44</v>
      </c>
      <c r="C568" s="3">
        <v>37</v>
      </c>
      <c r="D568" s="3" t="s">
        <v>22</v>
      </c>
      <c r="E568" s="3" t="s">
        <v>16</v>
      </c>
      <c r="F568" s="3" t="s">
        <v>47</v>
      </c>
      <c r="G568" s="3" t="s">
        <v>10</v>
      </c>
      <c r="H568" s="3" t="s">
        <v>19</v>
      </c>
      <c r="I568" s="3">
        <v>69487</v>
      </c>
      <c r="J568" s="3">
        <v>13</v>
      </c>
      <c r="K568" s="3">
        <v>0</v>
      </c>
      <c r="L568" s="3">
        <v>2</v>
      </c>
      <c r="M568" s="3">
        <v>2</v>
      </c>
      <c r="N568" s="3" t="s">
        <v>12</v>
      </c>
      <c r="O568" s="3" t="s">
        <v>13</v>
      </c>
      <c r="P568" s="3">
        <v>4</v>
      </c>
      <c r="Q568" s="3">
        <v>6</v>
      </c>
      <c r="R568" s="4" t="s">
        <v>12</v>
      </c>
      <c r="S568" s="4" t="s">
        <v>14</v>
      </c>
      <c r="T568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569" spans="1:20" ht="18" x14ac:dyDescent="0.35">
      <c r="A569" s="3" t="s">
        <v>612</v>
      </c>
      <c r="B569" s="3" t="str">
        <f>IF(Table1[[#This Row],[Age]]&lt;25,"Under 25",IF(Table1[[#This Row],[Age]]&lt;35,"25-34",IF(Table1[[#This Row],[Age]]&lt;45,"35-44",IF(Table1[[#This Row],[Age]]&lt;55,"45-54","55+"))))</f>
        <v>35-44</v>
      </c>
      <c r="C569" s="3">
        <v>37</v>
      </c>
      <c r="D569" s="3" t="s">
        <v>22</v>
      </c>
      <c r="E569" s="3" t="s">
        <v>16</v>
      </c>
      <c r="F569" s="3" t="s">
        <v>17</v>
      </c>
      <c r="G569" s="3" t="s">
        <v>10</v>
      </c>
      <c r="H569" s="3" t="s">
        <v>11</v>
      </c>
      <c r="I569" s="3">
        <v>43510</v>
      </c>
      <c r="J569" s="3">
        <v>3</v>
      </c>
      <c r="K569" s="3">
        <v>3</v>
      </c>
      <c r="L569" s="3">
        <v>4</v>
      </c>
      <c r="M569" s="3">
        <v>2</v>
      </c>
      <c r="N569" s="3" t="s">
        <v>14</v>
      </c>
      <c r="O569" s="3" t="s">
        <v>26</v>
      </c>
      <c r="P569" s="3">
        <v>3</v>
      </c>
      <c r="Q569" s="3">
        <v>0</v>
      </c>
      <c r="R569" s="4" t="s">
        <v>14</v>
      </c>
      <c r="S569" s="4" t="s">
        <v>14</v>
      </c>
      <c r="T569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570" spans="1:20" ht="18" x14ac:dyDescent="0.35">
      <c r="A570" s="3" t="s">
        <v>613</v>
      </c>
      <c r="B570" s="3" t="str">
        <f>IF(Table1[[#This Row],[Age]]&lt;25,"Under 25",IF(Table1[[#This Row],[Age]]&lt;35,"25-34",IF(Table1[[#This Row],[Age]]&lt;45,"35-44",IF(Table1[[#This Row],[Age]]&lt;55,"45-54","55+"))))</f>
        <v>25-34</v>
      </c>
      <c r="C570" s="3">
        <v>31</v>
      </c>
      <c r="D570" s="3" t="s">
        <v>7</v>
      </c>
      <c r="E570" s="3" t="s">
        <v>8</v>
      </c>
      <c r="F570" s="3" t="s">
        <v>23</v>
      </c>
      <c r="G570" s="3" t="s">
        <v>25</v>
      </c>
      <c r="H570" s="3" t="s">
        <v>11</v>
      </c>
      <c r="I570" s="3">
        <v>69257</v>
      </c>
      <c r="J570" s="3">
        <v>2</v>
      </c>
      <c r="K570" s="3">
        <v>1</v>
      </c>
      <c r="L570" s="3">
        <v>3</v>
      </c>
      <c r="M570" s="3">
        <v>3</v>
      </c>
      <c r="N570" s="3" t="s">
        <v>14</v>
      </c>
      <c r="O570" s="3" t="s">
        <v>20</v>
      </c>
      <c r="P570" s="3">
        <v>4</v>
      </c>
      <c r="Q570" s="3">
        <v>1</v>
      </c>
      <c r="R570" s="4" t="s">
        <v>14</v>
      </c>
      <c r="S570" s="4" t="s">
        <v>14</v>
      </c>
      <c r="T570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571" spans="1:20" ht="18" x14ac:dyDescent="0.35">
      <c r="A571" s="3" t="s">
        <v>614</v>
      </c>
      <c r="B571" s="3" t="str">
        <f>IF(Table1[[#This Row],[Age]]&lt;25,"Under 25",IF(Table1[[#This Row],[Age]]&lt;35,"25-34",IF(Table1[[#This Row],[Age]]&lt;45,"35-44",IF(Table1[[#This Row],[Age]]&lt;55,"45-54","55+"))))</f>
        <v>Under 25</v>
      </c>
      <c r="C571" s="3">
        <v>23</v>
      </c>
      <c r="D571" s="3" t="s">
        <v>7</v>
      </c>
      <c r="E571" s="3" t="s">
        <v>34</v>
      </c>
      <c r="F571" s="3" t="s">
        <v>35</v>
      </c>
      <c r="G571" s="3" t="s">
        <v>25</v>
      </c>
      <c r="H571" s="3" t="s">
        <v>11</v>
      </c>
      <c r="I571" s="3">
        <v>112072</v>
      </c>
      <c r="J571" s="3">
        <v>2</v>
      </c>
      <c r="K571" s="3">
        <v>0</v>
      </c>
      <c r="L571" s="3">
        <v>3</v>
      </c>
      <c r="M571" s="3">
        <v>2</v>
      </c>
      <c r="N571" s="3" t="s">
        <v>14</v>
      </c>
      <c r="O571" s="3" t="s">
        <v>13</v>
      </c>
      <c r="P571" s="3">
        <v>3</v>
      </c>
      <c r="Q571" s="3">
        <v>5</v>
      </c>
      <c r="R571" s="4" t="s">
        <v>14</v>
      </c>
      <c r="S571" s="4" t="s">
        <v>14</v>
      </c>
      <c r="T571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572" spans="1:20" ht="18" x14ac:dyDescent="0.35">
      <c r="A572" s="3" t="s">
        <v>615</v>
      </c>
      <c r="B572" s="3" t="str">
        <f>IF(Table1[[#This Row],[Age]]&lt;25,"Under 25",IF(Table1[[#This Row],[Age]]&lt;35,"25-34",IF(Table1[[#This Row],[Age]]&lt;45,"35-44",IF(Table1[[#This Row],[Age]]&lt;55,"45-54","55+"))))</f>
        <v>35-44</v>
      </c>
      <c r="C572" s="3">
        <v>39</v>
      </c>
      <c r="D572" s="3" t="s">
        <v>7</v>
      </c>
      <c r="E572" s="3" t="s">
        <v>31</v>
      </c>
      <c r="F572" s="3" t="s">
        <v>74</v>
      </c>
      <c r="G572" s="3" t="s">
        <v>10</v>
      </c>
      <c r="H572" s="3" t="s">
        <v>19</v>
      </c>
      <c r="I572" s="3">
        <v>56146</v>
      </c>
      <c r="J572" s="3">
        <v>2</v>
      </c>
      <c r="K572" s="3">
        <v>0</v>
      </c>
      <c r="L572" s="3">
        <v>3</v>
      </c>
      <c r="M572" s="3">
        <v>2</v>
      </c>
      <c r="N572" s="3" t="s">
        <v>12</v>
      </c>
      <c r="O572" s="3" t="s">
        <v>20</v>
      </c>
      <c r="P572" s="3">
        <v>3</v>
      </c>
      <c r="Q572" s="3">
        <v>2</v>
      </c>
      <c r="R572" s="4" t="s">
        <v>12</v>
      </c>
      <c r="S572" s="4" t="s">
        <v>14</v>
      </c>
      <c r="T572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573" spans="1:20" ht="18" x14ac:dyDescent="0.35">
      <c r="A573" s="3" t="s">
        <v>616</v>
      </c>
      <c r="B573" s="3" t="str">
        <f>IF(Table1[[#This Row],[Age]]&lt;25,"Under 25",IF(Table1[[#This Row],[Age]]&lt;35,"25-34",IF(Table1[[#This Row],[Age]]&lt;45,"35-44",IF(Table1[[#This Row],[Age]]&lt;55,"45-54","55+"))))</f>
        <v>45-54</v>
      </c>
      <c r="C573" s="3">
        <v>49</v>
      </c>
      <c r="D573" s="3" t="s">
        <v>7</v>
      </c>
      <c r="E573" s="3" t="s">
        <v>16</v>
      </c>
      <c r="F573" s="3" t="s">
        <v>17</v>
      </c>
      <c r="G573" s="3" t="s">
        <v>10</v>
      </c>
      <c r="H573" s="3" t="s">
        <v>19</v>
      </c>
      <c r="I573" s="3">
        <v>61505</v>
      </c>
      <c r="J573" s="3">
        <v>25</v>
      </c>
      <c r="K573" s="3">
        <v>9</v>
      </c>
      <c r="L573" s="3">
        <v>2</v>
      </c>
      <c r="M573" s="3">
        <v>3</v>
      </c>
      <c r="N573" s="3" t="s">
        <v>12</v>
      </c>
      <c r="O573" s="3" t="s">
        <v>26</v>
      </c>
      <c r="P573" s="3">
        <v>3</v>
      </c>
      <c r="Q573" s="3">
        <v>2</v>
      </c>
      <c r="R573" s="4" t="s">
        <v>14</v>
      </c>
      <c r="S573" s="4" t="s">
        <v>14</v>
      </c>
      <c r="T573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574" spans="1:20" ht="18" x14ac:dyDescent="0.35">
      <c r="A574" s="3" t="s">
        <v>617</v>
      </c>
      <c r="B574" s="3" t="str">
        <f>IF(Table1[[#This Row],[Age]]&lt;25,"Under 25",IF(Table1[[#This Row],[Age]]&lt;35,"25-34",IF(Table1[[#This Row],[Age]]&lt;45,"35-44",IF(Table1[[#This Row],[Age]]&lt;55,"45-54","55+"))))</f>
        <v>35-44</v>
      </c>
      <c r="C574" s="3">
        <v>40</v>
      </c>
      <c r="D574" s="3" t="s">
        <v>22</v>
      </c>
      <c r="E574" s="3" t="s">
        <v>16</v>
      </c>
      <c r="F574" s="3" t="s">
        <v>28</v>
      </c>
      <c r="G574" s="3" t="s">
        <v>25</v>
      </c>
      <c r="H574" s="3" t="s">
        <v>11</v>
      </c>
      <c r="I574" s="3">
        <v>76925</v>
      </c>
      <c r="J574" s="3">
        <v>7</v>
      </c>
      <c r="K574" s="3">
        <v>4</v>
      </c>
      <c r="L574" s="3">
        <v>4</v>
      </c>
      <c r="M574" s="3">
        <v>2</v>
      </c>
      <c r="N574" s="3" t="s">
        <v>14</v>
      </c>
      <c r="O574" s="3" t="s">
        <v>26</v>
      </c>
      <c r="P574" s="3">
        <v>3</v>
      </c>
      <c r="Q574" s="3">
        <v>3</v>
      </c>
      <c r="R574" s="4" t="s">
        <v>12</v>
      </c>
      <c r="S574" s="4" t="s">
        <v>14</v>
      </c>
      <c r="T574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575" spans="1:20" ht="18" x14ac:dyDescent="0.35">
      <c r="A575" s="3" t="s">
        <v>618</v>
      </c>
      <c r="B575" s="3" t="str">
        <f>IF(Table1[[#This Row],[Age]]&lt;25,"Under 25",IF(Table1[[#This Row],[Age]]&lt;35,"25-34",IF(Table1[[#This Row],[Age]]&lt;45,"35-44",IF(Table1[[#This Row],[Age]]&lt;55,"45-54","55+"))))</f>
        <v>35-44</v>
      </c>
      <c r="C575" s="3">
        <v>41</v>
      </c>
      <c r="D575" s="3" t="s">
        <v>7</v>
      </c>
      <c r="E575" s="3" t="s">
        <v>51</v>
      </c>
      <c r="F575" s="3" t="s">
        <v>80</v>
      </c>
      <c r="G575" s="3" t="s">
        <v>10</v>
      </c>
      <c r="H575" s="3" t="s">
        <v>19</v>
      </c>
      <c r="I575" s="3">
        <v>47036</v>
      </c>
      <c r="J575" s="3">
        <v>18</v>
      </c>
      <c r="K575" s="3">
        <v>6</v>
      </c>
      <c r="L575" s="3">
        <v>3</v>
      </c>
      <c r="M575" s="3">
        <v>1</v>
      </c>
      <c r="N575" s="3" t="s">
        <v>14</v>
      </c>
      <c r="O575" s="3" t="s">
        <v>13</v>
      </c>
      <c r="P575" s="3">
        <v>3</v>
      </c>
      <c r="Q575" s="3">
        <v>2</v>
      </c>
      <c r="R575" s="4" t="s">
        <v>12</v>
      </c>
      <c r="S575" s="4" t="s">
        <v>14</v>
      </c>
      <c r="T575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576" spans="1:20" ht="18" x14ac:dyDescent="0.35">
      <c r="A576" s="3" t="s">
        <v>619</v>
      </c>
      <c r="B576" s="3" t="str">
        <f>IF(Table1[[#This Row],[Age]]&lt;25,"Under 25",IF(Table1[[#This Row],[Age]]&lt;35,"25-34",IF(Table1[[#This Row],[Age]]&lt;45,"35-44",IF(Table1[[#This Row],[Age]]&lt;55,"45-54","55+"))))</f>
        <v>35-44</v>
      </c>
      <c r="C576" s="3">
        <v>42</v>
      </c>
      <c r="D576" s="3" t="s">
        <v>7</v>
      </c>
      <c r="E576" s="3" t="s">
        <v>51</v>
      </c>
      <c r="F576" s="3" t="s">
        <v>72</v>
      </c>
      <c r="G576" s="3" t="s">
        <v>25</v>
      </c>
      <c r="H576" s="3" t="s">
        <v>11</v>
      </c>
      <c r="I576" s="3">
        <v>62321</v>
      </c>
      <c r="J576" s="3">
        <v>16</v>
      </c>
      <c r="K576" s="3">
        <v>7</v>
      </c>
      <c r="L576" s="3">
        <v>3</v>
      </c>
      <c r="M576" s="3">
        <v>2</v>
      </c>
      <c r="N576" s="3" t="s">
        <v>14</v>
      </c>
      <c r="O576" s="3" t="s">
        <v>26</v>
      </c>
      <c r="P576" s="3">
        <v>4</v>
      </c>
      <c r="Q576" s="3">
        <v>5</v>
      </c>
      <c r="R576" s="4" t="s">
        <v>14</v>
      </c>
      <c r="S576" s="4" t="s">
        <v>14</v>
      </c>
      <c r="T576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577" spans="1:20" ht="18" x14ac:dyDescent="0.35">
      <c r="A577" s="3" t="s">
        <v>620</v>
      </c>
      <c r="B577" s="3" t="str">
        <f>IF(Table1[[#This Row],[Age]]&lt;25,"Under 25",IF(Table1[[#This Row],[Age]]&lt;35,"25-34",IF(Table1[[#This Row],[Age]]&lt;45,"35-44",IF(Table1[[#This Row],[Age]]&lt;55,"45-54","55+"))))</f>
        <v>Under 25</v>
      </c>
      <c r="C577" s="3">
        <v>21</v>
      </c>
      <c r="D577" s="3" t="s">
        <v>7</v>
      </c>
      <c r="E577" s="3" t="s">
        <v>8</v>
      </c>
      <c r="F577" s="3" t="s">
        <v>66</v>
      </c>
      <c r="G577" s="3" t="s">
        <v>25</v>
      </c>
      <c r="H577" s="3" t="s">
        <v>19</v>
      </c>
      <c r="I577" s="3">
        <v>76156</v>
      </c>
      <c r="J577" s="3">
        <v>1</v>
      </c>
      <c r="K577" s="3">
        <v>1</v>
      </c>
      <c r="L577" s="3">
        <v>2</v>
      </c>
      <c r="M577" s="3">
        <v>4</v>
      </c>
      <c r="N577" s="3" t="s">
        <v>14</v>
      </c>
      <c r="O577" s="3" t="s">
        <v>13</v>
      </c>
      <c r="P577" s="3">
        <v>3</v>
      </c>
      <c r="Q577" s="3">
        <v>6</v>
      </c>
      <c r="R577" s="4" t="s">
        <v>12</v>
      </c>
      <c r="S577" s="4" t="s">
        <v>14</v>
      </c>
      <c r="T577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578" spans="1:20" ht="18" x14ac:dyDescent="0.35">
      <c r="A578" s="3" t="s">
        <v>621</v>
      </c>
      <c r="B578" s="3" t="str">
        <f>IF(Table1[[#This Row],[Age]]&lt;25,"Under 25",IF(Table1[[#This Row],[Age]]&lt;35,"25-34",IF(Table1[[#This Row],[Age]]&lt;45,"35-44",IF(Table1[[#This Row],[Age]]&lt;55,"45-54","55+"))))</f>
        <v>25-34</v>
      </c>
      <c r="C578" s="3">
        <v>29</v>
      </c>
      <c r="D578" s="3" t="s">
        <v>22</v>
      </c>
      <c r="E578" s="3" t="s">
        <v>34</v>
      </c>
      <c r="F578" s="3" t="s">
        <v>150</v>
      </c>
      <c r="G578" s="3" t="s">
        <v>25</v>
      </c>
      <c r="H578" s="3" t="s">
        <v>19</v>
      </c>
      <c r="I578" s="3">
        <v>62750</v>
      </c>
      <c r="J578" s="3">
        <v>6</v>
      </c>
      <c r="K578" s="3">
        <v>6</v>
      </c>
      <c r="L578" s="3">
        <v>3</v>
      </c>
      <c r="M578" s="3">
        <v>3</v>
      </c>
      <c r="N578" s="3" t="s">
        <v>12</v>
      </c>
      <c r="O578" s="3" t="s">
        <v>13</v>
      </c>
      <c r="P578" s="3">
        <v>3</v>
      </c>
      <c r="Q578" s="3">
        <v>2</v>
      </c>
      <c r="R578" s="4" t="s">
        <v>14</v>
      </c>
      <c r="S578" s="4" t="s">
        <v>14</v>
      </c>
      <c r="T578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579" spans="1:20" ht="18" x14ac:dyDescent="0.35">
      <c r="A579" s="3" t="s">
        <v>622</v>
      </c>
      <c r="B579" s="3" t="str">
        <f>IF(Table1[[#This Row],[Age]]&lt;25,"Under 25",IF(Table1[[#This Row],[Age]]&lt;35,"25-34",IF(Table1[[#This Row],[Age]]&lt;45,"35-44",IF(Table1[[#This Row],[Age]]&lt;55,"45-54","55+"))))</f>
        <v>25-34</v>
      </c>
      <c r="C579" s="3">
        <v>25</v>
      </c>
      <c r="D579" s="3" t="s">
        <v>22</v>
      </c>
      <c r="E579" s="3" t="s">
        <v>34</v>
      </c>
      <c r="F579" s="3" t="s">
        <v>91</v>
      </c>
      <c r="G579" s="3" t="s">
        <v>10</v>
      </c>
      <c r="H579" s="3" t="s">
        <v>42</v>
      </c>
      <c r="I579" s="3">
        <v>41462</v>
      </c>
      <c r="J579" s="3">
        <v>2</v>
      </c>
      <c r="K579" s="3">
        <v>1</v>
      </c>
      <c r="L579" s="3">
        <v>3</v>
      </c>
      <c r="M579" s="3">
        <v>3</v>
      </c>
      <c r="N579" s="3" t="s">
        <v>14</v>
      </c>
      <c r="O579" s="3" t="s">
        <v>13</v>
      </c>
      <c r="P579" s="3">
        <v>3</v>
      </c>
      <c r="Q579" s="3">
        <v>2</v>
      </c>
      <c r="R579" s="4" t="s">
        <v>14</v>
      </c>
      <c r="S579" s="4" t="s">
        <v>14</v>
      </c>
      <c r="T579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580" spans="1:20" ht="18" x14ac:dyDescent="0.35">
      <c r="A580" s="3" t="s">
        <v>623</v>
      </c>
      <c r="B580" s="3" t="str">
        <f>IF(Table1[[#This Row],[Age]]&lt;25,"Under 25",IF(Table1[[#This Row],[Age]]&lt;35,"25-34",IF(Table1[[#This Row],[Age]]&lt;45,"35-44",IF(Table1[[#This Row],[Age]]&lt;55,"45-54","55+"))))</f>
        <v>35-44</v>
      </c>
      <c r="C580" s="3">
        <v>37</v>
      </c>
      <c r="D580" s="3" t="s">
        <v>22</v>
      </c>
      <c r="E580" s="3" t="s">
        <v>8</v>
      </c>
      <c r="F580" s="3" t="s">
        <v>9</v>
      </c>
      <c r="G580" s="3" t="s">
        <v>10</v>
      </c>
      <c r="H580" s="3" t="s">
        <v>19</v>
      </c>
      <c r="I580" s="3">
        <v>75940</v>
      </c>
      <c r="J580" s="3">
        <v>10</v>
      </c>
      <c r="K580" s="3">
        <v>7</v>
      </c>
      <c r="L580" s="3">
        <v>4</v>
      </c>
      <c r="M580" s="3">
        <v>4</v>
      </c>
      <c r="N580" s="3" t="s">
        <v>14</v>
      </c>
      <c r="O580" s="3" t="s">
        <v>13</v>
      </c>
      <c r="P580" s="3">
        <v>4</v>
      </c>
      <c r="Q580" s="3">
        <v>4</v>
      </c>
      <c r="R580" s="4" t="s">
        <v>14</v>
      </c>
      <c r="S580" s="4" t="s">
        <v>14</v>
      </c>
      <c r="T580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581" spans="1:20" ht="18" x14ac:dyDescent="0.35">
      <c r="A581" s="3" t="s">
        <v>624</v>
      </c>
      <c r="B581" s="3" t="str">
        <f>IF(Table1[[#This Row],[Age]]&lt;25,"Under 25",IF(Table1[[#This Row],[Age]]&lt;35,"25-34",IF(Table1[[#This Row],[Age]]&lt;45,"35-44",IF(Table1[[#This Row],[Age]]&lt;55,"45-54","55+"))))</f>
        <v>Under 25</v>
      </c>
      <c r="C581" s="3">
        <v>24</v>
      </c>
      <c r="D581" s="3" t="s">
        <v>7</v>
      </c>
      <c r="E581" s="3" t="s">
        <v>16</v>
      </c>
      <c r="F581" s="3" t="s">
        <v>17</v>
      </c>
      <c r="G581" s="3" t="s">
        <v>10</v>
      </c>
      <c r="H581" s="3" t="s">
        <v>19</v>
      </c>
      <c r="I581" s="3">
        <v>40807</v>
      </c>
      <c r="J581" s="3">
        <v>4</v>
      </c>
      <c r="K581" s="3">
        <v>4</v>
      </c>
      <c r="L581" s="3">
        <v>2</v>
      </c>
      <c r="M581" s="3">
        <v>1</v>
      </c>
      <c r="N581" s="3" t="s">
        <v>14</v>
      </c>
      <c r="O581" s="3" t="s">
        <v>20</v>
      </c>
      <c r="P581" s="3">
        <v>3</v>
      </c>
      <c r="Q581" s="3">
        <v>4</v>
      </c>
      <c r="R581" s="4" t="s">
        <v>14</v>
      </c>
      <c r="S581" s="4" t="s">
        <v>14</v>
      </c>
      <c r="T581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582" spans="1:20" ht="18" x14ac:dyDescent="0.35">
      <c r="A582" s="3" t="s">
        <v>625</v>
      </c>
      <c r="B582" s="3" t="str">
        <f>IF(Table1[[#This Row],[Age]]&lt;25,"Under 25",IF(Table1[[#This Row],[Age]]&lt;35,"25-34",IF(Table1[[#This Row],[Age]]&lt;45,"35-44",IF(Table1[[#This Row],[Age]]&lt;55,"45-54","55+"))))</f>
        <v>35-44</v>
      </c>
      <c r="C582" s="3">
        <v>35</v>
      </c>
      <c r="D582" s="3" t="s">
        <v>7</v>
      </c>
      <c r="E582" s="3" t="s">
        <v>38</v>
      </c>
      <c r="F582" s="3" t="s">
        <v>89</v>
      </c>
      <c r="G582" s="3" t="s">
        <v>25</v>
      </c>
      <c r="H582" s="3" t="s">
        <v>19</v>
      </c>
      <c r="I582" s="3">
        <v>62855</v>
      </c>
      <c r="J582" s="3">
        <v>10</v>
      </c>
      <c r="K582" s="3">
        <v>2</v>
      </c>
      <c r="L582" s="3">
        <v>3</v>
      </c>
      <c r="M582" s="3">
        <v>3</v>
      </c>
      <c r="N582" s="3" t="s">
        <v>12</v>
      </c>
      <c r="O582" s="3" t="s">
        <v>13</v>
      </c>
      <c r="P582" s="3">
        <v>3</v>
      </c>
      <c r="Q582" s="3">
        <v>0</v>
      </c>
      <c r="R582" s="4" t="s">
        <v>14</v>
      </c>
      <c r="S582" s="4" t="s">
        <v>14</v>
      </c>
      <c r="T582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583" spans="1:20" ht="18" x14ac:dyDescent="0.35">
      <c r="A583" s="3" t="s">
        <v>626</v>
      </c>
      <c r="B583" s="3" t="str">
        <f>IF(Table1[[#This Row],[Age]]&lt;25,"Under 25",IF(Table1[[#This Row],[Age]]&lt;35,"25-34",IF(Table1[[#This Row],[Age]]&lt;45,"35-44",IF(Table1[[#This Row],[Age]]&lt;55,"45-54","55+"))))</f>
        <v>45-54</v>
      </c>
      <c r="C583" s="3">
        <v>46</v>
      </c>
      <c r="D583" s="3" t="s">
        <v>22</v>
      </c>
      <c r="E583" s="3" t="s">
        <v>34</v>
      </c>
      <c r="F583" s="3" t="s">
        <v>35</v>
      </c>
      <c r="G583" s="3" t="s">
        <v>18</v>
      </c>
      <c r="H583" s="3" t="s">
        <v>42</v>
      </c>
      <c r="I583" s="3">
        <v>55943</v>
      </c>
      <c r="J583" s="3">
        <v>20</v>
      </c>
      <c r="K583" s="3">
        <v>0</v>
      </c>
      <c r="L583" s="3">
        <v>3</v>
      </c>
      <c r="M583" s="3">
        <v>2</v>
      </c>
      <c r="N583" s="3" t="s">
        <v>12</v>
      </c>
      <c r="O583" s="3" t="s">
        <v>20</v>
      </c>
      <c r="P583" s="3">
        <v>2</v>
      </c>
      <c r="Q583" s="3">
        <v>6</v>
      </c>
      <c r="R583" s="4" t="s">
        <v>14</v>
      </c>
      <c r="S583" s="4" t="s">
        <v>14</v>
      </c>
      <c r="T583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584" spans="1:20" ht="18" x14ac:dyDescent="0.35">
      <c r="A584" s="3" t="s">
        <v>627</v>
      </c>
      <c r="B584" s="3" t="str">
        <f>IF(Table1[[#This Row],[Age]]&lt;25,"Under 25",IF(Table1[[#This Row],[Age]]&lt;35,"25-34",IF(Table1[[#This Row],[Age]]&lt;45,"35-44",IF(Table1[[#This Row],[Age]]&lt;55,"45-54","55+"))))</f>
        <v>35-44</v>
      </c>
      <c r="C584" s="3">
        <v>39</v>
      </c>
      <c r="D584" s="3" t="s">
        <v>7</v>
      </c>
      <c r="E584" s="3" t="s">
        <v>38</v>
      </c>
      <c r="F584" s="3" t="s">
        <v>89</v>
      </c>
      <c r="G584" s="3" t="s">
        <v>25</v>
      </c>
      <c r="H584" s="3" t="s">
        <v>11</v>
      </c>
      <c r="I584" s="3">
        <v>69261</v>
      </c>
      <c r="J584" s="3">
        <v>14</v>
      </c>
      <c r="K584" s="3">
        <v>0</v>
      </c>
      <c r="L584" s="3">
        <v>3</v>
      </c>
      <c r="M584" s="3">
        <v>4</v>
      </c>
      <c r="N584" s="3" t="s">
        <v>14</v>
      </c>
      <c r="O584" s="3" t="s">
        <v>13</v>
      </c>
      <c r="P584" s="3">
        <v>3</v>
      </c>
      <c r="Q584" s="3">
        <v>6</v>
      </c>
      <c r="R584" s="4" t="s">
        <v>14</v>
      </c>
      <c r="S584" s="4" t="s">
        <v>14</v>
      </c>
      <c r="T584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585" spans="1:20" ht="18" x14ac:dyDescent="0.35">
      <c r="A585" s="3" t="s">
        <v>628</v>
      </c>
      <c r="B585" s="3" t="str">
        <f>IF(Table1[[#This Row],[Age]]&lt;25,"Under 25",IF(Table1[[#This Row],[Age]]&lt;35,"25-34",IF(Table1[[#This Row],[Age]]&lt;45,"35-44",IF(Table1[[#This Row],[Age]]&lt;55,"45-54","55+"))))</f>
        <v>35-44</v>
      </c>
      <c r="C585" s="3">
        <v>38</v>
      </c>
      <c r="D585" s="3" t="s">
        <v>22</v>
      </c>
      <c r="E585" s="3" t="s">
        <v>34</v>
      </c>
      <c r="F585" s="3" t="s">
        <v>150</v>
      </c>
      <c r="G585" s="3" t="s">
        <v>10</v>
      </c>
      <c r="H585" s="3" t="s">
        <v>11</v>
      </c>
      <c r="I585" s="3">
        <v>125578</v>
      </c>
      <c r="J585" s="3">
        <v>3</v>
      </c>
      <c r="K585" s="3">
        <v>1</v>
      </c>
      <c r="L585" s="3">
        <v>4</v>
      </c>
      <c r="M585" s="3">
        <v>3</v>
      </c>
      <c r="N585" s="3" t="s">
        <v>14</v>
      </c>
      <c r="O585" s="3" t="s">
        <v>20</v>
      </c>
      <c r="P585" s="3">
        <v>2</v>
      </c>
      <c r="Q585" s="3">
        <v>5</v>
      </c>
      <c r="R585" s="4" t="s">
        <v>14</v>
      </c>
      <c r="S585" s="4" t="s">
        <v>14</v>
      </c>
      <c r="T585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586" spans="1:20" ht="18" x14ac:dyDescent="0.35">
      <c r="A586" s="3" t="s">
        <v>629</v>
      </c>
      <c r="B586" s="3" t="str">
        <f>IF(Table1[[#This Row],[Age]]&lt;25,"Under 25",IF(Table1[[#This Row],[Age]]&lt;35,"25-34",IF(Table1[[#This Row],[Age]]&lt;45,"35-44",IF(Table1[[#This Row],[Age]]&lt;55,"45-54","55+"))))</f>
        <v>35-44</v>
      </c>
      <c r="C586" s="3">
        <v>41</v>
      </c>
      <c r="D586" s="3" t="s">
        <v>22</v>
      </c>
      <c r="E586" s="3" t="s">
        <v>38</v>
      </c>
      <c r="F586" s="3" t="s">
        <v>59</v>
      </c>
      <c r="G586" s="3" t="s">
        <v>18</v>
      </c>
      <c r="H586" s="3" t="s">
        <v>19</v>
      </c>
      <c r="I586" s="3">
        <v>81771</v>
      </c>
      <c r="J586" s="3">
        <v>1</v>
      </c>
      <c r="K586" s="3">
        <v>0</v>
      </c>
      <c r="L586" s="3">
        <v>4</v>
      </c>
      <c r="M586" s="3">
        <v>3</v>
      </c>
      <c r="N586" s="3" t="s">
        <v>12</v>
      </c>
      <c r="O586" s="3" t="s">
        <v>13</v>
      </c>
      <c r="P586" s="3">
        <v>3</v>
      </c>
      <c r="Q586" s="3">
        <v>4</v>
      </c>
      <c r="R586" s="4" t="s">
        <v>12</v>
      </c>
      <c r="S586" s="4" t="s">
        <v>14</v>
      </c>
      <c r="T586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587" spans="1:20" ht="18" x14ac:dyDescent="0.35">
      <c r="A587" s="3" t="s">
        <v>630</v>
      </c>
      <c r="B587" s="3" t="str">
        <f>IF(Table1[[#This Row],[Age]]&lt;25,"Under 25",IF(Table1[[#This Row],[Age]]&lt;35,"25-34",IF(Table1[[#This Row],[Age]]&lt;45,"35-44",IF(Table1[[#This Row],[Age]]&lt;55,"45-54","55+"))))</f>
        <v>25-34</v>
      </c>
      <c r="C587" s="3">
        <v>31</v>
      </c>
      <c r="D587" s="3" t="s">
        <v>22</v>
      </c>
      <c r="E587" s="3" t="s">
        <v>8</v>
      </c>
      <c r="F587" s="3" t="s">
        <v>9</v>
      </c>
      <c r="G587" s="3" t="s">
        <v>45</v>
      </c>
      <c r="H587" s="3" t="s">
        <v>11</v>
      </c>
      <c r="I587" s="3">
        <v>51831</v>
      </c>
      <c r="J587" s="3">
        <v>12</v>
      </c>
      <c r="K587" s="3">
        <v>7</v>
      </c>
      <c r="L587" s="3">
        <v>2</v>
      </c>
      <c r="M587" s="3">
        <v>3</v>
      </c>
      <c r="N587" s="3" t="s">
        <v>14</v>
      </c>
      <c r="O587" s="3" t="s">
        <v>20</v>
      </c>
      <c r="P587" s="3">
        <v>4</v>
      </c>
      <c r="Q587" s="3">
        <v>2</v>
      </c>
      <c r="R587" s="4" t="s">
        <v>14</v>
      </c>
      <c r="S587" s="4" t="s">
        <v>14</v>
      </c>
      <c r="T587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588" spans="1:20" ht="18" x14ac:dyDescent="0.35">
      <c r="A588" s="3" t="s">
        <v>631</v>
      </c>
      <c r="B588" s="3" t="str">
        <f>IF(Table1[[#This Row],[Age]]&lt;25,"Under 25",IF(Table1[[#This Row],[Age]]&lt;35,"25-34",IF(Table1[[#This Row],[Age]]&lt;45,"35-44",IF(Table1[[#This Row],[Age]]&lt;55,"45-54","55+"))))</f>
        <v>25-34</v>
      </c>
      <c r="C588" s="3">
        <v>30</v>
      </c>
      <c r="D588" s="3" t="s">
        <v>22</v>
      </c>
      <c r="E588" s="3" t="s">
        <v>51</v>
      </c>
      <c r="F588" s="3" t="s">
        <v>72</v>
      </c>
      <c r="G588" s="3" t="s">
        <v>10</v>
      </c>
      <c r="H588" s="3" t="s">
        <v>19</v>
      </c>
      <c r="I588" s="3">
        <v>75551</v>
      </c>
      <c r="J588" s="3">
        <v>12</v>
      </c>
      <c r="K588" s="3">
        <v>12</v>
      </c>
      <c r="L588" s="3">
        <v>3</v>
      </c>
      <c r="M588" s="3">
        <v>3</v>
      </c>
      <c r="N588" s="3" t="s">
        <v>12</v>
      </c>
      <c r="O588" s="3" t="s">
        <v>13</v>
      </c>
      <c r="P588" s="3">
        <v>3</v>
      </c>
      <c r="Q588" s="3">
        <v>3</v>
      </c>
      <c r="R588" s="4" t="s">
        <v>14</v>
      </c>
      <c r="S588" s="4" t="s">
        <v>14</v>
      </c>
      <c r="T588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589" spans="1:20" ht="18" x14ac:dyDescent="0.35">
      <c r="A589" s="3" t="s">
        <v>632</v>
      </c>
      <c r="B589" s="3" t="str">
        <f>IF(Table1[[#This Row],[Age]]&lt;25,"Under 25",IF(Table1[[#This Row],[Age]]&lt;35,"25-34",IF(Table1[[#This Row],[Age]]&lt;45,"35-44",IF(Table1[[#This Row],[Age]]&lt;55,"45-54","55+"))))</f>
        <v>35-44</v>
      </c>
      <c r="C589" s="3">
        <v>36</v>
      </c>
      <c r="D589" s="3" t="s">
        <v>22</v>
      </c>
      <c r="E589" s="3" t="s">
        <v>51</v>
      </c>
      <c r="F589" s="3" t="s">
        <v>80</v>
      </c>
      <c r="G589" s="3" t="s">
        <v>25</v>
      </c>
      <c r="H589" s="3" t="s">
        <v>42</v>
      </c>
      <c r="I589" s="3">
        <v>84016</v>
      </c>
      <c r="J589" s="3">
        <v>17</v>
      </c>
      <c r="K589" s="3">
        <v>2</v>
      </c>
      <c r="L589" s="3">
        <v>3</v>
      </c>
      <c r="M589" s="3">
        <v>2</v>
      </c>
      <c r="N589" s="3" t="s">
        <v>14</v>
      </c>
      <c r="O589" s="3" t="s">
        <v>20</v>
      </c>
      <c r="P589" s="3">
        <v>2</v>
      </c>
      <c r="Q589" s="3">
        <v>1</v>
      </c>
      <c r="R589" s="4" t="s">
        <v>14</v>
      </c>
      <c r="S589" s="4" t="s">
        <v>12</v>
      </c>
      <c r="T589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590" spans="1:20" ht="18" x14ac:dyDescent="0.35">
      <c r="A590" s="3" t="s">
        <v>633</v>
      </c>
      <c r="B590" s="3" t="str">
        <f>IF(Table1[[#This Row],[Age]]&lt;25,"Under 25",IF(Table1[[#This Row],[Age]]&lt;35,"25-34",IF(Table1[[#This Row],[Age]]&lt;45,"35-44",IF(Table1[[#This Row],[Age]]&lt;55,"45-54","55+"))))</f>
        <v>25-34</v>
      </c>
      <c r="C590" s="3">
        <v>25</v>
      </c>
      <c r="D590" s="3" t="s">
        <v>22</v>
      </c>
      <c r="E590" s="3" t="s">
        <v>34</v>
      </c>
      <c r="F590" s="3" t="s">
        <v>54</v>
      </c>
      <c r="G590" s="3" t="s">
        <v>10</v>
      </c>
      <c r="H590" s="3" t="s">
        <v>19</v>
      </c>
      <c r="I590" s="3">
        <v>24934</v>
      </c>
      <c r="J590" s="3">
        <v>4</v>
      </c>
      <c r="K590" s="3">
        <v>4</v>
      </c>
      <c r="L590" s="3">
        <v>3</v>
      </c>
      <c r="M590" s="3">
        <v>3</v>
      </c>
      <c r="N590" s="3" t="s">
        <v>14</v>
      </c>
      <c r="O590" s="3" t="s">
        <v>20</v>
      </c>
      <c r="P590" s="3">
        <v>3</v>
      </c>
      <c r="Q590" s="3">
        <v>3</v>
      </c>
      <c r="R590" s="4" t="s">
        <v>14</v>
      </c>
      <c r="S590" s="4" t="s">
        <v>14</v>
      </c>
      <c r="T590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591" spans="1:20" ht="18" x14ac:dyDescent="0.35">
      <c r="A591" s="3" t="s">
        <v>634</v>
      </c>
      <c r="B591" s="3" t="str">
        <f>IF(Table1[[#This Row],[Age]]&lt;25,"Under 25",IF(Table1[[#This Row],[Age]]&lt;35,"25-34",IF(Table1[[#This Row],[Age]]&lt;45,"35-44",IF(Table1[[#This Row],[Age]]&lt;55,"45-54","55+"))))</f>
        <v>45-54</v>
      </c>
      <c r="C591" s="3">
        <v>48</v>
      </c>
      <c r="D591" s="3" t="s">
        <v>7</v>
      </c>
      <c r="E591" s="3" t="s">
        <v>38</v>
      </c>
      <c r="F591" s="3" t="s">
        <v>59</v>
      </c>
      <c r="G591" s="3" t="s">
        <v>45</v>
      </c>
      <c r="H591" s="3" t="s">
        <v>11</v>
      </c>
      <c r="I591" s="3">
        <v>104560</v>
      </c>
      <c r="J591" s="3">
        <v>11</v>
      </c>
      <c r="K591" s="3">
        <v>2</v>
      </c>
      <c r="L591" s="3">
        <v>2</v>
      </c>
      <c r="M591" s="3">
        <v>3</v>
      </c>
      <c r="N591" s="3" t="s">
        <v>14</v>
      </c>
      <c r="O591" s="3" t="s">
        <v>20</v>
      </c>
      <c r="P591" s="3">
        <v>3</v>
      </c>
      <c r="Q591" s="3">
        <v>5</v>
      </c>
      <c r="R591" s="4" t="s">
        <v>14</v>
      </c>
      <c r="S591" s="4" t="s">
        <v>14</v>
      </c>
      <c r="T591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592" spans="1:20" ht="18" x14ac:dyDescent="0.35">
      <c r="A592" s="3" t="s">
        <v>635</v>
      </c>
      <c r="B592" s="3" t="str">
        <f>IF(Table1[[#This Row],[Age]]&lt;25,"Under 25",IF(Table1[[#This Row],[Age]]&lt;35,"25-34",IF(Table1[[#This Row],[Age]]&lt;45,"35-44",IF(Table1[[#This Row],[Age]]&lt;55,"45-54","55+"))))</f>
        <v>35-44</v>
      </c>
      <c r="C592" s="3">
        <v>38</v>
      </c>
      <c r="D592" s="3" t="s">
        <v>7</v>
      </c>
      <c r="E592" s="3" t="s">
        <v>34</v>
      </c>
      <c r="F592" s="3" t="s">
        <v>150</v>
      </c>
      <c r="G592" s="3" t="s">
        <v>18</v>
      </c>
      <c r="H592" s="3" t="s">
        <v>11</v>
      </c>
      <c r="I592" s="3">
        <v>67802</v>
      </c>
      <c r="J592" s="3">
        <v>19</v>
      </c>
      <c r="K592" s="3">
        <v>8</v>
      </c>
      <c r="L592" s="3">
        <v>3</v>
      </c>
      <c r="M592" s="3">
        <v>2</v>
      </c>
      <c r="N592" s="3" t="s">
        <v>14</v>
      </c>
      <c r="O592" s="3" t="s">
        <v>13</v>
      </c>
      <c r="P592" s="3">
        <v>3</v>
      </c>
      <c r="Q592" s="3">
        <v>0</v>
      </c>
      <c r="R592" s="4" t="s">
        <v>12</v>
      </c>
      <c r="S592" s="4" t="s">
        <v>14</v>
      </c>
      <c r="T592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593" spans="1:20" ht="18" x14ac:dyDescent="0.35">
      <c r="A593" s="3" t="s">
        <v>636</v>
      </c>
      <c r="B593" s="3" t="str">
        <f>IF(Table1[[#This Row],[Age]]&lt;25,"Under 25",IF(Table1[[#This Row],[Age]]&lt;35,"25-34",IF(Table1[[#This Row],[Age]]&lt;45,"35-44",IF(Table1[[#This Row],[Age]]&lt;55,"45-54","55+"))))</f>
        <v>25-34</v>
      </c>
      <c r="C593" s="3">
        <v>33</v>
      </c>
      <c r="D593" s="3" t="s">
        <v>22</v>
      </c>
      <c r="E593" s="3" t="s">
        <v>31</v>
      </c>
      <c r="F593" s="3" t="s">
        <v>74</v>
      </c>
      <c r="G593" s="3" t="s">
        <v>25</v>
      </c>
      <c r="H593" s="3" t="s">
        <v>19</v>
      </c>
      <c r="I593" s="3">
        <v>69059</v>
      </c>
      <c r="J593" s="3">
        <v>0</v>
      </c>
      <c r="K593" s="3">
        <v>0</v>
      </c>
      <c r="L593" s="3">
        <v>4</v>
      </c>
      <c r="M593" s="3">
        <v>3</v>
      </c>
      <c r="N593" s="3" t="s">
        <v>14</v>
      </c>
      <c r="O593" s="3" t="s">
        <v>13</v>
      </c>
      <c r="P593" s="3">
        <v>3</v>
      </c>
      <c r="Q593" s="3">
        <v>3</v>
      </c>
      <c r="R593" s="4" t="s">
        <v>14</v>
      </c>
      <c r="S593" s="4" t="s">
        <v>14</v>
      </c>
      <c r="T593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Less than 1 Year</v>
      </c>
    </row>
    <row r="594" spans="1:20" ht="18" x14ac:dyDescent="0.35">
      <c r="A594" s="3" t="s">
        <v>637</v>
      </c>
      <c r="B594" s="3" t="str">
        <f>IF(Table1[[#This Row],[Age]]&lt;25,"Under 25",IF(Table1[[#This Row],[Age]]&lt;35,"25-34",IF(Table1[[#This Row],[Age]]&lt;45,"35-44",IF(Table1[[#This Row],[Age]]&lt;55,"45-54","55+"))))</f>
        <v>25-34</v>
      </c>
      <c r="C594" s="3">
        <v>25</v>
      </c>
      <c r="D594" s="3" t="s">
        <v>7</v>
      </c>
      <c r="E594" s="3" t="s">
        <v>34</v>
      </c>
      <c r="F594" s="3" t="s">
        <v>150</v>
      </c>
      <c r="G594" s="3" t="s">
        <v>18</v>
      </c>
      <c r="H594" s="3" t="s">
        <v>11</v>
      </c>
      <c r="I594" s="3">
        <v>54476</v>
      </c>
      <c r="J594" s="3">
        <v>3</v>
      </c>
      <c r="K594" s="3">
        <v>2</v>
      </c>
      <c r="L594" s="3">
        <v>2</v>
      </c>
      <c r="M594" s="3">
        <v>3</v>
      </c>
      <c r="N594" s="3" t="s">
        <v>14</v>
      </c>
      <c r="O594" s="3" t="s">
        <v>13</v>
      </c>
      <c r="P594" s="3">
        <v>3</v>
      </c>
      <c r="Q594" s="3">
        <v>1</v>
      </c>
      <c r="R594" s="4" t="s">
        <v>14</v>
      </c>
      <c r="S594" s="4" t="s">
        <v>12</v>
      </c>
      <c r="T594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595" spans="1:20" ht="18" x14ac:dyDescent="0.35">
      <c r="A595" s="3" t="s">
        <v>638</v>
      </c>
      <c r="B595" s="3" t="str">
        <f>IF(Table1[[#This Row],[Age]]&lt;25,"Under 25",IF(Table1[[#This Row],[Age]]&lt;35,"25-34",IF(Table1[[#This Row],[Age]]&lt;45,"35-44",IF(Table1[[#This Row],[Age]]&lt;55,"45-54","55+"))))</f>
        <v>25-34</v>
      </c>
      <c r="C595" s="3">
        <v>28</v>
      </c>
      <c r="D595" s="3" t="s">
        <v>22</v>
      </c>
      <c r="E595" s="3" t="s">
        <v>51</v>
      </c>
      <c r="F595" s="3" t="s">
        <v>72</v>
      </c>
      <c r="G595" s="3" t="s">
        <v>10</v>
      </c>
      <c r="H595" s="3" t="s">
        <v>11</v>
      </c>
      <c r="I595" s="3">
        <v>79417</v>
      </c>
      <c r="J595" s="3">
        <v>7</v>
      </c>
      <c r="K595" s="3">
        <v>6</v>
      </c>
      <c r="L595" s="3">
        <v>3</v>
      </c>
      <c r="M595" s="3">
        <v>2</v>
      </c>
      <c r="N595" s="3" t="s">
        <v>14</v>
      </c>
      <c r="O595" s="3" t="s">
        <v>13</v>
      </c>
      <c r="P595" s="3">
        <v>2</v>
      </c>
      <c r="Q595" s="3">
        <v>5</v>
      </c>
      <c r="R595" s="4" t="s">
        <v>14</v>
      </c>
      <c r="S595" s="4" t="s">
        <v>14</v>
      </c>
      <c r="T595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596" spans="1:20" ht="18" x14ac:dyDescent="0.35">
      <c r="A596" s="3" t="s">
        <v>639</v>
      </c>
      <c r="B596" s="3" t="str">
        <f>IF(Table1[[#This Row],[Age]]&lt;25,"Under 25",IF(Table1[[#This Row],[Age]]&lt;35,"25-34",IF(Table1[[#This Row],[Age]]&lt;45,"35-44",IF(Table1[[#This Row],[Age]]&lt;55,"45-54","55+"))))</f>
        <v>35-44</v>
      </c>
      <c r="C596" s="3">
        <v>35</v>
      </c>
      <c r="D596" s="3" t="s">
        <v>22</v>
      </c>
      <c r="E596" s="3" t="s">
        <v>31</v>
      </c>
      <c r="F596" s="3" t="s">
        <v>74</v>
      </c>
      <c r="G596" s="3" t="s">
        <v>25</v>
      </c>
      <c r="H596" s="3" t="s">
        <v>19</v>
      </c>
      <c r="I596" s="3">
        <v>102915</v>
      </c>
      <c r="J596" s="3">
        <v>16</v>
      </c>
      <c r="K596" s="3">
        <v>8</v>
      </c>
      <c r="L596" s="3">
        <v>3</v>
      </c>
      <c r="M596" s="3">
        <v>2</v>
      </c>
      <c r="N596" s="3" t="s">
        <v>14</v>
      </c>
      <c r="O596" s="3" t="s">
        <v>13</v>
      </c>
      <c r="P596" s="3">
        <v>2</v>
      </c>
      <c r="Q596" s="3">
        <v>0</v>
      </c>
      <c r="R596" s="4" t="s">
        <v>14</v>
      </c>
      <c r="S596" s="4" t="s">
        <v>12</v>
      </c>
      <c r="T596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597" spans="1:20" ht="18" x14ac:dyDescent="0.35">
      <c r="A597" s="3" t="s">
        <v>640</v>
      </c>
      <c r="B597" s="3" t="str">
        <f>IF(Table1[[#This Row],[Age]]&lt;25,"Under 25",IF(Table1[[#This Row],[Age]]&lt;35,"25-34",IF(Table1[[#This Row],[Age]]&lt;45,"35-44",IF(Table1[[#This Row],[Age]]&lt;55,"45-54","55+"))))</f>
        <v>45-54</v>
      </c>
      <c r="C597" s="3">
        <v>45</v>
      </c>
      <c r="D597" s="3" t="s">
        <v>7</v>
      </c>
      <c r="E597" s="3" t="s">
        <v>34</v>
      </c>
      <c r="F597" s="3" t="s">
        <v>54</v>
      </c>
      <c r="G597" s="3" t="s">
        <v>25</v>
      </c>
      <c r="H597" s="3" t="s">
        <v>11</v>
      </c>
      <c r="I597" s="3">
        <v>70802</v>
      </c>
      <c r="J597" s="3">
        <v>17</v>
      </c>
      <c r="K597" s="3">
        <v>5</v>
      </c>
      <c r="L597" s="3">
        <v>2</v>
      </c>
      <c r="M597" s="3">
        <v>4</v>
      </c>
      <c r="N597" s="3" t="s">
        <v>12</v>
      </c>
      <c r="O597" s="3" t="s">
        <v>26</v>
      </c>
      <c r="P597" s="3">
        <v>3</v>
      </c>
      <c r="Q597" s="3">
        <v>3</v>
      </c>
      <c r="R597" s="4" t="s">
        <v>14</v>
      </c>
      <c r="S597" s="4" t="s">
        <v>12</v>
      </c>
      <c r="T597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598" spans="1:20" ht="18" x14ac:dyDescent="0.35">
      <c r="A598" s="3" t="s">
        <v>641</v>
      </c>
      <c r="B598" s="3" t="str">
        <f>IF(Table1[[#This Row],[Age]]&lt;25,"Under 25",IF(Table1[[#This Row],[Age]]&lt;35,"25-34",IF(Table1[[#This Row],[Age]]&lt;45,"35-44",IF(Table1[[#This Row],[Age]]&lt;55,"45-54","55+"))))</f>
        <v>35-44</v>
      </c>
      <c r="C598" s="3">
        <v>37</v>
      </c>
      <c r="D598" s="3" t="s">
        <v>7</v>
      </c>
      <c r="E598" s="3" t="s">
        <v>34</v>
      </c>
      <c r="F598" s="3" t="s">
        <v>150</v>
      </c>
      <c r="G598" s="3" t="s">
        <v>45</v>
      </c>
      <c r="H598" s="3" t="s">
        <v>19</v>
      </c>
      <c r="I598" s="3">
        <v>52538</v>
      </c>
      <c r="J598" s="3">
        <v>18</v>
      </c>
      <c r="K598" s="3">
        <v>12</v>
      </c>
      <c r="L598" s="3">
        <v>1</v>
      </c>
      <c r="M598" s="3">
        <v>3</v>
      </c>
      <c r="N598" s="3" t="s">
        <v>14</v>
      </c>
      <c r="O598" s="3" t="s">
        <v>13</v>
      </c>
      <c r="P598" s="3">
        <v>3</v>
      </c>
      <c r="Q598" s="3">
        <v>1</v>
      </c>
      <c r="R598" s="4" t="s">
        <v>12</v>
      </c>
      <c r="S598" s="4" t="s">
        <v>14</v>
      </c>
      <c r="T598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599" spans="1:20" ht="18" x14ac:dyDescent="0.35">
      <c r="A599" s="3" t="s">
        <v>642</v>
      </c>
      <c r="B599" s="3" t="str">
        <f>IF(Table1[[#This Row],[Age]]&lt;25,"Under 25",IF(Table1[[#This Row],[Age]]&lt;35,"25-34",IF(Table1[[#This Row],[Age]]&lt;45,"35-44",IF(Table1[[#This Row],[Age]]&lt;55,"45-54","55+"))))</f>
        <v>35-44</v>
      </c>
      <c r="C599" s="3">
        <v>38</v>
      </c>
      <c r="D599" s="3" t="s">
        <v>22</v>
      </c>
      <c r="E599" s="3" t="s">
        <v>16</v>
      </c>
      <c r="F599" s="3" t="s">
        <v>17</v>
      </c>
      <c r="G599" s="3" t="s">
        <v>25</v>
      </c>
      <c r="H599" s="3" t="s">
        <v>19</v>
      </c>
      <c r="I599" s="3">
        <v>71552</v>
      </c>
      <c r="J599" s="3">
        <v>15</v>
      </c>
      <c r="K599" s="3">
        <v>2</v>
      </c>
      <c r="L599" s="3">
        <v>3</v>
      </c>
      <c r="M599" s="3">
        <v>2</v>
      </c>
      <c r="N599" s="3" t="s">
        <v>14</v>
      </c>
      <c r="O599" s="3" t="s">
        <v>13</v>
      </c>
      <c r="P599" s="3">
        <v>4</v>
      </c>
      <c r="Q599" s="3">
        <v>4</v>
      </c>
      <c r="R599" s="4" t="s">
        <v>14</v>
      </c>
      <c r="S599" s="4" t="s">
        <v>14</v>
      </c>
      <c r="T599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600" spans="1:20" ht="18" x14ac:dyDescent="0.35">
      <c r="A600" s="3" t="s">
        <v>643</v>
      </c>
      <c r="B600" s="3" t="str">
        <f>IF(Table1[[#This Row],[Age]]&lt;25,"Under 25",IF(Table1[[#This Row],[Age]]&lt;35,"25-34",IF(Table1[[#This Row],[Age]]&lt;45,"35-44",IF(Table1[[#This Row],[Age]]&lt;55,"45-54","55+"))))</f>
        <v>35-44</v>
      </c>
      <c r="C600" s="3">
        <v>35</v>
      </c>
      <c r="D600" s="3" t="s">
        <v>22</v>
      </c>
      <c r="E600" s="3" t="s">
        <v>8</v>
      </c>
      <c r="F600" s="3" t="s">
        <v>23</v>
      </c>
      <c r="G600" s="3" t="s">
        <v>25</v>
      </c>
      <c r="H600" s="3" t="s">
        <v>19</v>
      </c>
      <c r="I600" s="3">
        <v>62411</v>
      </c>
      <c r="J600" s="3">
        <v>10</v>
      </c>
      <c r="K600" s="3">
        <v>3</v>
      </c>
      <c r="L600" s="3">
        <v>1</v>
      </c>
      <c r="M600" s="3">
        <v>4</v>
      </c>
      <c r="N600" s="3" t="s">
        <v>14</v>
      </c>
      <c r="O600" s="3" t="s">
        <v>13</v>
      </c>
      <c r="P600" s="3">
        <v>3</v>
      </c>
      <c r="Q600" s="3">
        <v>3</v>
      </c>
      <c r="R600" s="4" t="s">
        <v>12</v>
      </c>
      <c r="S600" s="4" t="s">
        <v>14</v>
      </c>
      <c r="T600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601" spans="1:20" ht="18" x14ac:dyDescent="0.35">
      <c r="A601" s="3" t="s">
        <v>644</v>
      </c>
      <c r="B601" s="3" t="str">
        <f>IF(Table1[[#This Row],[Age]]&lt;25,"Under 25",IF(Table1[[#This Row],[Age]]&lt;35,"25-34",IF(Table1[[#This Row],[Age]]&lt;45,"35-44",IF(Table1[[#This Row],[Age]]&lt;55,"45-54","55+"))))</f>
        <v>35-44</v>
      </c>
      <c r="C601" s="3">
        <v>41</v>
      </c>
      <c r="D601" s="3" t="s">
        <v>7</v>
      </c>
      <c r="E601" s="3" t="s">
        <v>34</v>
      </c>
      <c r="F601" s="3" t="s">
        <v>150</v>
      </c>
      <c r="G601" s="3" t="s">
        <v>25</v>
      </c>
      <c r="H601" s="3" t="s">
        <v>19</v>
      </c>
      <c r="I601" s="3">
        <v>69613</v>
      </c>
      <c r="J601" s="3">
        <v>11</v>
      </c>
      <c r="K601" s="3">
        <v>6</v>
      </c>
      <c r="L601" s="3">
        <v>1</v>
      </c>
      <c r="M601" s="3">
        <v>3</v>
      </c>
      <c r="N601" s="3" t="s">
        <v>14</v>
      </c>
      <c r="O601" s="3" t="s">
        <v>13</v>
      </c>
      <c r="P601" s="3">
        <v>3</v>
      </c>
      <c r="Q601" s="3">
        <v>0</v>
      </c>
      <c r="R601" s="4" t="s">
        <v>14</v>
      </c>
      <c r="S601" s="4" t="s">
        <v>12</v>
      </c>
      <c r="T601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602" spans="1:20" ht="18" x14ac:dyDescent="0.35">
      <c r="A602" s="3" t="s">
        <v>645</v>
      </c>
      <c r="B602" s="3" t="str">
        <f>IF(Table1[[#This Row],[Age]]&lt;25,"Under 25",IF(Table1[[#This Row],[Age]]&lt;35,"25-34",IF(Table1[[#This Row],[Age]]&lt;45,"35-44",IF(Table1[[#This Row],[Age]]&lt;55,"45-54","55+"))))</f>
        <v>25-34</v>
      </c>
      <c r="C602" s="3">
        <v>30</v>
      </c>
      <c r="D602" s="3" t="s">
        <v>22</v>
      </c>
      <c r="E602" s="3" t="s">
        <v>51</v>
      </c>
      <c r="F602" s="3" t="s">
        <v>52</v>
      </c>
      <c r="G602" s="3" t="s">
        <v>25</v>
      </c>
      <c r="H602" s="3" t="s">
        <v>11</v>
      </c>
      <c r="I602" s="3">
        <v>23136</v>
      </c>
      <c r="J602" s="3">
        <v>5</v>
      </c>
      <c r="K602" s="3">
        <v>4</v>
      </c>
      <c r="L602" s="3">
        <v>3</v>
      </c>
      <c r="M602" s="3">
        <v>3</v>
      </c>
      <c r="N602" s="3" t="s">
        <v>14</v>
      </c>
      <c r="O602" s="3" t="s">
        <v>20</v>
      </c>
      <c r="P602" s="3">
        <v>4</v>
      </c>
      <c r="Q602" s="3">
        <v>4</v>
      </c>
      <c r="R602" s="4" t="s">
        <v>12</v>
      </c>
      <c r="S602" s="4" t="s">
        <v>14</v>
      </c>
      <c r="T602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603" spans="1:20" ht="18" x14ac:dyDescent="0.35">
      <c r="A603" s="3" t="s">
        <v>646</v>
      </c>
      <c r="B603" s="3" t="str">
        <f>IF(Table1[[#This Row],[Age]]&lt;25,"Under 25",IF(Table1[[#This Row],[Age]]&lt;35,"25-34",IF(Table1[[#This Row],[Age]]&lt;45,"35-44",IF(Table1[[#This Row],[Age]]&lt;55,"45-54","55+"))))</f>
        <v>25-34</v>
      </c>
      <c r="C603" s="3">
        <v>33</v>
      </c>
      <c r="D603" s="3" t="s">
        <v>7</v>
      </c>
      <c r="E603" s="3" t="s">
        <v>34</v>
      </c>
      <c r="F603" s="3" t="s">
        <v>54</v>
      </c>
      <c r="G603" s="3" t="s">
        <v>25</v>
      </c>
      <c r="H603" s="3" t="s">
        <v>11</v>
      </c>
      <c r="I603" s="3">
        <v>79218</v>
      </c>
      <c r="J603" s="3">
        <v>7</v>
      </c>
      <c r="K603" s="3">
        <v>0</v>
      </c>
      <c r="L603" s="3">
        <v>2</v>
      </c>
      <c r="M603" s="3">
        <v>4</v>
      </c>
      <c r="N603" s="3" t="s">
        <v>14</v>
      </c>
      <c r="O603" s="3" t="s">
        <v>26</v>
      </c>
      <c r="P603" s="3">
        <v>3</v>
      </c>
      <c r="Q603" s="3">
        <v>1</v>
      </c>
      <c r="R603" s="4" t="s">
        <v>14</v>
      </c>
      <c r="S603" s="4" t="s">
        <v>14</v>
      </c>
      <c r="T603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604" spans="1:20" ht="18" x14ac:dyDescent="0.35">
      <c r="A604" s="3" t="s">
        <v>647</v>
      </c>
      <c r="B604" s="3" t="str">
        <f>IF(Table1[[#This Row],[Age]]&lt;25,"Under 25",IF(Table1[[#This Row],[Age]]&lt;35,"25-34",IF(Table1[[#This Row],[Age]]&lt;45,"35-44",IF(Table1[[#This Row],[Age]]&lt;55,"45-54","55+"))))</f>
        <v>25-34</v>
      </c>
      <c r="C604" s="3">
        <v>32</v>
      </c>
      <c r="D604" s="3" t="s">
        <v>22</v>
      </c>
      <c r="E604" s="3" t="s">
        <v>8</v>
      </c>
      <c r="F604" s="3" t="s">
        <v>9</v>
      </c>
      <c r="G604" s="3" t="s">
        <v>25</v>
      </c>
      <c r="H604" s="3" t="s">
        <v>11</v>
      </c>
      <c r="I604" s="3">
        <v>97717</v>
      </c>
      <c r="J604" s="3">
        <v>11</v>
      </c>
      <c r="K604" s="3">
        <v>6</v>
      </c>
      <c r="L604" s="3">
        <v>3</v>
      </c>
      <c r="M604" s="3">
        <v>4</v>
      </c>
      <c r="N604" s="3" t="s">
        <v>12</v>
      </c>
      <c r="O604" s="3" t="s">
        <v>13</v>
      </c>
      <c r="P604" s="3">
        <v>3</v>
      </c>
      <c r="Q604" s="3">
        <v>1</v>
      </c>
      <c r="R604" s="4" t="s">
        <v>14</v>
      </c>
      <c r="S604" s="4" t="s">
        <v>14</v>
      </c>
      <c r="T604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605" spans="1:20" ht="18" x14ac:dyDescent="0.35">
      <c r="A605" s="3" t="s">
        <v>648</v>
      </c>
      <c r="B605" s="3" t="str">
        <f>IF(Table1[[#This Row],[Age]]&lt;25,"Under 25",IF(Table1[[#This Row],[Age]]&lt;35,"25-34",IF(Table1[[#This Row],[Age]]&lt;45,"35-44",IF(Table1[[#This Row],[Age]]&lt;55,"45-54","55+"))))</f>
        <v>35-44</v>
      </c>
      <c r="C605" s="3">
        <v>42</v>
      </c>
      <c r="D605" s="3" t="s">
        <v>22</v>
      </c>
      <c r="E605" s="3" t="s">
        <v>16</v>
      </c>
      <c r="F605" s="3" t="s">
        <v>47</v>
      </c>
      <c r="G605" s="3" t="s">
        <v>10</v>
      </c>
      <c r="H605" s="3" t="s">
        <v>19</v>
      </c>
      <c r="I605" s="3">
        <v>54145</v>
      </c>
      <c r="J605" s="3">
        <v>6</v>
      </c>
      <c r="K605" s="3">
        <v>5</v>
      </c>
      <c r="L605" s="3">
        <v>4</v>
      </c>
      <c r="M605" s="3">
        <v>4</v>
      </c>
      <c r="N605" s="3" t="s">
        <v>14</v>
      </c>
      <c r="O605" s="3" t="s">
        <v>26</v>
      </c>
      <c r="P605" s="3">
        <v>2</v>
      </c>
      <c r="Q605" s="3">
        <v>2</v>
      </c>
      <c r="R605" s="4" t="s">
        <v>14</v>
      </c>
      <c r="S605" s="4" t="s">
        <v>14</v>
      </c>
      <c r="T605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606" spans="1:20" ht="18" x14ac:dyDescent="0.35">
      <c r="A606" s="3" t="s">
        <v>649</v>
      </c>
      <c r="B606" s="3" t="str">
        <f>IF(Table1[[#This Row],[Age]]&lt;25,"Under 25",IF(Table1[[#This Row],[Age]]&lt;35,"25-34",IF(Table1[[#This Row],[Age]]&lt;45,"35-44",IF(Table1[[#This Row],[Age]]&lt;55,"45-54","55+"))))</f>
        <v>35-44</v>
      </c>
      <c r="C606" s="3">
        <v>38</v>
      </c>
      <c r="D606" s="3" t="s">
        <v>22</v>
      </c>
      <c r="E606" s="3" t="s">
        <v>31</v>
      </c>
      <c r="F606" s="3" t="s">
        <v>32</v>
      </c>
      <c r="G606" s="3" t="s">
        <v>25</v>
      </c>
      <c r="H606" s="3" t="s">
        <v>11</v>
      </c>
      <c r="I606" s="3">
        <v>42745</v>
      </c>
      <c r="J606" s="3">
        <v>6</v>
      </c>
      <c r="K606" s="3">
        <v>6</v>
      </c>
      <c r="L606" s="3">
        <v>3</v>
      </c>
      <c r="M606" s="3">
        <v>2</v>
      </c>
      <c r="N606" s="3" t="s">
        <v>12</v>
      </c>
      <c r="O606" s="3" t="s">
        <v>13</v>
      </c>
      <c r="P606" s="3">
        <v>3</v>
      </c>
      <c r="Q606" s="3">
        <v>0</v>
      </c>
      <c r="R606" s="4" t="s">
        <v>14</v>
      </c>
      <c r="S606" s="4" t="s">
        <v>14</v>
      </c>
      <c r="T606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607" spans="1:20" ht="18" x14ac:dyDescent="0.35">
      <c r="A607" s="3" t="s">
        <v>650</v>
      </c>
      <c r="B607" s="3" t="str">
        <f>IF(Table1[[#This Row],[Age]]&lt;25,"Under 25",IF(Table1[[#This Row],[Age]]&lt;35,"25-34",IF(Table1[[#This Row],[Age]]&lt;45,"35-44",IF(Table1[[#This Row],[Age]]&lt;55,"45-54","55+"))))</f>
        <v>35-44</v>
      </c>
      <c r="C607" s="3">
        <v>39</v>
      </c>
      <c r="D607" s="3" t="s">
        <v>7</v>
      </c>
      <c r="E607" s="3" t="s">
        <v>38</v>
      </c>
      <c r="F607" s="3" t="s">
        <v>39</v>
      </c>
      <c r="G607" s="3" t="s">
        <v>25</v>
      </c>
      <c r="H607" s="3" t="s">
        <v>11</v>
      </c>
      <c r="I607" s="3">
        <v>80510</v>
      </c>
      <c r="J607" s="3">
        <v>18</v>
      </c>
      <c r="K607" s="3">
        <v>7</v>
      </c>
      <c r="L607" s="3">
        <v>3</v>
      </c>
      <c r="M607" s="3">
        <v>3</v>
      </c>
      <c r="N607" s="3" t="s">
        <v>14</v>
      </c>
      <c r="O607" s="3" t="s">
        <v>13</v>
      </c>
      <c r="P607" s="3">
        <v>3</v>
      </c>
      <c r="Q607" s="3">
        <v>5</v>
      </c>
      <c r="R607" s="4" t="s">
        <v>14</v>
      </c>
      <c r="S607" s="4" t="s">
        <v>14</v>
      </c>
      <c r="T607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608" spans="1:20" ht="18" x14ac:dyDescent="0.35">
      <c r="A608" s="3" t="s">
        <v>651</v>
      </c>
      <c r="B608" s="3" t="str">
        <f>IF(Table1[[#This Row],[Age]]&lt;25,"Under 25",IF(Table1[[#This Row],[Age]]&lt;35,"25-34",IF(Table1[[#This Row],[Age]]&lt;45,"35-44",IF(Table1[[#This Row],[Age]]&lt;55,"45-54","55+"))))</f>
        <v>35-44</v>
      </c>
      <c r="C608" s="3">
        <v>38</v>
      </c>
      <c r="D608" s="3" t="s">
        <v>7</v>
      </c>
      <c r="E608" s="3" t="s">
        <v>51</v>
      </c>
      <c r="F608" s="3" t="s">
        <v>52</v>
      </c>
      <c r="G608" s="3" t="s">
        <v>10</v>
      </c>
      <c r="H608" s="3" t="s">
        <v>11</v>
      </c>
      <c r="I608" s="3">
        <v>52767</v>
      </c>
      <c r="J608" s="3">
        <v>0</v>
      </c>
      <c r="K608" s="3">
        <v>0</v>
      </c>
      <c r="L608" s="3">
        <v>4</v>
      </c>
      <c r="M608" s="3">
        <v>4</v>
      </c>
      <c r="N608" s="3" t="s">
        <v>12</v>
      </c>
      <c r="O608" s="3" t="s">
        <v>13</v>
      </c>
      <c r="P608" s="3">
        <v>4</v>
      </c>
      <c r="Q608" s="3">
        <v>5</v>
      </c>
      <c r="R608" s="4" t="s">
        <v>14</v>
      </c>
      <c r="S608" s="4" t="s">
        <v>14</v>
      </c>
      <c r="T608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Less than 1 Year</v>
      </c>
    </row>
    <row r="609" spans="1:20" ht="18" x14ac:dyDescent="0.35">
      <c r="A609" s="3" t="s">
        <v>652</v>
      </c>
      <c r="B609" s="3" t="str">
        <f>IF(Table1[[#This Row],[Age]]&lt;25,"Under 25",IF(Table1[[#This Row],[Age]]&lt;35,"25-34",IF(Table1[[#This Row],[Age]]&lt;45,"35-44",IF(Table1[[#This Row],[Age]]&lt;55,"45-54","55+"))))</f>
        <v>35-44</v>
      </c>
      <c r="C609" s="3">
        <v>35</v>
      </c>
      <c r="D609" s="3" t="s">
        <v>22</v>
      </c>
      <c r="E609" s="3" t="s">
        <v>38</v>
      </c>
      <c r="F609" s="3" t="s">
        <v>59</v>
      </c>
      <c r="G609" s="3" t="s">
        <v>25</v>
      </c>
      <c r="H609" s="3" t="s">
        <v>19</v>
      </c>
      <c r="I609" s="3">
        <v>62076</v>
      </c>
      <c r="J609" s="3">
        <v>1</v>
      </c>
      <c r="K609" s="3">
        <v>0</v>
      </c>
      <c r="L609" s="3">
        <v>3</v>
      </c>
      <c r="M609" s="3">
        <v>4</v>
      </c>
      <c r="N609" s="3" t="s">
        <v>12</v>
      </c>
      <c r="O609" s="3" t="s">
        <v>13</v>
      </c>
      <c r="P609" s="3">
        <v>4</v>
      </c>
      <c r="Q609" s="3">
        <v>3</v>
      </c>
      <c r="R609" s="4" t="s">
        <v>14</v>
      </c>
      <c r="S609" s="4" t="s">
        <v>12</v>
      </c>
      <c r="T609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610" spans="1:20" ht="18" x14ac:dyDescent="0.35">
      <c r="A610" s="3" t="s">
        <v>653</v>
      </c>
      <c r="B610" s="3" t="str">
        <f>IF(Table1[[#This Row],[Age]]&lt;25,"Under 25",IF(Table1[[#This Row],[Age]]&lt;35,"25-34",IF(Table1[[#This Row],[Age]]&lt;45,"35-44",IF(Table1[[#This Row],[Age]]&lt;55,"45-54","55+"))))</f>
        <v>45-54</v>
      </c>
      <c r="C610" s="3">
        <v>46</v>
      </c>
      <c r="D610" s="3" t="s">
        <v>22</v>
      </c>
      <c r="E610" s="3" t="s">
        <v>51</v>
      </c>
      <c r="F610" s="3" t="s">
        <v>80</v>
      </c>
      <c r="G610" s="3" t="s">
        <v>10</v>
      </c>
      <c r="H610" s="3" t="s">
        <v>11</v>
      </c>
      <c r="I610" s="3">
        <v>97922</v>
      </c>
      <c r="J610" s="3">
        <v>10</v>
      </c>
      <c r="K610" s="3">
        <v>6</v>
      </c>
      <c r="L610" s="3">
        <v>2</v>
      </c>
      <c r="M610" s="3">
        <v>3</v>
      </c>
      <c r="N610" s="3" t="s">
        <v>14</v>
      </c>
      <c r="O610" s="3" t="s">
        <v>13</v>
      </c>
      <c r="P610" s="3">
        <v>3</v>
      </c>
      <c r="Q610" s="3">
        <v>4</v>
      </c>
      <c r="R610" s="4" t="s">
        <v>14</v>
      </c>
      <c r="S610" s="4" t="s">
        <v>14</v>
      </c>
      <c r="T610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611" spans="1:20" ht="18" x14ac:dyDescent="0.35">
      <c r="A611" s="3" t="s">
        <v>654</v>
      </c>
      <c r="B611" s="3" t="str">
        <f>IF(Table1[[#This Row],[Age]]&lt;25,"Under 25",IF(Table1[[#This Row],[Age]]&lt;35,"25-34",IF(Table1[[#This Row],[Age]]&lt;45,"35-44",IF(Table1[[#This Row],[Age]]&lt;55,"45-54","55+"))))</f>
        <v>Under 25</v>
      </c>
      <c r="C611" s="3">
        <v>21</v>
      </c>
      <c r="D611" s="3" t="s">
        <v>7</v>
      </c>
      <c r="E611" s="3" t="s">
        <v>8</v>
      </c>
      <c r="F611" s="3" t="s">
        <v>9</v>
      </c>
      <c r="G611" s="3" t="s">
        <v>25</v>
      </c>
      <c r="H611" s="3" t="s">
        <v>11</v>
      </c>
      <c r="I611" s="3">
        <v>57714</v>
      </c>
      <c r="J611" s="3">
        <v>1</v>
      </c>
      <c r="K611" s="3">
        <v>0</v>
      </c>
      <c r="L611" s="3">
        <v>2</v>
      </c>
      <c r="M611" s="3">
        <v>3</v>
      </c>
      <c r="N611" s="3" t="s">
        <v>14</v>
      </c>
      <c r="O611" s="3" t="s">
        <v>13</v>
      </c>
      <c r="P611" s="3">
        <v>4</v>
      </c>
      <c r="Q611" s="3">
        <v>0</v>
      </c>
      <c r="R611" s="4" t="s">
        <v>14</v>
      </c>
      <c r="S611" s="4" t="s">
        <v>14</v>
      </c>
      <c r="T611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612" spans="1:20" ht="18" x14ac:dyDescent="0.35">
      <c r="A612" s="3" t="s">
        <v>655</v>
      </c>
      <c r="B612" s="3" t="str">
        <f>IF(Table1[[#This Row],[Age]]&lt;25,"Under 25",IF(Table1[[#This Row],[Age]]&lt;35,"25-34",IF(Table1[[#This Row],[Age]]&lt;45,"35-44",IF(Table1[[#This Row],[Age]]&lt;55,"45-54","55+"))))</f>
        <v>35-44</v>
      </c>
      <c r="C612" s="3">
        <v>40</v>
      </c>
      <c r="D612" s="3" t="s">
        <v>22</v>
      </c>
      <c r="E612" s="3" t="s">
        <v>8</v>
      </c>
      <c r="F612" s="3" t="s">
        <v>9</v>
      </c>
      <c r="G612" s="3" t="s">
        <v>25</v>
      </c>
      <c r="H612" s="3" t="s">
        <v>11</v>
      </c>
      <c r="I612" s="3">
        <v>56900</v>
      </c>
      <c r="J612" s="3">
        <v>13</v>
      </c>
      <c r="K612" s="3">
        <v>6</v>
      </c>
      <c r="L612" s="3">
        <v>3</v>
      </c>
      <c r="M612" s="3">
        <v>3</v>
      </c>
      <c r="N612" s="3" t="s">
        <v>14</v>
      </c>
      <c r="O612" s="3" t="s">
        <v>13</v>
      </c>
      <c r="P612" s="3">
        <v>4</v>
      </c>
      <c r="Q612" s="3">
        <v>3</v>
      </c>
      <c r="R612" s="4" t="s">
        <v>12</v>
      </c>
      <c r="S612" s="4" t="s">
        <v>14</v>
      </c>
      <c r="T612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613" spans="1:20" ht="18" x14ac:dyDescent="0.35">
      <c r="A613" s="3" t="s">
        <v>656</v>
      </c>
      <c r="B613" s="3" t="str">
        <f>IF(Table1[[#This Row],[Age]]&lt;25,"Under 25",IF(Table1[[#This Row],[Age]]&lt;35,"25-34",IF(Table1[[#This Row],[Age]]&lt;45,"35-44",IF(Table1[[#This Row],[Age]]&lt;55,"45-54","55+"))))</f>
        <v>35-44</v>
      </c>
      <c r="C613" s="3">
        <v>35</v>
      </c>
      <c r="D613" s="3" t="s">
        <v>7</v>
      </c>
      <c r="E613" s="3" t="s">
        <v>8</v>
      </c>
      <c r="F613" s="3" t="s">
        <v>66</v>
      </c>
      <c r="G613" s="3" t="s">
        <v>10</v>
      </c>
      <c r="H613" s="3" t="s">
        <v>11</v>
      </c>
      <c r="I613" s="3">
        <v>89793</v>
      </c>
      <c r="J613" s="3">
        <v>2</v>
      </c>
      <c r="K613" s="3">
        <v>2</v>
      </c>
      <c r="L613" s="3">
        <v>3</v>
      </c>
      <c r="M613" s="3">
        <v>1</v>
      </c>
      <c r="N613" s="3" t="s">
        <v>14</v>
      </c>
      <c r="O613" s="3" t="s">
        <v>13</v>
      </c>
      <c r="P613" s="3">
        <v>2</v>
      </c>
      <c r="Q613" s="3">
        <v>1</v>
      </c>
      <c r="R613" s="4" t="s">
        <v>14</v>
      </c>
      <c r="S613" s="4" t="s">
        <v>12</v>
      </c>
      <c r="T613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614" spans="1:20" ht="18" x14ac:dyDescent="0.35">
      <c r="A614" s="3" t="s">
        <v>657</v>
      </c>
      <c r="B614" s="3" t="str">
        <f>IF(Table1[[#This Row],[Age]]&lt;25,"Under 25",IF(Table1[[#This Row],[Age]]&lt;35,"25-34",IF(Table1[[#This Row],[Age]]&lt;45,"35-44",IF(Table1[[#This Row],[Age]]&lt;55,"45-54","55+"))))</f>
        <v>35-44</v>
      </c>
      <c r="C614" s="3">
        <v>36</v>
      </c>
      <c r="D614" s="3" t="s">
        <v>22</v>
      </c>
      <c r="E614" s="3" t="s">
        <v>8</v>
      </c>
      <c r="F614" s="3" t="s">
        <v>66</v>
      </c>
      <c r="G614" s="3" t="s">
        <v>25</v>
      </c>
      <c r="H614" s="3" t="s">
        <v>11</v>
      </c>
      <c r="I614" s="3">
        <v>52634</v>
      </c>
      <c r="J614" s="3">
        <v>4</v>
      </c>
      <c r="K614" s="3">
        <v>2</v>
      </c>
      <c r="L614" s="3">
        <v>2</v>
      </c>
      <c r="M614" s="3">
        <v>2</v>
      </c>
      <c r="N614" s="3" t="s">
        <v>14</v>
      </c>
      <c r="O614" s="3" t="s">
        <v>13</v>
      </c>
      <c r="P614" s="3">
        <v>4</v>
      </c>
      <c r="Q614" s="3">
        <v>0</v>
      </c>
      <c r="R614" s="4" t="s">
        <v>14</v>
      </c>
      <c r="S614" s="4" t="s">
        <v>14</v>
      </c>
      <c r="T614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615" spans="1:20" ht="18" x14ac:dyDescent="0.35">
      <c r="A615" s="3" t="s">
        <v>658</v>
      </c>
      <c r="B615" s="3" t="str">
        <f>IF(Table1[[#This Row],[Age]]&lt;25,"Under 25",IF(Table1[[#This Row],[Age]]&lt;35,"25-34",IF(Table1[[#This Row],[Age]]&lt;45,"35-44",IF(Table1[[#This Row],[Age]]&lt;55,"45-54","55+"))))</f>
        <v>Under 25</v>
      </c>
      <c r="C615" s="3">
        <v>24</v>
      </c>
      <c r="D615" s="3" t="s">
        <v>7</v>
      </c>
      <c r="E615" s="3" t="s">
        <v>8</v>
      </c>
      <c r="F615" s="3" t="s">
        <v>23</v>
      </c>
      <c r="G615" s="3" t="s">
        <v>10</v>
      </c>
      <c r="H615" s="3" t="s">
        <v>11</v>
      </c>
      <c r="I615" s="3">
        <v>38296</v>
      </c>
      <c r="J615" s="3">
        <v>4</v>
      </c>
      <c r="K615" s="3">
        <v>1</v>
      </c>
      <c r="L615" s="3">
        <v>3</v>
      </c>
      <c r="M615" s="3">
        <v>3</v>
      </c>
      <c r="N615" s="3" t="s">
        <v>14</v>
      </c>
      <c r="O615" s="3" t="s">
        <v>13</v>
      </c>
      <c r="P615" s="3">
        <v>3</v>
      </c>
      <c r="Q615" s="3">
        <v>4</v>
      </c>
      <c r="R615" s="4" t="s">
        <v>14</v>
      </c>
      <c r="S615" s="4" t="s">
        <v>14</v>
      </c>
      <c r="T615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616" spans="1:20" ht="18" x14ac:dyDescent="0.35">
      <c r="A616" s="3" t="s">
        <v>659</v>
      </c>
      <c r="B616" s="3" t="str">
        <f>IF(Table1[[#This Row],[Age]]&lt;25,"Under 25",IF(Table1[[#This Row],[Age]]&lt;35,"25-34",IF(Table1[[#This Row],[Age]]&lt;45,"35-44",IF(Table1[[#This Row],[Age]]&lt;55,"45-54","55+"))))</f>
        <v>25-34</v>
      </c>
      <c r="C616" s="3">
        <v>29</v>
      </c>
      <c r="D616" s="3" t="s">
        <v>7</v>
      </c>
      <c r="E616" s="3" t="s">
        <v>8</v>
      </c>
      <c r="F616" s="3" t="s">
        <v>66</v>
      </c>
      <c r="G616" s="3" t="s">
        <v>45</v>
      </c>
      <c r="H616" s="3" t="s">
        <v>11</v>
      </c>
      <c r="I616" s="3">
        <v>92195</v>
      </c>
      <c r="J616" s="3">
        <v>0</v>
      </c>
      <c r="K616" s="3">
        <v>0</v>
      </c>
      <c r="L616" s="3">
        <v>3</v>
      </c>
      <c r="M616" s="3">
        <v>3</v>
      </c>
      <c r="N616" s="3" t="s">
        <v>12</v>
      </c>
      <c r="O616" s="3" t="s">
        <v>13</v>
      </c>
      <c r="P616" s="3">
        <v>3</v>
      </c>
      <c r="Q616" s="3">
        <v>6</v>
      </c>
      <c r="R616" s="4" t="s">
        <v>14</v>
      </c>
      <c r="S616" s="4" t="s">
        <v>12</v>
      </c>
      <c r="T616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Less than 1 Year</v>
      </c>
    </row>
    <row r="617" spans="1:20" ht="18" x14ac:dyDescent="0.35">
      <c r="A617" s="3" t="s">
        <v>660</v>
      </c>
      <c r="B617" s="3" t="str">
        <f>IF(Table1[[#This Row],[Age]]&lt;25,"Under 25",IF(Table1[[#This Row],[Age]]&lt;35,"25-34",IF(Table1[[#This Row],[Age]]&lt;45,"35-44",IF(Table1[[#This Row],[Age]]&lt;55,"45-54","55+"))))</f>
        <v>35-44</v>
      </c>
      <c r="C617" s="3">
        <v>37</v>
      </c>
      <c r="D617" s="3" t="s">
        <v>7</v>
      </c>
      <c r="E617" s="3" t="s">
        <v>38</v>
      </c>
      <c r="F617" s="3" t="s">
        <v>59</v>
      </c>
      <c r="G617" s="3" t="s">
        <v>25</v>
      </c>
      <c r="H617" s="3" t="s">
        <v>19</v>
      </c>
      <c r="I617" s="3">
        <v>79659</v>
      </c>
      <c r="J617" s="3">
        <v>4</v>
      </c>
      <c r="K617" s="3">
        <v>2</v>
      </c>
      <c r="L617" s="3">
        <v>2</v>
      </c>
      <c r="M617" s="3">
        <v>2</v>
      </c>
      <c r="N617" s="3" t="s">
        <v>14</v>
      </c>
      <c r="O617" s="3" t="s">
        <v>13</v>
      </c>
      <c r="P617" s="3">
        <v>3</v>
      </c>
      <c r="Q617" s="3">
        <v>3</v>
      </c>
      <c r="R617" s="4" t="s">
        <v>14</v>
      </c>
      <c r="S617" s="4" t="s">
        <v>12</v>
      </c>
      <c r="T617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618" spans="1:20" ht="18" x14ac:dyDescent="0.35">
      <c r="A618" s="3" t="s">
        <v>661</v>
      </c>
      <c r="B618" s="3" t="str">
        <f>IF(Table1[[#This Row],[Age]]&lt;25,"Under 25",IF(Table1[[#This Row],[Age]]&lt;35,"25-34",IF(Table1[[#This Row],[Age]]&lt;45,"35-44",IF(Table1[[#This Row],[Age]]&lt;55,"45-54","55+"))))</f>
        <v>35-44</v>
      </c>
      <c r="C618" s="3">
        <v>35</v>
      </c>
      <c r="D618" s="3" t="s">
        <v>7</v>
      </c>
      <c r="E618" s="3" t="s">
        <v>34</v>
      </c>
      <c r="F618" s="3" t="s">
        <v>54</v>
      </c>
      <c r="G618" s="3" t="s">
        <v>10</v>
      </c>
      <c r="H618" s="3" t="s">
        <v>11</v>
      </c>
      <c r="I618" s="3">
        <v>36364</v>
      </c>
      <c r="J618" s="3">
        <v>8</v>
      </c>
      <c r="K618" s="3">
        <v>2</v>
      </c>
      <c r="L618" s="3">
        <v>3</v>
      </c>
      <c r="M618" s="3">
        <v>3</v>
      </c>
      <c r="N618" s="3" t="s">
        <v>14</v>
      </c>
      <c r="O618" s="3" t="s">
        <v>13</v>
      </c>
      <c r="P618" s="3">
        <v>2</v>
      </c>
      <c r="Q618" s="3">
        <v>4</v>
      </c>
      <c r="R618" s="4" t="s">
        <v>14</v>
      </c>
      <c r="S618" s="4" t="s">
        <v>14</v>
      </c>
      <c r="T618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619" spans="1:20" ht="18" x14ac:dyDescent="0.35">
      <c r="A619" s="3" t="s">
        <v>662</v>
      </c>
      <c r="B619" s="3" t="str">
        <f>IF(Table1[[#This Row],[Age]]&lt;25,"Under 25",IF(Table1[[#This Row],[Age]]&lt;35,"25-34",IF(Table1[[#This Row],[Age]]&lt;45,"35-44",IF(Table1[[#This Row],[Age]]&lt;55,"45-54","55+"))))</f>
        <v>35-44</v>
      </c>
      <c r="C619" s="3">
        <v>35</v>
      </c>
      <c r="D619" s="3" t="s">
        <v>22</v>
      </c>
      <c r="E619" s="3" t="s">
        <v>34</v>
      </c>
      <c r="F619" s="3" t="s">
        <v>91</v>
      </c>
      <c r="G619" s="3" t="s">
        <v>10</v>
      </c>
      <c r="H619" s="3" t="s">
        <v>11</v>
      </c>
      <c r="I619" s="3">
        <v>57389</v>
      </c>
      <c r="J619" s="3">
        <v>3</v>
      </c>
      <c r="K619" s="3">
        <v>1</v>
      </c>
      <c r="L619" s="3">
        <v>3</v>
      </c>
      <c r="M619" s="3">
        <v>4</v>
      </c>
      <c r="N619" s="3" t="s">
        <v>14</v>
      </c>
      <c r="O619" s="3" t="s">
        <v>20</v>
      </c>
      <c r="P619" s="3">
        <v>2</v>
      </c>
      <c r="Q619" s="3">
        <v>2</v>
      </c>
      <c r="R619" s="4" t="s">
        <v>14</v>
      </c>
      <c r="S619" s="4" t="s">
        <v>12</v>
      </c>
      <c r="T619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620" spans="1:20" ht="18" x14ac:dyDescent="0.35">
      <c r="A620" s="3" t="s">
        <v>663</v>
      </c>
      <c r="B620" s="3" t="str">
        <f>IF(Table1[[#This Row],[Age]]&lt;25,"Under 25",IF(Table1[[#This Row],[Age]]&lt;35,"25-34",IF(Table1[[#This Row],[Age]]&lt;45,"35-44",IF(Table1[[#This Row],[Age]]&lt;55,"45-54","55+"))))</f>
        <v>25-34</v>
      </c>
      <c r="C620" s="3">
        <v>31</v>
      </c>
      <c r="D620" s="3" t="s">
        <v>22</v>
      </c>
      <c r="E620" s="3" t="s">
        <v>51</v>
      </c>
      <c r="F620" s="3" t="s">
        <v>52</v>
      </c>
      <c r="G620" s="3" t="s">
        <v>25</v>
      </c>
      <c r="H620" s="3" t="s">
        <v>19</v>
      </c>
      <c r="I620" s="3">
        <v>60532</v>
      </c>
      <c r="J620" s="3">
        <v>11</v>
      </c>
      <c r="K620" s="3">
        <v>6</v>
      </c>
      <c r="L620" s="3">
        <v>4</v>
      </c>
      <c r="M620" s="3">
        <v>3</v>
      </c>
      <c r="N620" s="3" t="s">
        <v>12</v>
      </c>
      <c r="O620" s="3" t="s">
        <v>13</v>
      </c>
      <c r="P620" s="3">
        <v>4</v>
      </c>
      <c r="Q620" s="3">
        <v>0</v>
      </c>
      <c r="R620" s="4" t="s">
        <v>14</v>
      </c>
      <c r="S620" s="4" t="s">
        <v>14</v>
      </c>
      <c r="T620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621" spans="1:20" ht="18" x14ac:dyDescent="0.35">
      <c r="A621" s="3" t="s">
        <v>664</v>
      </c>
      <c r="B621" s="3" t="str">
        <f>IF(Table1[[#This Row],[Age]]&lt;25,"Under 25",IF(Table1[[#This Row],[Age]]&lt;35,"25-34",IF(Table1[[#This Row],[Age]]&lt;45,"35-44",IF(Table1[[#This Row],[Age]]&lt;55,"45-54","55+"))))</f>
        <v>35-44</v>
      </c>
      <c r="C621" s="3">
        <v>38</v>
      </c>
      <c r="D621" s="3" t="s">
        <v>7</v>
      </c>
      <c r="E621" s="3" t="s">
        <v>34</v>
      </c>
      <c r="F621" s="3" t="s">
        <v>91</v>
      </c>
      <c r="G621" s="3" t="s">
        <v>18</v>
      </c>
      <c r="H621" s="3" t="s">
        <v>11</v>
      </c>
      <c r="I621" s="3">
        <v>102102</v>
      </c>
      <c r="J621" s="3">
        <v>8</v>
      </c>
      <c r="K621" s="3">
        <v>1</v>
      </c>
      <c r="L621" s="3">
        <v>4</v>
      </c>
      <c r="M621" s="3">
        <v>3</v>
      </c>
      <c r="N621" s="3" t="s">
        <v>12</v>
      </c>
      <c r="O621" s="3" t="s">
        <v>13</v>
      </c>
      <c r="P621" s="3">
        <v>3</v>
      </c>
      <c r="Q621" s="3">
        <v>5</v>
      </c>
      <c r="R621" s="4" t="s">
        <v>12</v>
      </c>
      <c r="S621" s="4" t="s">
        <v>12</v>
      </c>
      <c r="T621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622" spans="1:20" ht="18" x14ac:dyDescent="0.35">
      <c r="A622" s="3" t="s">
        <v>665</v>
      </c>
      <c r="B622" s="3" t="str">
        <f>IF(Table1[[#This Row],[Age]]&lt;25,"Under 25",IF(Table1[[#This Row],[Age]]&lt;35,"25-34",IF(Table1[[#This Row],[Age]]&lt;45,"35-44",IF(Table1[[#This Row],[Age]]&lt;55,"45-54","55+"))))</f>
        <v>25-34</v>
      </c>
      <c r="C622" s="3">
        <v>32</v>
      </c>
      <c r="D622" s="3" t="s">
        <v>22</v>
      </c>
      <c r="E622" s="3" t="s">
        <v>8</v>
      </c>
      <c r="F622" s="3" t="s">
        <v>23</v>
      </c>
      <c r="G622" s="3" t="s">
        <v>25</v>
      </c>
      <c r="H622" s="3" t="s">
        <v>42</v>
      </c>
      <c r="I622" s="3">
        <v>82952</v>
      </c>
      <c r="J622" s="3">
        <v>10</v>
      </c>
      <c r="K622" s="3">
        <v>4</v>
      </c>
      <c r="L622" s="3">
        <v>4</v>
      </c>
      <c r="M622" s="3">
        <v>2</v>
      </c>
      <c r="N622" s="3" t="s">
        <v>12</v>
      </c>
      <c r="O622" s="3" t="s">
        <v>20</v>
      </c>
      <c r="P622" s="3">
        <v>3</v>
      </c>
      <c r="Q622" s="3">
        <v>0</v>
      </c>
      <c r="R622" s="4" t="s">
        <v>14</v>
      </c>
      <c r="S622" s="4" t="s">
        <v>14</v>
      </c>
      <c r="T622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623" spans="1:20" ht="18" x14ac:dyDescent="0.35">
      <c r="A623" s="3" t="s">
        <v>666</v>
      </c>
      <c r="B623" s="3" t="str">
        <f>IF(Table1[[#This Row],[Age]]&lt;25,"Under 25",IF(Table1[[#This Row],[Age]]&lt;35,"25-34",IF(Table1[[#This Row],[Age]]&lt;45,"35-44",IF(Table1[[#This Row],[Age]]&lt;55,"45-54","55+"))))</f>
        <v>45-54</v>
      </c>
      <c r="C623" s="3">
        <v>49</v>
      </c>
      <c r="D623" s="3" t="s">
        <v>22</v>
      </c>
      <c r="E623" s="3" t="s">
        <v>38</v>
      </c>
      <c r="F623" s="3" t="s">
        <v>89</v>
      </c>
      <c r="G623" s="3" t="s">
        <v>25</v>
      </c>
      <c r="H623" s="3" t="s">
        <v>42</v>
      </c>
      <c r="I623" s="3">
        <v>63054</v>
      </c>
      <c r="J623" s="3">
        <v>12</v>
      </c>
      <c r="K623" s="3">
        <v>2</v>
      </c>
      <c r="L623" s="3">
        <v>4</v>
      </c>
      <c r="M623" s="3">
        <v>1</v>
      </c>
      <c r="N623" s="3" t="s">
        <v>14</v>
      </c>
      <c r="O623" s="3" t="s">
        <v>13</v>
      </c>
      <c r="P623" s="3">
        <v>4</v>
      </c>
      <c r="Q623" s="3">
        <v>3</v>
      </c>
      <c r="R623" s="4" t="s">
        <v>14</v>
      </c>
      <c r="S623" s="4" t="s">
        <v>14</v>
      </c>
      <c r="T623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624" spans="1:20" ht="18" x14ac:dyDescent="0.35">
      <c r="A624" s="3" t="s">
        <v>667</v>
      </c>
      <c r="B624" s="3" t="str">
        <f>IF(Table1[[#This Row],[Age]]&lt;25,"Under 25",IF(Table1[[#This Row],[Age]]&lt;35,"25-34",IF(Table1[[#This Row],[Age]]&lt;45,"35-44",IF(Table1[[#This Row],[Age]]&lt;55,"45-54","55+"))))</f>
        <v>Under 25</v>
      </c>
      <c r="C624" s="3">
        <v>21</v>
      </c>
      <c r="D624" s="3" t="s">
        <v>22</v>
      </c>
      <c r="E624" s="3" t="s">
        <v>51</v>
      </c>
      <c r="F624" s="3" t="s">
        <v>72</v>
      </c>
      <c r="G624" s="3" t="s">
        <v>25</v>
      </c>
      <c r="H624" s="3" t="s">
        <v>19</v>
      </c>
      <c r="I624" s="3">
        <v>28170</v>
      </c>
      <c r="J624" s="3">
        <v>1</v>
      </c>
      <c r="K624" s="3">
        <v>0</v>
      </c>
      <c r="L624" s="3">
        <v>2</v>
      </c>
      <c r="M624" s="3">
        <v>3</v>
      </c>
      <c r="N624" s="3" t="s">
        <v>14</v>
      </c>
      <c r="O624" s="3" t="s">
        <v>13</v>
      </c>
      <c r="P624" s="3">
        <v>2</v>
      </c>
      <c r="Q624" s="3">
        <v>3</v>
      </c>
      <c r="R624" s="4" t="s">
        <v>14</v>
      </c>
      <c r="S624" s="4" t="s">
        <v>14</v>
      </c>
      <c r="T624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625" spans="1:20" ht="18" x14ac:dyDescent="0.35">
      <c r="A625" s="3" t="s">
        <v>668</v>
      </c>
      <c r="B625" s="3" t="str">
        <f>IF(Table1[[#This Row],[Age]]&lt;25,"Under 25",IF(Table1[[#This Row],[Age]]&lt;35,"25-34",IF(Table1[[#This Row],[Age]]&lt;45,"35-44",IF(Table1[[#This Row],[Age]]&lt;55,"45-54","55+"))))</f>
        <v>35-44</v>
      </c>
      <c r="C625" s="3">
        <v>41</v>
      </c>
      <c r="D625" s="3" t="s">
        <v>22</v>
      </c>
      <c r="E625" s="3" t="s">
        <v>51</v>
      </c>
      <c r="F625" s="3" t="s">
        <v>52</v>
      </c>
      <c r="G625" s="3" t="s">
        <v>25</v>
      </c>
      <c r="H625" s="3" t="s">
        <v>11</v>
      </c>
      <c r="I625" s="3">
        <v>89261</v>
      </c>
      <c r="J625" s="3">
        <v>22</v>
      </c>
      <c r="K625" s="3">
        <v>3</v>
      </c>
      <c r="L625" s="3">
        <v>3</v>
      </c>
      <c r="M625" s="3">
        <v>4</v>
      </c>
      <c r="N625" s="3" t="s">
        <v>14</v>
      </c>
      <c r="O625" s="3" t="s">
        <v>20</v>
      </c>
      <c r="P625" s="3">
        <v>4</v>
      </c>
      <c r="Q625" s="3">
        <v>5</v>
      </c>
      <c r="R625" s="4" t="s">
        <v>14</v>
      </c>
      <c r="S625" s="4" t="s">
        <v>14</v>
      </c>
      <c r="T625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626" spans="1:20" ht="18" x14ac:dyDescent="0.35">
      <c r="A626" s="3" t="s">
        <v>669</v>
      </c>
      <c r="B626" s="3" t="str">
        <f>IF(Table1[[#This Row],[Age]]&lt;25,"Under 25",IF(Table1[[#This Row],[Age]]&lt;35,"25-34",IF(Table1[[#This Row],[Age]]&lt;45,"35-44",IF(Table1[[#This Row],[Age]]&lt;55,"45-54","55+"))))</f>
        <v>35-44</v>
      </c>
      <c r="C626" s="3">
        <v>42</v>
      </c>
      <c r="D626" s="3" t="s">
        <v>22</v>
      </c>
      <c r="E626" s="3" t="s">
        <v>34</v>
      </c>
      <c r="F626" s="3" t="s">
        <v>35</v>
      </c>
      <c r="G626" s="3" t="s">
        <v>18</v>
      </c>
      <c r="H626" s="3" t="s">
        <v>19</v>
      </c>
      <c r="I626" s="3">
        <v>39001</v>
      </c>
      <c r="J626" s="3">
        <v>17</v>
      </c>
      <c r="K626" s="3">
        <v>8</v>
      </c>
      <c r="L626" s="3">
        <v>2</v>
      </c>
      <c r="M626" s="3">
        <v>2</v>
      </c>
      <c r="N626" s="3" t="s">
        <v>14</v>
      </c>
      <c r="O626" s="3" t="s">
        <v>13</v>
      </c>
      <c r="P626" s="3">
        <v>3</v>
      </c>
      <c r="Q626" s="3">
        <v>3</v>
      </c>
      <c r="R626" s="4" t="s">
        <v>14</v>
      </c>
      <c r="S626" s="4" t="s">
        <v>14</v>
      </c>
      <c r="T626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627" spans="1:20" ht="18" x14ac:dyDescent="0.35">
      <c r="A627" s="3" t="s">
        <v>670</v>
      </c>
      <c r="B627" s="3" t="str">
        <f>IF(Table1[[#This Row],[Age]]&lt;25,"Under 25",IF(Table1[[#This Row],[Age]]&lt;35,"25-34",IF(Table1[[#This Row],[Age]]&lt;45,"35-44",IF(Table1[[#This Row],[Age]]&lt;55,"45-54","55+"))))</f>
        <v>Under 25</v>
      </c>
      <c r="C627" s="3">
        <v>21</v>
      </c>
      <c r="D627" s="3" t="s">
        <v>22</v>
      </c>
      <c r="E627" s="3" t="s">
        <v>31</v>
      </c>
      <c r="F627" s="3" t="s">
        <v>74</v>
      </c>
      <c r="G627" s="3" t="s">
        <v>25</v>
      </c>
      <c r="H627" s="3" t="s">
        <v>19</v>
      </c>
      <c r="I627" s="3">
        <v>62333</v>
      </c>
      <c r="J627" s="3">
        <v>1</v>
      </c>
      <c r="K627" s="3">
        <v>1</v>
      </c>
      <c r="L627" s="3">
        <v>1</v>
      </c>
      <c r="M627" s="3">
        <v>2</v>
      </c>
      <c r="N627" s="3" t="s">
        <v>12</v>
      </c>
      <c r="O627" s="3" t="s">
        <v>13</v>
      </c>
      <c r="P627" s="3">
        <v>3</v>
      </c>
      <c r="Q627" s="3">
        <v>1</v>
      </c>
      <c r="R627" s="4" t="s">
        <v>14</v>
      </c>
      <c r="S627" s="4" t="s">
        <v>14</v>
      </c>
      <c r="T627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628" spans="1:20" ht="18" x14ac:dyDescent="0.35">
      <c r="A628" s="3" t="s">
        <v>671</v>
      </c>
      <c r="B628" s="3" t="str">
        <f>IF(Table1[[#This Row],[Age]]&lt;25,"Under 25",IF(Table1[[#This Row],[Age]]&lt;35,"25-34",IF(Table1[[#This Row],[Age]]&lt;45,"35-44",IF(Table1[[#This Row],[Age]]&lt;55,"45-54","55+"))))</f>
        <v>45-54</v>
      </c>
      <c r="C628" s="3">
        <v>49</v>
      </c>
      <c r="D628" s="3" t="s">
        <v>7</v>
      </c>
      <c r="E628" s="3" t="s">
        <v>51</v>
      </c>
      <c r="F628" s="3" t="s">
        <v>52</v>
      </c>
      <c r="G628" s="3" t="s">
        <v>25</v>
      </c>
      <c r="H628" s="3" t="s">
        <v>11</v>
      </c>
      <c r="I628" s="3">
        <v>52926</v>
      </c>
      <c r="J628" s="3">
        <v>3</v>
      </c>
      <c r="K628" s="3">
        <v>1</v>
      </c>
      <c r="L628" s="3">
        <v>4</v>
      </c>
      <c r="M628" s="3">
        <v>2</v>
      </c>
      <c r="N628" s="3" t="s">
        <v>14</v>
      </c>
      <c r="O628" s="3" t="s">
        <v>13</v>
      </c>
      <c r="P628" s="3">
        <v>3</v>
      </c>
      <c r="Q628" s="3">
        <v>4</v>
      </c>
      <c r="R628" s="4" t="s">
        <v>14</v>
      </c>
      <c r="S628" s="4" t="s">
        <v>14</v>
      </c>
      <c r="T628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629" spans="1:20" ht="18" x14ac:dyDescent="0.35">
      <c r="A629" s="3" t="s">
        <v>672</v>
      </c>
      <c r="B629" s="3" t="str">
        <f>IF(Table1[[#This Row],[Age]]&lt;25,"Under 25",IF(Table1[[#This Row],[Age]]&lt;35,"25-34",IF(Table1[[#This Row],[Age]]&lt;45,"35-44",IF(Table1[[#This Row],[Age]]&lt;55,"45-54","55+"))))</f>
        <v>45-54</v>
      </c>
      <c r="C629" s="3">
        <v>51</v>
      </c>
      <c r="D629" s="3" t="s">
        <v>22</v>
      </c>
      <c r="E629" s="3" t="s">
        <v>34</v>
      </c>
      <c r="F629" s="3" t="s">
        <v>54</v>
      </c>
      <c r="G629" s="3" t="s">
        <v>10</v>
      </c>
      <c r="H629" s="3" t="s">
        <v>19</v>
      </c>
      <c r="I629" s="3">
        <v>33616</v>
      </c>
      <c r="J629" s="3">
        <v>25</v>
      </c>
      <c r="K629" s="3">
        <v>9</v>
      </c>
      <c r="L629" s="3">
        <v>3</v>
      </c>
      <c r="M629" s="3">
        <v>4</v>
      </c>
      <c r="N629" s="3" t="s">
        <v>14</v>
      </c>
      <c r="O629" s="3" t="s">
        <v>13</v>
      </c>
      <c r="P629" s="3">
        <v>3</v>
      </c>
      <c r="Q629" s="3">
        <v>3</v>
      </c>
      <c r="R629" s="4" t="s">
        <v>14</v>
      </c>
      <c r="S629" s="4" t="s">
        <v>14</v>
      </c>
      <c r="T629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630" spans="1:20" ht="18" x14ac:dyDescent="0.35">
      <c r="A630" s="3" t="s">
        <v>673</v>
      </c>
      <c r="B630" s="3" t="str">
        <f>IF(Table1[[#This Row],[Age]]&lt;25,"Under 25",IF(Table1[[#This Row],[Age]]&lt;35,"25-34",IF(Table1[[#This Row],[Age]]&lt;45,"35-44",IF(Table1[[#This Row],[Age]]&lt;55,"45-54","55+"))))</f>
        <v>35-44</v>
      </c>
      <c r="C630" s="3">
        <v>43</v>
      </c>
      <c r="D630" s="3" t="s">
        <v>7</v>
      </c>
      <c r="E630" s="3" t="s">
        <v>8</v>
      </c>
      <c r="F630" s="3" t="s">
        <v>23</v>
      </c>
      <c r="G630" s="3" t="s">
        <v>25</v>
      </c>
      <c r="H630" s="3" t="s">
        <v>11</v>
      </c>
      <c r="I630" s="3">
        <v>77543</v>
      </c>
      <c r="J630" s="3">
        <v>18</v>
      </c>
      <c r="K630" s="3">
        <v>3</v>
      </c>
      <c r="L630" s="3">
        <v>2</v>
      </c>
      <c r="M630" s="3">
        <v>3</v>
      </c>
      <c r="N630" s="3" t="s">
        <v>14</v>
      </c>
      <c r="O630" s="3" t="s">
        <v>13</v>
      </c>
      <c r="P630" s="3">
        <v>3</v>
      </c>
      <c r="Q630" s="3">
        <v>0</v>
      </c>
      <c r="R630" s="4" t="s">
        <v>12</v>
      </c>
      <c r="S630" s="4" t="s">
        <v>14</v>
      </c>
      <c r="T630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631" spans="1:20" ht="18" x14ac:dyDescent="0.35">
      <c r="A631" s="3" t="s">
        <v>674</v>
      </c>
      <c r="B631" s="3" t="str">
        <f>IF(Table1[[#This Row],[Age]]&lt;25,"Under 25",IF(Table1[[#This Row],[Age]]&lt;35,"25-34",IF(Table1[[#This Row],[Age]]&lt;45,"35-44",IF(Table1[[#This Row],[Age]]&lt;55,"45-54","55+"))))</f>
        <v>25-34</v>
      </c>
      <c r="C631" s="3">
        <v>29</v>
      </c>
      <c r="D631" s="3" t="s">
        <v>22</v>
      </c>
      <c r="E631" s="3" t="s">
        <v>34</v>
      </c>
      <c r="F631" s="3" t="s">
        <v>35</v>
      </c>
      <c r="G631" s="3" t="s">
        <v>25</v>
      </c>
      <c r="H631" s="3" t="s">
        <v>11</v>
      </c>
      <c r="I631" s="3">
        <v>33801</v>
      </c>
      <c r="J631" s="3">
        <v>1</v>
      </c>
      <c r="K631" s="3">
        <v>0</v>
      </c>
      <c r="L631" s="3">
        <v>3</v>
      </c>
      <c r="M631" s="3">
        <v>1</v>
      </c>
      <c r="N631" s="3" t="s">
        <v>14</v>
      </c>
      <c r="O631" s="3" t="s">
        <v>13</v>
      </c>
      <c r="P631" s="3">
        <v>3</v>
      </c>
      <c r="Q631" s="3">
        <v>6</v>
      </c>
      <c r="R631" s="4" t="s">
        <v>14</v>
      </c>
      <c r="S631" s="4" t="s">
        <v>14</v>
      </c>
      <c r="T631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632" spans="1:20" ht="18" x14ac:dyDescent="0.35">
      <c r="A632" s="3" t="s">
        <v>675</v>
      </c>
      <c r="B632" s="3" t="str">
        <f>IF(Table1[[#This Row],[Age]]&lt;25,"Under 25",IF(Table1[[#This Row],[Age]]&lt;35,"25-34",IF(Table1[[#This Row],[Age]]&lt;45,"35-44",IF(Table1[[#This Row],[Age]]&lt;55,"45-54","55+"))))</f>
        <v>45-54</v>
      </c>
      <c r="C632" s="3">
        <v>47</v>
      </c>
      <c r="D632" s="3" t="s">
        <v>7</v>
      </c>
      <c r="E632" s="3" t="s">
        <v>38</v>
      </c>
      <c r="F632" s="3" t="s">
        <v>89</v>
      </c>
      <c r="G632" s="3" t="s">
        <v>25</v>
      </c>
      <c r="H632" s="3" t="s">
        <v>11</v>
      </c>
      <c r="I632" s="3">
        <v>103543</v>
      </c>
      <c r="J632" s="3">
        <v>1</v>
      </c>
      <c r="K632" s="3">
        <v>1</v>
      </c>
      <c r="L632" s="3">
        <v>1</v>
      </c>
      <c r="M632" s="3">
        <v>2</v>
      </c>
      <c r="N632" s="3" t="s">
        <v>14</v>
      </c>
      <c r="O632" s="3" t="s">
        <v>13</v>
      </c>
      <c r="P632" s="3">
        <v>4</v>
      </c>
      <c r="Q632" s="3">
        <v>0</v>
      </c>
      <c r="R632" s="4" t="s">
        <v>14</v>
      </c>
      <c r="S632" s="4" t="s">
        <v>14</v>
      </c>
      <c r="T632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633" spans="1:20" ht="18" x14ac:dyDescent="0.35">
      <c r="A633" s="3" t="s">
        <v>676</v>
      </c>
      <c r="B633" s="3" t="str">
        <f>IF(Table1[[#This Row],[Age]]&lt;25,"Under 25",IF(Table1[[#This Row],[Age]]&lt;35,"25-34",IF(Table1[[#This Row],[Age]]&lt;45,"35-44",IF(Table1[[#This Row],[Age]]&lt;55,"45-54","55+"))))</f>
        <v>35-44</v>
      </c>
      <c r="C633" s="3">
        <v>43</v>
      </c>
      <c r="D633" s="3" t="s">
        <v>22</v>
      </c>
      <c r="E633" s="3" t="s">
        <v>16</v>
      </c>
      <c r="F633" s="3" t="s">
        <v>47</v>
      </c>
      <c r="G633" s="3" t="s">
        <v>25</v>
      </c>
      <c r="H633" s="3" t="s">
        <v>19</v>
      </c>
      <c r="I633" s="3">
        <v>36725</v>
      </c>
      <c r="J633" s="3">
        <v>4</v>
      </c>
      <c r="K633" s="3">
        <v>1</v>
      </c>
      <c r="L633" s="3">
        <v>1</v>
      </c>
      <c r="M633" s="3">
        <v>2</v>
      </c>
      <c r="N633" s="3" t="s">
        <v>12</v>
      </c>
      <c r="O633" s="3" t="s">
        <v>20</v>
      </c>
      <c r="P633" s="3">
        <v>3</v>
      </c>
      <c r="Q633" s="3">
        <v>1</v>
      </c>
      <c r="R633" s="4" t="s">
        <v>14</v>
      </c>
      <c r="S633" s="4" t="s">
        <v>14</v>
      </c>
      <c r="T633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634" spans="1:20" ht="18" x14ac:dyDescent="0.35">
      <c r="A634" s="3" t="s">
        <v>677</v>
      </c>
      <c r="B634" s="3" t="str">
        <f>IF(Table1[[#This Row],[Age]]&lt;25,"Under 25",IF(Table1[[#This Row],[Age]]&lt;35,"25-34",IF(Table1[[#This Row],[Age]]&lt;45,"35-44",IF(Table1[[#This Row],[Age]]&lt;55,"45-54","55+"))))</f>
        <v>Under 25</v>
      </c>
      <c r="C634" s="3">
        <v>24</v>
      </c>
      <c r="D634" s="3" t="s">
        <v>22</v>
      </c>
      <c r="E634" s="3" t="s">
        <v>34</v>
      </c>
      <c r="F634" s="3" t="s">
        <v>91</v>
      </c>
      <c r="G634" s="3" t="s">
        <v>25</v>
      </c>
      <c r="H634" s="3" t="s">
        <v>19</v>
      </c>
      <c r="I634" s="3">
        <v>39291</v>
      </c>
      <c r="J634" s="3">
        <v>1</v>
      </c>
      <c r="K634" s="3">
        <v>1</v>
      </c>
      <c r="L634" s="3">
        <v>4</v>
      </c>
      <c r="M634" s="3">
        <v>3</v>
      </c>
      <c r="N634" s="3" t="s">
        <v>12</v>
      </c>
      <c r="O634" s="3" t="s">
        <v>13</v>
      </c>
      <c r="P634" s="3">
        <v>3</v>
      </c>
      <c r="Q634" s="3">
        <v>0</v>
      </c>
      <c r="R634" s="4" t="s">
        <v>14</v>
      </c>
      <c r="S634" s="4" t="s">
        <v>14</v>
      </c>
      <c r="T634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635" spans="1:20" ht="18" x14ac:dyDescent="0.35">
      <c r="A635" s="3" t="s">
        <v>678</v>
      </c>
      <c r="B635" s="3" t="str">
        <f>IF(Table1[[#This Row],[Age]]&lt;25,"Under 25",IF(Table1[[#This Row],[Age]]&lt;35,"25-34",IF(Table1[[#This Row],[Age]]&lt;45,"35-44",IF(Table1[[#This Row],[Age]]&lt;55,"45-54","55+"))))</f>
        <v>25-34</v>
      </c>
      <c r="C635" s="3">
        <v>29</v>
      </c>
      <c r="D635" s="3" t="s">
        <v>22</v>
      </c>
      <c r="E635" s="3" t="s">
        <v>51</v>
      </c>
      <c r="F635" s="3" t="s">
        <v>52</v>
      </c>
      <c r="G635" s="3" t="s">
        <v>10</v>
      </c>
      <c r="H635" s="3" t="s">
        <v>42</v>
      </c>
      <c r="I635" s="3">
        <v>43071</v>
      </c>
      <c r="J635" s="3">
        <v>2</v>
      </c>
      <c r="K635" s="3">
        <v>2</v>
      </c>
      <c r="L635" s="3">
        <v>4</v>
      </c>
      <c r="M635" s="3">
        <v>3</v>
      </c>
      <c r="N635" s="3" t="s">
        <v>14</v>
      </c>
      <c r="O635" s="3" t="s">
        <v>26</v>
      </c>
      <c r="P635" s="3">
        <v>4</v>
      </c>
      <c r="Q635" s="3">
        <v>3</v>
      </c>
      <c r="R635" s="4" t="s">
        <v>14</v>
      </c>
      <c r="S635" s="4" t="s">
        <v>14</v>
      </c>
      <c r="T635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636" spans="1:20" ht="18" x14ac:dyDescent="0.35">
      <c r="A636" s="3" t="s">
        <v>679</v>
      </c>
      <c r="B636" s="3" t="str">
        <f>IF(Table1[[#This Row],[Age]]&lt;25,"Under 25",IF(Table1[[#This Row],[Age]]&lt;35,"25-34",IF(Table1[[#This Row],[Age]]&lt;45,"35-44",IF(Table1[[#This Row],[Age]]&lt;55,"45-54","55+"))))</f>
        <v>35-44</v>
      </c>
      <c r="C636" s="3">
        <v>35</v>
      </c>
      <c r="D636" s="3" t="s">
        <v>7</v>
      </c>
      <c r="E636" s="3" t="s">
        <v>34</v>
      </c>
      <c r="F636" s="3" t="s">
        <v>91</v>
      </c>
      <c r="G636" s="3" t="s">
        <v>10</v>
      </c>
      <c r="H636" s="3" t="s">
        <v>19</v>
      </c>
      <c r="I636" s="3">
        <v>67217</v>
      </c>
      <c r="J636" s="3">
        <v>7</v>
      </c>
      <c r="K636" s="3">
        <v>0</v>
      </c>
      <c r="L636" s="3">
        <v>4</v>
      </c>
      <c r="M636" s="3">
        <v>4</v>
      </c>
      <c r="N636" s="3" t="s">
        <v>12</v>
      </c>
      <c r="O636" s="3" t="s">
        <v>20</v>
      </c>
      <c r="P636" s="3">
        <v>3</v>
      </c>
      <c r="Q636" s="3">
        <v>0</v>
      </c>
      <c r="R636" s="4" t="s">
        <v>14</v>
      </c>
      <c r="S636" s="4" t="s">
        <v>14</v>
      </c>
      <c r="T636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637" spans="1:20" ht="18" x14ac:dyDescent="0.35">
      <c r="A637" s="3" t="s">
        <v>680</v>
      </c>
      <c r="B637" s="3" t="str">
        <f>IF(Table1[[#This Row],[Age]]&lt;25,"Under 25",IF(Table1[[#This Row],[Age]]&lt;35,"25-34",IF(Table1[[#This Row],[Age]]&lt;45,"35-44",IF(Table1[[#This Row],[Age]]&lt;55,"45-54","55+"))))</f>
        <v>25-34</v>
      </c>
      <c r="C637" s="3">
        <v>33</v>
      </c>
      <c r="D637" s="3" t="s">
        <v>22</v>
      </c>
      <c r="E637" s="3" t="s">
        <v>8</v>
      </c>
      <c r="F637" s="3" t="s">
        <v>23</v>
      </c>
      <c r="G637" s="3" t="s">
        <v>10</v>
      </c>
      <c r="H637" s="3" t="s">
        <v>42</v>
      </c>
      <c r="I637" s="3">
        <v>66575</v>
      </c>
      <c r="J637" s="3">
        <v>15</v>
      </c>
      <c r="K637" s="3">
        <v>10</v>
      </c>
      <c r="L637" s="3">
        <v>1</v>
      </c>
      <c r="M637" s="3">
        <v>4</v>
      </c>
      <c r="N637" s="3" t="s">
        <v>14</v>
      </c>
      <c r="O637" s="3" t="s">
        <v>20</v>
      </c>
      <c r="P637" s="3">
        <v>2</v>
      </c>
      <c r="Q637" s="3">
        <v>5</v>
      </c>
      <c r="R637" s="4" t="s">
        <v>14</v>
      </c>
      <c r="S637" s="4" t="s">
        <v>14</v>
      </c>
      <c r="T637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638" spans="1:20" ht="18" x14ac:dyDescent="0.35">
      <c r="A638" s="3" t="s">
        <v>681</v>
      </c>
      <c r="B638" s="3" t="str">
        <f>IF(Table1[[#This Row],[Age]]&lt;25,"Under 25",IF(Table1[[#This Row],[Age]]&lt;35,"25-34",IF(Table1[[#This Row],[Age]]&lt;45,"35-44",IF(Table1[[#This Row],[Age]]&lt;55,"45-54","55+"))))</f>
        <v>35-44</v>
      </c>
      <c r="C638" s="3">
        <v>40</v>
      </c>
      <c r="D638" s="3" t="s">
        <v>7</v>
      </c>
      <c r="E638" s="3" t="s">
        <v>34</v>
      </c>
      <c r="F638" s="3" t="s">
        <v>54</v>
      </c>
      <c r="G638" s="3" t="s">
        <v>10</v>
      </c>
      <c r="H638" s="3" t="s">
        <v>11</v>
      </c>
      <c r="I638" s="3">
        <v>65789</v>
      </c>
      <c r="J638" s="3">
        <v>12</v>
      </c>
      <c r="K638" s="3">
        <v>0</v>
      </c>
      <c r="L638" s="3">
        <v>3</v>
      </c>
      <c r="M638" s="3">
        <v>3</v>
      </c>
      <c r="N638" s="3" t="s">
        <v>14</v>
      </c>
      <c r="O638" s="3" t="s">
        <v>13</v>
      </c>
      <c r="P638" s="3">
        <v>3</v>
      </c>
      <c r="Q638" s="3">
        <v>1</v>
      </c>
      <c r="R638" s="4" t="s">
        <v>14</v>
      </c>
      <c r="S638" s="4" t="s">
        <v>14</v>
      </c>
      <c r="T638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639" spans="1:20" ht="18" x14ac:dyDescent="0.35">
      <c r="A639" s="3" t="s">
        <v>682</v>
      </c>
      <c r="B639" s="3" t="str">
        <f>IF(Table1[[#This Row],[Age]]&lt;25,"Under 25",IF(Table1[[#This Row],[Age]]&lt;35,"25-34",IF(Table1[[#This Row],[Age]]&lt;45,"35-44",IF(Table1[[#This Row],[Age]]&lt;55,"45-54","55+"))))</f>
        <v>25-34</v>
      </c>
      <c r="C639" s="3">
        <v>30</v>
      </c>
      <c r="D639" s="3" t="s">
        <v>22</v>
      </c>
      <c r="E639" s="3" t="s">
        <v>8</v>
      </c>
      <c r="F639" s="3" t="s">
        <v>66</v>
      </c>
      <c r="G639" s="3" t="s">
        <v>10</v>
      </c>
      <c r="H639" s="3" t="s">
        <v>42</v>
      </c>
      <c r="I639" s="3">
        <v>60899</v>
      </c>
      <c r="J639" s="3">
        <v>2</v>
      </c>
      <c r="K639" s="3">
        <v>0</v>
      </c>
      <c r="L639" s="3">
        <v>3</v>
      </c>
      <c r="M639" s="3">
        <v>4</v>
      </c>
      <c r="N639" s="3" t="s">
        <v>14</v>
      </c>
      <c r="O639" s="3" t="s">
        <v>13</v>
      </c>
      <c r="P639" s="3">
        <v>4</v>
      </c>
      <c r="Q639" s="3">
        <v>6</v>
      </c>
      <c r="R639" s="4" t="s">
        <v>12</v>
      </c>
      <c r="S639" s="4" t="s">
        <v>14</v>
      </c>
      <c r="T639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640" spans="1:20" ht="18" x14ac:dyDescent="0.35">
      <c r="A640" s="3" t="s">
        <v>683</v>
      </c>
      <c r="B640" s="3" t="str">
        <f>IF(Table1[[#This Row],[Age]]&lt;25,"Under 25",IF(Table1[[#This Row],[Age]]&lt;35,"25-34",IF(Table1[[#This Row],[Age]]&lt;45,"35-44",IF(Table1[[#This Row],[Age]]&lt;55,"45-54","55+"))))</f>
        <v>25-34</v>
      </c>
      <c r="C640" s="3">
        <v>29</v>
      </c>
      <c r="D640" s="3" t="s">
        <v>22</v>
      </c>
      <c r="E640" s="3" t="s">
        <v>38</v>
      </c>
      <c r="F640" s="3" t="s">
        <v>89</v>
      </c>
      <c r="G640" s="3" t="s">
        <v>45</v>
      </c>
      <c r="H640" s="3" t="s">
        <v>11</v>
      </c>
      <c r="I640" s="3">
        <v>79061</v>
      </c>
      <c r="J640" s="3">
        <v>8</v>
      </c>
      <c r="K640" s="3">
        <v>6</v>
      </c>
      <c r="L640" s="3">
        <v>3</v>
      </c>
      <c r="M640" s="3">
        <v>3</v>
      </c>
      <c r="N640" s="3" t="s">
        <v>14</v>
      </c>
      <c r="O640" s="3" t="s">
        <v>20</v>
      </c>
      <c r="P640" s="3">
        <v>2</v>
      </c>
      <c r="Q640" s="3">
        <v>2</v>
      </c>
      <c r="R640" s="4" t="s">
        <v>14</v>
      </c>
      <c r="S640" s="4" t="s">
        <v>14</v>
      </c>
      <c r="T640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641" spans="1:20" ht="18" x14ac:dyDescent="0.35">
      <c r="A641" s="3" t="s">
        <v>684</v>
      </c>
      <c r="B641" s="3" t="str">
        <f>IF(Table1[[#This Row],[Age]]&lt;25,"Under 25",IF(Table1[[#This Row],[Age]]&lt;35,"25-34",IF(Table1[[#This Row],[Age]]&lt;45,"35-44",IF(Table1[[#This Row],[Age]]&lt;55,"45-54","55+"))))</f>
        <v>35-44</v>
      </c>
      <c r="C641" s="3">
        <v>38</v>
      </c>
      <c r="D641" s="3" t="s">
        <v>7</v>
      </c>
      <c r="E641" s="3" t="s">
        <v>16</v>
      </c>
      <c r="F641" s="3" t="s">
        <v>28</v>
      </c>
      <c r="G641" s="3" t="s">
        <v>18</v>
      </c>
      <c r="H641" s="3" t="s">
        <v>42</v>
      </c>
      <c r="I641" s="3">
        <v>52319</v>
      </c>
      <c r="J641" s="3">
        <v>10</v>
      </c>
      <c r="K641" s="3">
        <v>6</v>
      </c>
      <c r="L641" s="3">
        <v>3</v>
      </c>
      <c r="M641" s="3">
        <v>1</v>
      </c>
      <c r="N641" s="3" t="s">
        <v>14</v>
      </c>
      <c r="O641" s="3" t="s">
        <v>20</v>
      </c>
      <c r="P641" s="3">
        <v>3</v>
      </c>
      <c r="Q641" s="3">
        <v>6</v>
      </c>
      <c r="R641" s="4" t="s">
        <v>12</v>
      </c>
      <c r="S641" s="4" t="s">
        <v>14</v>
      </c>
      <c r="T641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642" spans="1:20" ht="18" x14ac:dyDescent="0.35">
      <c r="A642" s="3" t="s">
        <v>685</v>
      </c>
      <c r="B642" s="3" t="str">
        <f>IF(Table1[[#This Row],[Age]]&lt;25,"Under 25",IF(Table1[[#This Row],[Age]]&lt;35,"25-34",IF(Table1[[#This Row],[Age]]&lt;45,"35-44",IF(Table1[[#This Row],[Age]]&lt;55,"45-54","55+"))))</f>
        <v>25-34</v>
      </c>
      <c r="C642" s="3">
        <v>30</v>
      </c>
      <c r="D642" s="3" t="s">
        <v>7</v>
      </c>
      <c r="E642" s="3" t="s">
        <v>8</v>
      </c>
      <c r="F642" s="3" t="s">
        <v>9</v>
      </c>
      <c r="G642" s="3" t="s">
        <v>25</v>
      </c>
      <c r="H642" s="3" t="s">
        <v>11</v>
      </c>
      <c r="I642" s="3">
        <v>27503</v>
      </c>
      <c r="J642" s="3">
        <v>3</v>
      </c>
      <c r="K642" s="3">
        <v>3</v>
      </c>
      <c r="L642" s="3">
        <v>2</v>
      </c>
      <c r="M642" s="3">
        <v>3</v>
      </c>
      <c r="N642" s="3" t="s">
        <v>14</v>
      </c>
      <c r="O642" s="3" t="s">
        <v>13</v>
      </c>
      <c r="P642" s="3">
        <v>4</v>
      </c>
      <c r="Q642" s="3">
        <v>3</v>
      </c>
      <c r="R642" s="4" t="s">
        <v>14</v>
      </c>
      <c r="S642" s="4" t="s">
        <v>14</v>
      </c>
      <c r="T642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643" spans="1:20" ht="18" x14ac:dyDescent="0.35">
      <c r="A643" s="3" t="s">
        <v>686</v>
      </c>
      <c r="B643" s="3" t="str">
        <f>IF(Table1[[#This Row],[Age]]&lt;25,"Under 25",IF(Table1[[#This Row],[Age]]&lt;35,"25-34",IF(Table1[[#This Row],[Age]]&lt;45,"35-44",IF(Table1[[#This Row],[Age]]&lt;55,"45-54","55+"))))</f>
        <v>35-44</v>
      </c>
      <c r="C643" s="3">
        <v>38</v>
      </c>
      <c r="D643" s="3" t="s">
        <v>7</v>
      </c>
      <c r="E643" s="3" t="s">
        <v>34</v>
      </c>
      <c r="F643" s="3" t="s">
        <v>35</v>
      </c>
      <c r="G643" s="3" t="s">
        <v>25</v>
      </c>
      <c r="H643" s="3" t="s">
        <v>11</v>
      </c>
      <c r="I643" s="3">
        <v>68496</v>
      </c>
      <c r="J643" s="3">
        <v>11</v>
      </c>
      <c r="K643" s="3">
        <v>2</v>
      </c>
      <c r="L643" s="3">
        <v>2</v>
      </c>
      <c r="M643" s="3">
        <v>4</v>
      </c>
      <c r="N643" s="3" t="s">
        <v>14</v>
      </c>
      <c r="O643" s="3" t="s">
        <v>13</v>
      </c>
      <c r="P643" s="3">
        <v>3</v>
      </c>
      <c r="Q643" s="3">
        <v>6</v>
      </c>
      <c r="R643" s="4" t="s">
        <v>12</v>
      </c>
      <c r="S643" s="4" t="s">
        <v>14</v>
      </c>
      <c r="T643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644" spans="1:20" ht="18" x14ac:dyDescent="0.35">
      <c r="A644" s="3" t="s">
        <v>687</v>
      </c>
      <c r="B644" s="3" t="str">
        <f>IF(Table1[[#This Row],[Age]]&lt;25,"Under 25",IF(Table1[[#This Row],[Age]]&lt;35,"25-34",IF(Table1[[#This Row],[Age]]&lt;45,"35-44",IF(Table1[[#This Row],[Age]]&lt;55,"45-54","55+"))))</f>
        <v>25-34</v>
      </c>
      <c r="C644" s="3">
        <v>28</v>
      </c>
      <c r="D644" s="3" t="s">
        <v>7</v>
      </c>
      <c r="E644" s="3" t="s">
        <v>16</v>
      </c>
      <c r="F644" s="3" t="s">
        <v>17</v>
      </c>
      <c r="G644" s="3" t="s">
        <v>18</v>
      </c>
      <c r="H644" s="3" t="s">
        <v>19</v>
      </c>
      <c r="I644" s="3">
        <v>22000</v>
      </c>
      <c r="J644" s="3">
        <v>9</v>
      </c>
      <c r="K644" s="3">
        <v>6</v>
      </c>
      <c r="L644" s="3">
        <v>3</v>
      </c>
      <c r="M644" s="3">
        <v>3</v>
      </c>
      <c r="N644" s="3" t="s">
        <v>14</v>
      </c>
      <c r="O644" s="3" t="s">
        <v>20</v>
      </c>
      <c r="P644" s="3">
        <v>3</v>
      </c>
      <c r="Q644" s="3">
        <v>5</v>
      </c>
      <c r="R644" s="4" t="s">
        <v>14</v>
      </c>
      <c r="S644" s="4" t="s">
        <v>14</v>
      </c>
      <c r="T644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645" spans="1:20" ht="18" x14ac:dyDescent="0.35">
      <c r="A645" s="3" t="s">
        <v>688</v>
      </c>
      <c r="B645" s="3" t="str">
        <f>IF(Table1[[#This Row],[Age]]&lt;25,"Under 25",IF(Table1[[#This Row],[Age]]&lt;35,"25-34",IF(Table1[[#This Row],[Age]]&lt;45,"35-44",IF(Table1[[#This Row],[Age]]&lt;55,"45-54","55+"))))</f>
        <v>35-44</v>
      </c>
      <c r="C645" s="3">
        <v>35</v>
      </c>
      <c r="D645" s="3" t="s">
        <v>22</v>
      </c>
      <c r="E645" s="3" t="s">
        <v>8</v>
      </c>
      <c r="F645" s="3" t="s">
        <v>9</v>
      </c>
      <c r="G645" s="3" t="s">
        <v>25</v>
      </c>
      <c r="H645" s="3" t="s">
        <v>42</v>
      </c>
      <c r="I645" s="3">
        <v>54923</v>
      </c>
      <c r="J645" s="3">
        <v>3</v>
      </c>
      <c r="K645" s="3">
        <v>0</v>
      </c>
      <c r="L645" s="3">
        <v>4</v>
      </c>
      <c r="M645" s="3">
        <v>3</v>
      </c>
      <c r="N645" s="3" t="s">
        <v>14</v>
      </c>
      <c r="O645" s="3" t="s">
        <v>13</v>
      </c>
      <c r="P645" s="3">
        <v>3</v>
      </c>
      <c r="Q645" s="3">
        <v>4</v>
      </c>
      <c r="R645" s="4" t="s">
        <v>14</v>
      </c>
      <c r="S645" s="4" t="s">
        <v>14</v>
      </c>
      <c r="T645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646" spans="1:20" ht="18" x14ac:dyDescent="0.35">
      <c r="A646" s="3" t="s">
        <v>689</v>
      </c>
      <c r="B646" s="3" t="str">
        <f>IF(Table1[[#This Row],[Age]]&lt;25,"Under 25",IF(Table1[[#This Row],[Age]]&lt;35,"25-34",IF(Table1[[#This Row],[Age]]&lt;45,"35-44",IF(Table1[[#This Row],[Age]]&lt;55,"45-54","55+"))))</f>
        <v>35-44</v>
      </c>
      <c r="C646" s="3">
        <v>43</v>
      </c>
      <c r="D646" s="3" t="s">
        <v>7</v>
      </c>
      <c r="E646" s="3" t="s">
        <v>51</v>
      </c>
      <c r="F646" s="3" t="s">
        <v>80</v>
      </c>
      <c r="G646" s="3" t="s">
        <v>10</v>
      </c>
      <c r="H646" s="3" t="s">
        <v>11</v>
      </c>
      <c r="I646" s="3">
        <v>55833</v>
      </c>
      <c r="J646" s="3">
        <v>20</v>
      </c>
      <c r="K646" s="3">
        <v>0</v>
      </c>
      <c r="L646" s="3">
        <v>3</v>
      </c>
      <c r="M646" s="3">
        <v>3</v>
      </c>
      <c r="N646" s="3" t="s">
        <v>14</v>
      </c>
      <c r="O646" s="3" t="s">
        <v>13</v>
      </c>
      <c r="P646" s="3">
        <v>3</v>
      </c>
      <c r="Q646" s="3">
        <v>2</v>
      </c>
      <c r="R646" s="4" t="s">
        <v>14</v>
      </c>
      <c r="S646" s="4" t="s">
        <v>14</v>
      </c>
      <c r="T646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647" spans="1:20" ht="18" x14ac:dyDescent="0.35">
      <c r="A647" s="3" t="s">
        <v>690</v>
      </c>
      <c r="B647" s="3" t="str">
        <f>IF(Table1[[#This Row],[Age]]&lt;25,"Under 25",IF(Table1[[#This Row],[Age]]&lt;35,"25-34",IF(Table1[[#This Row],[Age]]&lt;45,"35-44",IF(Table1[[#This Row],[Age]]&lt;55,"45-54","55+"))))</f>
        <v>45-54</v>
      </c>
      <c r="C647" s="3">
        <v>45</v>
      </c>
      <c r="D647" s="3" t="s">
        <v>22</v>
      </c>
      <c r="E647" s="3" t="s">
        <v>16</v>
      </c>
      <c r="F647" s="3" t="s">
        <v>28</v>
      </c>
      <c r="G647" s="3" t="s">
        <v>25</v>
      </c>
      <c r="H647" s="3" t="s">
        <v>11</v>
      </c>
      <c r="I647" s="3">
        <v>89396</v>
      </c>
      <c r="J647" s="3">
        <v>18</v>
      </c>
      <c r="K647" s="3">
        <v>7</v>
      </c>
      <c r="L647" s="3">
        <v>4</v>
      </c>
      <c r="M647" s="3">
        <v>2</v>
      </c>
      <c r="N647" s="3" t="s">
        <v>14</v>
      </c>
      <c r="O647" s="3" t="s">
        <v>13</v>
      </c>
      <c r="P647" s="3">
        <v>3</v>
      </c>
      <c r="Q647" s="3">
        <v>4</v>
      </c>
      <c r="R647" s="4" t="s">
        <v>14</v>
      </c>
      <c r="S647" s="4" t="s">
        <v>14</v>
      </c>
      <c r="T647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648" spans="1:20" ht="18" x14ac:dyDescent="0.35">
      <c r="A648" s="3" t="s">
        <v>691</v>
      </c>
      <c r="B648" s="3" t="str">
        <f>IF(Table1[[#This Row],[Age]]&lt;25,"Under 25",IF(Table1[[#This Row],[Age]]&lt;35,"25-34",IF(Table1[[#This Row],[Age]]&lt;45,"35-44",IF(Table1[[#This Row],[Age]]&lt;55,"45-54","55+"))))</f>
        <v>25-34</v>
      </c>
      <c r="C648" s="3">
        <v>30</v>
      </c>
      <c r="D648" s="3" t="s">
        <v>7</v>
      </c>
      <c r="E648" s="3" t="s">
        <v>38</v>
      </c>
      <c r="F648" s="3" t="s">
        <v>59</v>
      </c>
      <c r="G648" s="3" t="s">
        <v>10</v>
      </c>
      <c r="H648" s="3" t="s">
        <v>11</v>
      </c>
      <c r="I648" s="3">
        <v>70140</v>
      </c>
      <c r="J648" s="3">
        <v>3</v>
      </c>
      <c r="K648" s="3">
        <v>0</v>
      </c>
      <c r="L648" s="3">
        <v>3</v>
      </c>
      <c r="M648" s="3">
        <v>4</v>
      </c>
      <c r="N648" s="3" t="s">
        <v>14</v>
      </c>
      <c r="O648" s="3" t="s">
        <v>13</v>
      </c>
      <c r="P648" s="3">
        <v>3</v>
      </c>
      <c r="Q648" s="3">
        <v>1</v>
      </c>
      <c r="R648" s="4" t="s">
        <v>14</v>
      </c>
      <c r="S648" s="4" t="s">
        <v>14</v>
      </c>
      <c r="T648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649" spans="1:20" ht="18" x14ac:dyDescent="0.35">
      <c r="A649" s="3" t="s">
        <v>692</v>
      </c>
      <c r="B649" s="3" t="str">
        <f>IF(Table1[[#This Row],[Age]]&lt;25,"Under 25",IF(Table1[[#This Row],[Age]]&lt;35,"25-34",IF(Table1[[#This Row],[Age]]&lt;45,"35-44",IF(Table1[[#This Row],[Age]]&lt;55,"45-54","55+"))))</f>
        <v>25-34</v>
      </c>
      <c r="C649" s="3">
        <v>32</v>
      </c>
      <c r="D649" s="3" t="s">
        <v>22</v>
      </c>
      <c r="E649" s="3" t="s">
        <v>8</v>
      </c>
      <c r="F649" s="3" t="s">
        <v>9</v>
      </c>
      <c r="G649" s="3" t="s">
        <v>45</v>
      </c>
      <c r="H649" s="3" t="s">
        <v>11</v>
      </c>
      <c r="I649" s="3">
        <v>53029</v>
      </c>
      <c r="J649" s="3">
        <v>9</v>
      </c>
      <c r="K649" s="3">
        <v>6</v>
      </c>
      <c r="L649" s="3">
        <v>3</v>
      </c>
      <c r="M649" s="3">
        <v>3</v>
      </c>
      <c r="N649" s="3" t="s">
        <v>14</v>
      </c>
      <c r="O649" s="3" t="s">
        <v>13</v>
      </c>
      <c r="P649" s="3">
        <v>3</v>
      </c>
      <c r="Q649" s="3">
        <v>3</v>
      </c>
      <c r="R649" s="4" t="s">
        <v>14</v>
      </c>
      <c r="S649" s="4" t="s">
        <v>14</v>
      </c>
      <c r="T649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650" spans="1:20" ht="18" x14ac:dyDescent="0.35">
      <c r="A650" s="3" t="s">
        <v>693</v>
      </c>
      <c r="B650" s="3" t="str">
        <f>IF(Table1[[#This Row],[Age]]&lt;25,"Under 25",IF(Table1[[#This Row],[Age]]&lt;35,"25-34",IF(Table1[[#This Row],[Age]]&lt;45,"35-44",IF(Table1[[#This Row],[Age]]&lt;55,"45-54","55+"))))</f>
        <v>35-44</v>
      </c>
      <c r="C650" s="3">
        <v>37</v>
      </c>
      <c r="D650" s="3" t="s">
        <v>7</v>
      </c>
      <c r="E650" s="3" t="s">
        <v>51</v>
      </c>
      <c r="F650" s="3" t="s">
        <v>52</v>
      </c>
      <c r="G650" s="3" t="s">
        <v>25</v>
      </c>
      <c r="H650" s="3" t="s">
        <v>11</v>
      </c>
      <c r="I650" s="3">
        <v>58195</v>
      </c>
      <c r="J650" s="3">
        <v>8</v>
      </c>
      <c r="K650" s="3">
        <v>6</v>
      </c>
      <c r="L650" s="3">
        <v>4</v>
      </c>
      <c r="M650" s="3">
        <v>1</v>
      </c>
      <c r="N650" s="3" t="s">
        <v>14</v>
      </c>
      <c r="O650" s="3" t="s">
        <v>13</v>
      </c>
      <c r="P650" s="3">
        <v>3</v>
      </c>
      <c r="Q650" s="3">
        <v>1</v>
      </c>
      <c r="R650" s="4" t="s">
        <v>14</v>
      </c>
      <c r="S650" s="4" t="s">
        <v>14</v>
      </c>
      <c r="T650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651" spans="1:20" ht="18" x14ac:dyDescent="0.35">
      <c r="A651" s="3" t="s">
        <v>694</v>
      </c>
      <c r="B651" s="3" t="str">
        <f>IF(Table1[[#This Row],[Age]]&lt;25,"Under 25",IF(Table1[[#This Row],[Age]]&lt;35,"25-34",IF(Table1[[#This Row],[Age]]&lt;45,"35-44",IF(Table1[[#This Row],[Age]]&lt;55,"45-54","55+"))))</f>
        <v>45-54</v>
      </c>
      <c r="C651" s="3">
        <v>51</v>
      </c>
      <c r="D651" s="3" t="s">
        <v>22</v>
      </c>
      <c r="E651" s="3" t="s">
        <v>8</v>
      </c>
      <c r="F651" s="3" t="s">
        <v>66</v>
      </c>
      <c r="G651" s="3" t="s">
        <v>10</v>
      </c>
      <c r="H651" s="3" t="s">
        <v>19</v>
      </c>
      <c r="I651" s="3">
        <v>93349</v>
      </c>
      <c r="J651" s="3">
        <v>12</v>
      </c>
      <c r="K651" s="3">
        <v>9</v>
      </c>
      <c r="L651" s="3">
        <v>4</v>
      </c>
      <c r="M651" s="3">
        <v>3</v>
      </c>
      <c r="N651" s="3" t="s">
        <v>14</v>
      </c>
      <c r="O651" s="3" t="s">
        <v>13</v>
      </c>
      <c r="P651" s="3">
        <v>3</v>
      </c>
      <c r="Q651" s="3">
        <v>4</v>
      </c>
      <c r="R651" s="4" t="s">
        <v>14</v>
      </c>
      <c r="S651" s="4" t="s">
        <v>14</v>
      </c>
      <c r="T651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652" spans="1:20" ht="18" x14ac:dyDescent="0.35">
      <c r="A652" s="3" t="s">
        <v>695</v>
      </c>
      <c r="B652" s="3" t="str">
        <f>IF(Table1[[#This Row],[Age]]&lt;25,"Under 25",IF(Table1[[#This Row],[Age]]&lt;35,"25-34",IF(Table1[[#This Row],[Age]]&lt;45,"35-44",IF(Table1[[#This Row],[Age]]&lt;55,"45-54","55+"))))</f>
        <v>25-34</v>
      </c>
      <c r="C652" s="3">
        <v>31</v>
      </c>
      <c r="D652" s="3" t="s">
        <v>7</v>
      </c>
      <c r="E652" s="3" t="s">
        <v>8</v>
      </c>
      <c r="F652" s="3" t="s">
        <v>23</v>
      </c>
      <c r="G652" s="3" t="s">
        <v>25</v>
      </c>
      <c r="H652" s="3" t="s">
        <v>19</v>
      </c>
      <c r="I652" s="3">
        <v>67655</v>
      </c>
      <c r="J652" s="3">
        <v>2</v>
      </c>
      <c r="K652" s="3">
        <v>1</v>
      </c>
      <c r="L652" s="3">
        <v>2</v>
      </c>
      <c r="M652" s="3">
        <v>2</v>
      </c>
      <c r="N652" s="3" t="s">
        <v>12</v>
      </c>
      <c r="O652" s="3" t="s">
        <v>13</v>
      </c>
      <c r="P652" s="3">
        <v>3</v>
      </c>
      <c r="Q652" s="3">
        <v>3</v>
      </c>
      <c r="R652" s="4" t="s">
        <v>14</v>
      </c>
      <c r="S652" s="4" t="s">
        <v>12</v>
      </c>
      <c r="T652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653" spans="1:20" ht="18" x14ac:dyDescent="0.35">
      <c r="A653" s="3" t="s">
        <v>696</v>
      </c>
      <c r="B653" s="3" t="str">
        <f>IF(Table1[[#This Row],[Age]]&lt;25,"Under 25",IF(Table1[[#This Row],[Age]]&lt;35,"25-34",IF(Table1[[#This Row],[Age]]&lt;45,"35-44",IF(Table1[[#This Row],[Age]]&lt;55,"45-54","55+"))))</f>
        <v>25-34</v>
      </c>
      <c r="C653" s="3">
        <v>34</v>
      </c>
      <c r="D653" s="3" t="s">
        <v>7</v>
      </c>
      <c r="E653" s="3" t="s">
        <v>51</v>
      </c>
      <c r="F653" s="3" t="s">
        <v>72</v>
      </c>
      <c r="G653" s="3" t="s">
        <v>18</v>
      </c>
      <c r="H653" s="3" t="s">
        <v>19</v>
      </c>
      <c r="I653" s="3">
        <v>59884</v>
      </c>
      <c r="J653" s="3">
        <v>16</v>
      </c>
      <c r="K653" s="3">
        <v>4</v>
      </c>
      <c r="L653" s="3">
        <v>2</v>
      </c>
      <c r="M653" s="3">
        <v>4</v>
      </c>
      <c r="N653" s="3" t="s">
        <v>14</v>
      </c>
      <c r="O653" s="3" t="s">
        <v>13</v>
      </c>
      <c r="P653" s="3">
        <v>3</v>
      </c>
      <c r="Q653" s="3">
        <v>0</v>
      </c>
      <c r="R653" s="4" t="s">
        <v>14</v>
      </c>
      <c r="S653" s="4" t="s">
        <v>14</v>
      </c>
      <c r="T653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654" spans="1:20" ht="18" x14ac:dyDescent="0.35">
      <c r="A654" s="3" t="s">
        <v>697</v>
      </c>
      <c r="B654" s="3" t="str">
        <f>IF(Table1[[#This Row],[Age]]&lt;25,"Under 25",IF(Table1[[#This Row],[Age]]&lt;35,"25-34",IF(Table1[[#This Row],[Age]]&lt;45,"35-44",IF(Table1[[#This Row],[Age]]&lt;55,"45-54","55+"))))</f>
        <v>Under 25</v>
      </c>
      <c r="C654" s="3">
        <v>22</v>
      </c>
      <c r="D654" s="3" t="s">
        <v>7</v>
      </c>
      <c r="E654" s="3" t="s">
        <v>16</v>
      </c>
      <c r="F654" s="3" t="s">
        <v>47</v>
      </c>
      <c r="G654" s="3" t="s">
        <v>25</v>
      </c>
      <c r="H654" s="3" t="s">
        <v>11</v>
      </c>
      <c r="I654" s="3">
        <v>77598</v>
      </c>
      <c r="J654" s="3">
        <v>1</v>
      </c>
      <c r="K654" s="3">
        <v>1</v>
      </c>
      <c r="L654" s="3">
        <v>4</v>
      </c>
      <c r="M654" s="3">
        <v>2</v>
      </c>
      <c r="N654" s="3" t="s">
        <v>14</v>
      </c>
      <c r="O654" s="3" t="s">
        <v>20</v>
      </c>
      <c r="P654" s="3">
        <v>3</v>
      </c>
      <c r="Q654" s="3">
        <v>6</v>
      </c>
      <c r="R654" s="4" t="s">
        <v>14</v>
      </c>
      <c r="S654" s="4" t="s">
        <v>14</v>
      </c>
      <c r="T654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655" spans="1:20" ht="18" x14ac:dyDescent="0.35">
      <c r="A655" s="3" t="s">
        <v>698</v>
      </c>
      <c r="B655" s="3" t="str">
        <f>IF(Table1[[#This Row],[Age]]&lt;25,"Under 25",IF(Table1[[#This Row],[Age]]&lt;35,"25-34",IF(Table1[[#This Row],[Age]]&lt;45,"35-44",IF(Table1[[#This Row],[Age]]&lt;55,"45-54","55+"))))</f>
        <v>35-44</v>
      </c>
      <c r="C655" s="3">
        <v>38</v>
      </c>
      <c r="D655" s="3" t="s">
        <v>22</v>
      </c>
      <c r="E655" s="3" t="s">
        <v>31</v>
      </c>
      <c r="F655" s="3" t="s">
        <v>136</v>
      </c>
      <c r="G655" s="3" t="s">
        <v>10</v>
      </c>
      <c r="H655" s="3" t="s">
        <v>11</v>
      </c>
      <c r="I655" s="3">
        <v>89280</v>
      </c>
      <c r="J655" s="3">
        <v>20</v>
      </c>
      <c r="K655" s="3">
        <v>7</v>
      </c>
      <c r="L655" s="3">
        <v>4</v>
      </c>
      <c r="M655" s="3">
        <v>3</v>
      </c>
      <c r="N655" s="3" t="s">
        <v>14</v>
      </c>
      <c r="O655" s="3" t="s">
        <v>13</v>
      </c>
      <c r="P655" s="3">
        <v>2</v>
      </c>
      <c r="Q655" s="3">
        <v>2</v>
      </c>
      <c r="R655" s="4" t="s">
        <v>12</v>
      </c>
      <c r="S655" s="4" t="s">
        <v>14</v>
      </c>
      <c r="T655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656" spans="1:20" ht="18" x14ac:dyDescent="0.35">
      <c r="A656" s="3" t="s">
        <v>699</v>
      </c>
      <c r="B656" s="3" t="str">
        <f>IF(Table1[[#This Row],[Age]]&lt;25,"Under 25",IF(Table1[[#This Row],[Age]]&lt;35,"25-34",IF(Table1[[#This Row],[Age]]&lt;45,"35-44",IF(Table1[[#This Row],[Age]]&lt;55,"45-54","55+"))))</f>
        <v>25-34</v>
      </c>
      <c r="C656" s="3">
        <v>26</v>
      </c>
      <c r="D656" s="3" t="s">
        <v>22</v>
      </c>
      <c r="E656" s="3" t="s">
        <v>51</v>
      </c>
      <c r="F656" s="3" t="s">
        <v>52</v>
      </c>
      <c r="G656" s="3" t="s">
        <v>18</v>
      </c>
      <c r="H656" s="3" t="s">
        <v>42</v>
      </c>
      <c r="I656" s="3">
        <v>64936</v>
      </c>
      <c r="J656" s="3">
        <v>8</v>
      </c>
      <c r="K656" s="3">
        <v>5</v>
      </c>
      <c r="L656" s="3">
        <v>3</v>
      </c>
      <c r="M656" s="3">
        <v>2</v>
      </c>
      <c r="N656" s="3" t="s">
        <v>12</v>
      </c>
      <c r="O656" s="3" t="s">
        <v>26</v>
      </c>
      <c r="P656" s="3">
        <v>3</v>
      </c>
      <c r="Q656" s="3">
        <v>1</v>
      </c>
      <c r="R656" s="4" t="s">
        <v>14</v>
      </c>
      <c r="S656" s="4" t="s">
        <v>14</v>
      </c>
      <c r="T656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657" spans="1:20" ht="18" x14ac:dyDescent="0.35">
      <c r="A657" s="3" t="s">
        <v>700</v>
      </c>
      <c r="B657" s="3" t="str">
        <f>IF(Table1[[#This Row],[Age]]&lt;25,"Under 25",IF(Table1[[#This Row],[Age]]&lt;35,"25-34",IF(Table1[[#This Row],[Age]]&lt;45,"35-44",IF(Table1[[#This Row],[Age]]&lt;55,"45-54","55+"))))</f>
        <v>35-44</v>
      </c>
      <c r="C657" s="3">
        <v>38</v>
      </c>
      <c r="D657" s="3" t="s">
        <v>7</v>
      </c>
      <c r="E657" s="3" t="s">
        <v>38</v>
      </c>
      <c r="F657" s="3" t="s">
        <v>89</v>
      </c>
      <c r="G657" s="3" t="s">
        <v>25</v>
      </c>
      <c r="H657" s="3" t="s">
        <v>11</v>
      </c>
      <c r="I657" s="3">
        <v>51159</v>
      </c>
      <c r="J657" s="3">
        <v>7</v>
      </c>
      <c r="K657" s="3">
        <v>7</v>
      </c>
      <c r="L657" s="3">
        <v>3</v>
      </c>
      <c r="M657" s="3">
        <v>1</v>
      </c>
      <c r="N657" s="3" t="s">
        <v>14</v>
      </c>
      <c r="O657" s="3" t="s">
        <v>26</v>
      </c>
      <c r="P657" s="3">
        <v>3</v>
      </c>
      <c r="Q657" s="3">
        <v>0</v>
      </c>
      <c r="R657" s="4" t="s">
        <v>14</v>
      </c>
      <c r="S657" s="4" t="s">
        <v>14</v>
      </c>
      <c r="T657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658" spans="1:20" ht="18" x14ac:dyDescent="0.35">
      <c r="A658" s="3" t="s">
        <v>701</v>
      </c>
      <c r="B658" s="3" t="str">
        <f>IF(Table1[[#This Row],[Age]]&lt;25,"Under 25",IF(Table1[[#This Row],[Age]]&lt;35,"25-34",IF(Table1[[#This Row],[Age]]&lt;45,"35-44",IF(Table1[[#This Row],[Age]]&lt;55,"45-54","55+"))))</f>
        <v>25-34</v>
      </c>
      <c r="C658" s="3">
        <v>30</v>
      </c>
      <c r="D658" s="3" t="s">
        <v>7</v>
      </c>
      <c r="E658" s="3" t="s">
        <v>51</v>
      </c>
      <c r="F658" s="3" t="s">
        <v>80</v>
      </c>
      <c r="G658" s="3" t="s">
        <v>25</v>
      </c>
      <c r="H658" s="3" t="s">
        <v>11</v>
      </c>
      <c r="I658" s="3">
        <v>78987</v>
      </c>
      <c r="J658" s="3">
        <v>3</v>
      </c>
      <c r="K658" s="3">
        <v>1</v>
      </c>
      <c r="L658" s="3">
        <v>3</v>
      </c>
      <c r="M658" s="3">
        <v>4</v>
      </c>
      <c r="N658" s="3" t="s">
        <v>14</v>
      </c>
      <c r="O658" s="3" t="s">
        <v>13</v>
      </c>
      <c r="P658" s="3">
        <v>2</v>
      </c>
      <c r="Q658" s="3">
        <v>1</v>
      </c>
      <c r="R658" s="4" t="s">
        <v>14</v>
      </c>
      <c r="S658" s="4" t="s">
        <v>14</v>
      </c>
      <c r="T658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659" spans="1:20" ht="18" x14ac:dyDescent="0.35">
      <c r="A659" s="3" t="s">
        <v>702</v>
      </c>
      <c r="B659" s="3" t="str">
        <f>IF(Table1[[#This Row],[Age]]&lt;25,"Under 25",IF(Table1[[#This Row],[Age]]&lt;35,"25-34",IF(Table1[[#This Row],[Age]]&lt;45,"35-44",IF(Table1[[#This Row],[Age]]&lt;55,"45-54","55+"))))</f>
        <v>25-34</v>
      </c>
      <c r="C659" s="3">
        <v>28</v>
      </c>
      <c r="D659" s="3" t="s">
        <v>22</v>
      </c>
      <c r="E659" s="3" t="s">
        <v>34</v>
      </c>
      <c r="F659" s="3" t="s">
        <v>150</v>
      </c>
      <c r="G659" s="3" t="s">
        <v>25</v>
      </c>
      <c r="H659" s="3" t="s">
        <v>11</v>
      </c>
      <c r="I659" s="3">
        <v>54635</v>
      </c>
      <c r="J659" s="3">
        <v>7</v>
      </c>
      <c r="K659" s="3">
        <v>3</v>
      </c>
      <c r="L659" s="3">
        <v>4</v>
      </c>
      <c r="M659" s="3">
        <v>2</v>
      </c>
      <c r="N659" s="3" t="s">
        <v>14</v>
      </c>
      <c r="O659" s="3" t="s">
        <v>26</v>
      </c>
      <c r="P659" s="3">
        <v>3</v>
      </c>
      <c r="Q659" s="3">
        <v>3</v>
      </c>
      <c r="R659" s="4" t="s">
        <v>12</v>
      </c>
      <c r="S659" s="4" t="s">
        <v>14</v>
      </c>
      <c r="T659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660" spans="1:20" ht="18" x14ac:dyDescent="0.35">
      <c r="A660" s="3" t="s">
        <v>703</v>
      </c>
      <c r="B660" s="3" t="str">
        <f>IF(Table1[[#This Row],[Age]]&lt;25,"Under 25",IF(Table1[[#This Row],[Age]]&lt;35,"25-34",IF(Table1[[#This Row],[Age]]&lt;45,"35-44",IF(Table1[[#This Row],[Age]]&lt;55,"45-54","55+"))))</f>
        <v>25-34</v>
      </c>
      <c r="C660" s="3">
        <v>33</v>
      </c>
      <c r="D660" s="3" t="s">
        <v>7</v>
      </c>
      <c r="E660" s="3" t="s">
        <v>8</v>
      </c>
      <c r="F660" s="3" t="s">
        <v>9</v>
      </c>
      <c r="G660" s="3" t="s">
        <v>25</v>
      </c>
      <c r="H660" s="3" t="s">
        <v>11</v>
      </c>
      <c r="I660" s="3">
        <v>65156</v>
      </c>
      <c r="J660" s="3">
        <v>8</v>
      </c>
      <c r="K660" s="3">
        <v>0</v>
      </c>
      <c r="L660" s="3">
        <v>3</v>
      </c>
      <c r="M660" s="3">
        <v>3</v>
      </c>
      <c r="N660" s="3" t="s">
        <v>14</v>
      </c>
      <c r="O660" s="3" t="s">
        <v>20</v>
      </c>
      <c r="P660" s="3">
        <v>2</v>
      </c>
      <c r="Q660" s="3">
        <v>0</v>
      </c>
      <c r="R660" s="4" t="s">
        <v>12</v>
      </c>
      <c r="S660" s="4" t="s">
        <v>14</v>
      </c>
      <c r="T660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661" spans="1:20" ht="18" x14ac:dyDescent="0.35">
      <c r="A661" s="3" t="s">
        <v>704</v>
      </c>
      <c r="B661" s="3" t="str">
        <f>IF(Table1[[#This Row],[Age]]&lt;25,"Under 25",IF(Table1[[#This Row],[Age]]&lt;35,"25-34",IF(Table1[[#This Row],[Age]]&lt;45,"35-44",IF(Table1[[#This Row],[Age]]&lt;55,"45-54","55+"))))</f>
        <v>25-34</v>
      </c>
      <c r="C661" s="3">
        <v>32</v>
      </c>
      <c r="D661" s="3" t="s">
        <v>22</v>
      </c>
      <c r="E661" s="3" t="s">
        <v>16</v>
      </c>
      <c r="F661" s="3" t="s">
        <v>28</v>
      </c>
      <c r="G661" s="3" t="s">
        <v>25</v>
      </c>
      <c r="H661" s="3" t="s">
        <v>11</v>
      </c>
      <c r="I661" s="3">
        <v>130099</v>
      </c>
      <c r="J661" s="3">
        <v>8</v>
      </c>
      <c r="K661" s="3">
        <v>1</v>
      </c>
      <c r="L661" s="3">
        <v>1</v>
      </c>
      <c r="M661" s="3">
        <v>3</v>
      </c>
      <c r="N661" s="3" t="s">
        <v>14</v>
      </c>
      <c r="O661" s="3" t="s">
        <v>13</v>
      </c>
      <c r="P661" s="3">
        <v>3</v>
      </c>
      <c r="Q661" s="3">
        <v>4</v>
      </c>
      <c r="R661" s="4" t="s">
        <v>14</v>
      </c>
      <c r="S661" s="4" t="s">
        <v>14</v>
      </c>
      <c r="T661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662" spans="1:20" ht="18" x14ac:dyDescent="0.35">
      <c r="A662" s="3" t="s">
        <v>705</v>
      </c>
      <c r="B662" s="3" t="str">
        <f>IF(Table1[[#This Row],[Age]]&lt;25,"Under 25",IF(Table1[[#This Row],[Age]]&lt;35,"25-34",IF(Table1[[#This Row],[Age]]&lt;45,"35-44",IF(Table1[[#This Row],[Age]]&lt;55,"45-54","55+"))))</f>
        <v>35-44</v>
      </c>
      <c r="C662" s="3">
        <v>42</v>
      </c>
      <c r="D662" s="3" t="s">
        <v>7</v>
      </c>
      <c r="E662" s="3" t="s">
        <v>16</v>
      </c>
      <c r="F662" s="3" t="s">
        <v>28</v>
      </c>
      <c r="G662" s="3" t="s">
        <v>25</v>
      </c>
      <c r="H662" s="3" t="s">
        <v>11</v>
      </c>
      <c r="I662" s="3">
        <v>50110</v>
      </c>
      <c r="J662" s="3">
        <v>11</v>
      </c>
      <c r="K662" s="3">
        <v>1</v>
      </c>
      <c r="L662" s="3">
        <v>3</v>
      </c>
      <c r="M662" s="3">
        <v>3</v>
      </c>
      <c r="N662" s="3" t="s">
        <v>14</v>
      </c>
      <c r="O662" s="3" t="s">
        <v>13</v>
      </c>
      <c r="P662" s="3">
        <v>3</v>
      </c>
      <c r="Q662" s="3">
        <v>4</v>
      </c>
      <c r="R662" s="4" t="s">
        <v>14</v>
      </c>
      <c r="S662" s="4" t="s">
        <v>14</v>
      </c>
      <c r="T662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663" spans="1:20" ht="18" x14ac:dyDescent="0.35">
      <c r="A663" s="3" t="s">
        <v>706</v>
      </c>
      <c r="B663" s="3" t="str">
        <f>IF(Table1[[#This Row],[Age]]&lt;25,"Under 25",IF(Table1[[#This Row],[Age]]&lt;35,"25-34",IF(Table1[[#This Row],[Age]]&lt;45,"35-44",IF(Table1[[#This Row],[Age]]&lt;55,"45-54","55+"))))</f>
        <v>35-44</v>
      </c>
      <c r="C663" s="3">
        <v>38</v>
      </c>
      <c r="D663" s="3" t="s">
        <v>22</v>
      </c>
      <c r="E663" s="3" t="s">
        <v>34</v>
      </c>
      <c r="F663" s="3" t="s">
        <v>35</v>
      </c>
      <c r="G663" s="3" t="s">
        <v>18</v>
      </c>
      <c r="H663" s="3" t="s">
        <v>19</v>
      </c>
      <c r="I663" s="3">
        <v>58218</v>
      </c>
      <c r="J663" s="3">
        <v>3</v>
      </c>
      <c r="K663" s="3">
        <v>1</v>
      </c>
      <c r="L663" s="3">
        <v>4</v>
      </c>
      <c r="M663" s="3">
        <v>3</v>
      </c>
      <c r="N663" s="3" t="s">
        <v>12</v>
      </c>
      <c r="O663" s="3" t="s">
        <v>13</v>
      </c>
      <c r="P663" s="3">
        <v>3</v>
      </c>
      <c r="Q663" s="3">
        <v>3</v>
      </c>
      <c r="R663" s="4" t="s">
        <v>14</v>
      </c>
      <c r="S663" s="4" t="s">
        <v>12</v>
      </c>
      <c r="T663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664" spans="1:20" ht="18" x14ac:dyDescent="0.35">
      <c r="A664" s="3" t="s">
        <v>707</v>
      </c>
      <c r="B664" s="3" t="str">
        <f>IF(Table1[[#This Row],[Age]]&lt;25,"Under 25",IF(Table1[[#This Row],[Age]]&lt;35,"25-34",IF(Table1[[#This Row],[Age]]&lt;45,"35-44",IF(Table1[[#This Row],[Age]]&lt;55,"45-54","55+"))))</f>
        <v>35-44</v>
      </c>
      <c r="C664" s="3">
        <v>42</v>
      </c>
      <c r="D664" s="3" t="s">
        <v>22</v>
      </c>
      <c r="E664" s="3" t="s">
        <v>51</v>
      </c>
      <c r="F664" s="3" t="s">
        <v>72</v>
      </c>
      <c r="G664" s="3" t="s">
        <v>10</v>
      </c>
      <c r="H664" s="3" t="s">
        <v>42</v>
      </c>
      <c r="I664" s="3">
        <v>79388</v>
      </c>
      <c r="J664" s="3">
        <v>0</v>
      </c>
      <c r="K664" s="3">
        <v>0</v>
      </c>
      <c r="L664" s="3">
        <v>4</v>
      </c>
      <c r="M664" s="3">
        <v>3</v>
      </c>
      <c r="N664" s="3" t="s">
        <v>12</v>
      </c>
      <c r="O664" s="3" t="s">
        <v>13</v>
      </c>
      <c r="P664" s="3">
        <v>3</v>
      </c>
      <c r="Q664" s="3">
        <v>1</v>
      </c>
      <c r="R664" s="4" t="s">
        <v>14</v>
      </c>
      <c r="S664" s="4" t="s">
        <v>14</v>
      </c>
      <c r="T664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Less than 1 Year</v>
      </c>
    </row>
    <row r="665" spans="1:20" ht="18" x14ac:dyDescent="0.35">
      <c r="A665" s="3" t="s">
        <v>708</v>
      </c>
      <c r="B665" s="3" t="str">
        <f>IF(Table1[[#This Row],[Age]]&lt;25,"Under 25",IF(Table1[[#This Row],[Age]]&lt;35,"25-34",IF(Table1[[#This Row],[Age]]&lt;45,"35-44",IF(Table1[[#This Row],[Age]]&lt;55,"45-54","55+"))))</f>
        <v>25-34</v>
      </c>
      <c r="C665" s="3">
        <v>26</v>
      </c>
      <c r="D665" s="3" t="s">
        <v>22</v>
      </c>
      <c r="E665" s="3" t="s">
        <v>16</v>
      </c>
      <c r="F665" s="3" t="s">
        <v>17</v>
      </c>
      <c r="G665" s="3" t="s">
        <v>10</v>
      </c>
      <c r="H665" s="3" t="s">
        <v>11</v>
      </c>
      <c r="I665" s="3">
        <v>60397</v>
      </c>
      <c r="J665" s="3">
        <v>2</v>
      </c>
      <c r="K665" s="3">
        <v>1</v>
      </c>
      <c r="L665" s="3">
        <v>3</v>
      </c>
      <c r="M665" s="3">
        <v>4</v>
      </c>
      <c r="N665" s="3" t="s">
        <v>14</v>
      </c>
      <c r="O665" s="3" t="s">
        <v>13</v>
      </c>
      <c r="P665" s="3">
        <v>3</v>
      </c>
      <c r="Q665" s="3">
        <v>1</v>
      </c>
      <c r="R665" s="4" t="s">
        <v>14</v>
      </c>
      <c r="S665" s="4" t="s">
        <v>14</v>
      </c>
      <c r="T665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666" spans="1:20" ht="18" x14ac:dyDescent="0.35">
      <c r="A666" s="3" t="s">
        <v>709</v>
      </c>
      <c r="B666" s="3" t="str">
        <f>IF(Table1[[#This Row],[Age]]&lt;25,"Under 25",IF(Table1[[#This Row],[Age]]&lt;35,"25-34",IF(Table1[[#This Row],[Age]]&lt;45,"35-44",IF(Table1[[#This Row],[Age]]&lt;55,"45-54","55+"))))</f>
        <v>25-34</v>
      </c>
      <c r="C666" s="3">
        <v>25</v>
      </c>
      <c r="D666" s="3" t="s">
        <v>7</v>
      </c>
      <c r="E666" s="3" t="s">
        <v>34</v>
      </c>
      <c r="F666" s="3" t="s">
        <v>91</v>
      </c>
      <c r="G666" s="3" t="s">
        <v>25</v>
      </c>
      <c r="H666" s="3" t="s">
        <v>19</v>
      </c>
      <c r="I666" s="3">
        <v>45762</v>
      </c>
      <c r="J666" s="3">
        <v>4</v>
      </c>
      <c r="K666" s="3">
        <v>0</v>
      </c>
      <c r="L666" s="3">
        <v>4</v>
      </c>
      <c r="M666" s="3">
        <v>2</v>
      </c>
      <c r="N666" s="3" t="s">
        <v>14</v>
      </c>
      <c r="O666" s="3" t="s">
        <v>20</v>
      </c>
      <c r="P666" s="3">
        <v>3</v>
      </c>
      <c r="Q666" s="3">
        <v>3</v>
      </c>
      <c r="R666" s="4" t="s">
        <v>14</v>
      </c>
      <c r="S666" s="4" t="s">
        <v>12</v>
      </c>
      <c r="T666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667" spans="1:20" ht="18" x14ac:dyDescent="0.35">
      <c r="A667" s="3" t="s">
        <v>710</v>
      </c>
      <c r="B667" s="3" t="str">
        <f>IF(Table1[[#This Row],[Age]]&lt;25,"Under 25",IF(Table1[[#This Row],[Age]]&lt;35,"25-34",IF(Table1[[#This Row],[Age]]&lt;45,"35-44",IF(Table1[[#This Row],[Age]]&lt;55,"45-54","55+"))))</f>
        <v>25-34</v>
      </c>
      <c r="C667" s="3">
        <v>34</v>
      </c>
      <c r="D667" s="3" t="s">
        <v>22</v>
      </c>
      <c r="E667" s="3" t="s">
        <v>8</v>
      </c>
      <c r="F667" s="3" t="s">
        <v>23</v>
      </c>
      <c r="G667" s="3" t="s">
        <v>25</v>
      </c>
      <c r="H667" s="3" t="s">
        <v>11</v>
      </c>
      <c r="I667" s="3">
        <v>39860</v>
      </c>
      <c r="J667" s="3">
        <v>6</v>
      </c>
      <c r="K667" s="3">
        <v>5</v>
      </c>
      <c r="L667" s="3">
        <v>4</v>
      </c>
      <c r="M667" s="3">
        <v>4</v>
      </c>
      <c r="N667" s="3" t="s">
        <v>12</v>
      </c>
      <c r="O667" s="3" t="s">
        <v>20</v>
      </c>
      <c r="P667" s="3">
        <v>4</v>
      </c>
      <c r="Q667" s="3">
        <v>3</v>
      </c>
      <c r="R667" s="4" t="s">
        <v>14</v>
      </c>
      <c r="S667" s="4" t="s">
        <v>14</v>
      </c>
      <c r="T667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668" spans="1:20" ht="18" x14ac:dyDescent="0.35">
      <c r="A668" s="3" t="s">
        <v>711</v>
      </c>
      <c r="B668" s="3" t="str">
        <f>IF(Table1[[#This Row],[Age]]&lt;25,"Under 25",IF(Table1[[#This Row],[Age]]&lt;35,"25-34",IF(Table1[[#This Row],[Age]]&lt;45,"35-44",IF(Table1[[#This Row],[Age]]&lt;55,"45-54","55+"))))</f>
        <v>45-54</v>
      </c>
      <c r="C668" s="3">
        <v>45</v>
      </c>
      <c r="D668" s="3" t="s">
        <v>7</v>
      </c>
      <c r="E668" s="3" t="s">
        <v>16</v>
      </c>
      <c r="F668" s="3" t="s">
        <v>28</v>
      </c>
      <c r="G668" s="3" t="s">
        <v>18</v>
      </c>
      <c r="H668" s="3" t="s">
        <v>19</v>
      </c>
      <c r="I668" s="3">
        <v>55701</v>
      </c>
      <c r="J668" s="3">
        <v>15</v>
      </c>
      <c r="K668" s="3">
        <v>5</v>
      </c>
      <c r="L668" s="3">
        <v>3</v>
      </c>
      <c r="M668" s="3">
        <v>1</v>
      </c>
      <c r="N668" s="3" t="s">
        <v>12</v>
      </c>
      <c r="O668" s="3" t="s">
        <v>13</v>
      </c>
      <c r="P668" s="3">
        <v>3</v>
      </c>
      <c r="Q668" s="3">
        <v>2</v>
      </c>
      <c r="R668" s="4" t="s">
        <v>12</v>
      </c>
      <c r="S668" s="4" t="s">
        <v>14</v>
      </c>
      <c r="T668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669" spans="1:20" ht="18" x14ac:dyDescent="0.35">
      <c r="A669" s="3" t="s">
        <v>712</v>
      </c>
      <c r="B669" s="3" t="str">
        <f>IF(Table1[[#This Row],[Age]]&lt;25,"Under 25",IF(Table1[[#This Row],[Age]]&lt;35,"25-34",IF(Table1[[#This Row],[Age]]&lt;45,"35-44",IF(Table1[[#This Row],[Age]]&lt;55,"45-54","55+"))))</f>
        <v>25-34</v>
      </c>
      <c r="C669" s="3">
        <v>28</v>
      </c>
      <c r="D669" s="3" t="s">
        <v>22</v>
      </c>
      <c r="E669" s="3" t="s">
        <v>31</v>
      </c>
      <c r="F669" s="3" t="s">
        <v>32</v>
      </c>
      <c r="G669" s="3" t="s">
        <v>45</v>
      </c>
      <c r="H669" s="3" t="s">
        <v>19</v>
      </c>
      <c r="I669" s="3">
        <v>79380</v>
      </c>
      <c r="J669" s="3">
        <v>4</v>
      </c>
      <c r="K669" s="3">
        <v>3</v>
      </c>
      <c r="L669" s="3">
        <v>3</v>
      </c>
      <c r="M669" s="3">
        <v>3</v>
      </c>
      <c r="N669" s="3" t="s">
        <v>14</v>
      </c>
      <c r="O669" s="3" t="s">
        <v>13</v>
      </c>
      <c r="P669" s="3">
        <v>3</v>
      </c>
      <c r="Q669" s="3">
        <v>2</v>
      </c>
      <c r="R669" s="4" t="s">
        <v>12</v>
      </c>
      <c r="S669" s="4" t="s">
        <v>14</v>
      </c>
      <c r="T669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670" spans="1:20" ht="18" x14ac:dyDescent="0.35">
      <c r="A670" s="3" t="s">
        <v>713</v>
      </c>
      <c r="B670" s="3" t="str">
        <f>IF(Table1[[#This Row],[Age]]&lt;25,"Under 25",IF(Table1[[#This Row],[Age]]&lt;35,"25-34",IF(Table1[[#This Row],[Age]]&lt;45,"35-44",IF(Table1[[#This Row],[Age]]&lt;55,"45-54","55+"))))</f>
        <v>35-44</v>
      </c>
      <c r="C670" s="3">
        <v>36</v>
      </c>
      <c r="D670" s="3" t="s">
        <v>22</v>
      </c>
      <c r="E670" s="3" t="s">
        <v>34</v>
      </c>
      <c r="F670" s="3" t="s">
        <v>150</v>
      </c>
      <c r="G670" s="3" t="s">
        <v>18</v>
      </c>
      <c r="H670" s="3" t="s">
        <v>11</v>
      </c>
      <c r="I670" s="3">
        <v>76661</v>
      </c>
      <c r="J670" s="3">
        <v>2</v>
      </c>
      <c r="K670" s="3">
        <v>1</v>
      </c>
      <c r="L670" s="3">
        <v>3</v>
      </c>
      <c r="M670" s="3">
        <v>4</v>
      </c>
      <c r="N670" s="3" t="s">
        <v>14</v>
      </c>
      <c r="O670" s="3" t="s">
        <v>20</v>
      </c>
      <c r="P670" s="3">
        <v>3</v>
      </c>
      <c r="Q670" s="3">
        <v>6</v>
      </c>
      <c r="R670" s="4" t="s">
        <v>12</v>
      </c>
      <c r="S670" s="4" t="s">
        <v>14</v>
      </c>
      <c r="T670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671" spans="1:20" ht="18" x14ac:dyDescent="0.35">
      <c r="A671" s="3" t="s">
        <v>714</v>
      </c>
      <c r="B671" s="3" t="str">
        <f>IF(Table1[[#This Row],[Age]]&lt;25,"Under 25",IF(Table1[[#This Row],[Age]]&lt;35,"25-34",IF(Table1[[#This Row],[Age]]&lt;45,"35-44",IF(Table1[[#This Row],[Age]]&lt;55,"45-54","55+"))))</f>
        <v>45-54</v>
      </c>
      <c r="C671" s="3">
        <v>49</v>
      </c>
      <c r="D671" s="3" t="s">
        <v>7</v>
      </c>
      <c r="E671" s="3" t="s">
        <v>16</v>
      </c>
      <c r="F671" s="3" t="s">
        <v>28</v>
      </c>
      <c r="G671" s="3" t="s">
        <v>25</v>
      </c>
      <c r="H671" s="3" t="s">
        <v>42</v>
      </c>
      <c r="I671" s="3">
        <v>41664</v>
      </c>
      <c r="J671" s="3">
        <v>22</v>
      </c>
      <c r="K671" s="3">
        <v>12</v>
      </c>
      <c r="L671" s="3">
        <v>3</v>
      </c>
      <c r="M671" s="3">
        <v>3</v>
      </c>
      <c r="N671" s="3" t="s">
        <v>12</v>
      </c>
      <c r="O671" s="3" t="s">
        <v>13</v>
      </c>
      <c r="P671" s="3">
        <v>3</v>
      </c>
      <c r="Q671" s="3">
        <v>2</v>
      </c>
      <c r="R671" s="4" t="s">
        <v>14</v>
      </c>
      <c r="S671" s="4" t="s">
        <v>14</v>
      </c>
      <c r="T671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672" spans="1:20" ht="18" x14ac:dyDescent="0.35">
      <c r="A672" s="3" t="s">
        <v>715</v>
      </c>
      <c r="B672" s="3" t="str">
        <f>IF(Table1[[#This Row],[Age]]&lt;25,"Under 25",IF(Table1[[#This Row],[Age]]&lt;35,"25-34",IF(Table1[[#This Row],[Age]]&lt;45,"35-44",IF(Table1[[#This Row],[Age]]&lt;55,"45-54","55+"))))</f>
        <v>45-54</v>
      </c>
      <c r="C672" s="3">
        <v>47</v>
      </c>
      <c r="D672" s="3" t="s">
        <v>22</v>
      </c>
      <c r="E672" s="3" t="s">
        <v>16</v>
      </c>
      <c r="F672" s="3" t="s">
        <v>28</v>
      </c>
      <c r="G672" s="3" t="s">
        <v>10</v>
      </c>
      <c r="H672" s="3" t="s">
        <v>11</v>
      </c>
      <c r="I672" s="3">
        <v>54978</v>
      </c>
      <c r="J672" s="3">
        <v>2</v>
      </c>
      <c r="K672" s="3">
        <v>1</v>
      </c>
      <c r="L672" s="3">
        <v>3</v>
      </c>
      <c r="M672" s="3">
        <v>3</v>
      </c>
      <c r="N672" s="3" t="s">
        <v>14</v>
      </c>
      <c r="O672" s="3" t="s">
        <v>13</v>
      </c>
      <c r="P672" s="3">
        <v>3</v>
      </c>
      <c r="Q672" s="3">
        <v>0</v>
      </c>
      <c r="R672" s="4" t="s">
        <v>14</v>
      </c>
      <c r="S672" s="4" t="s">
        <v>14</v>
      </c>
      <c r="T672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673" spans="1:20" ht="18" x14ac:dyDescent="0.35">
      <c r="A673" s="3" t="s">
        <v>716</v>
      </c>
      <c r="B673" s="3" t="str">
        <f>IF(Table1[[#This Row],[Age]]&lt;25,"Under 25",IF(Table1[[#This Row],[Age]]&lt;35,"25-34",IF(Table1[[#This Row],[Age]]&lt;45,"35-44",IF(Table1[[#This Row],[Age]]&lt;55,"45-54","55+"))))</f>
        <v>25-34</v>
      </c>
      <c r="C673" s="3">
        <v>34</v>
      </c>
      <c r="D673" s="3" t="s">
        <v>7</v>
      </c>
      <c r="E673" s="3" t="s">
        <v>8</v>
      </c>
      <c r="F673" s="3" t="s">
        <v>23</v>
      </c>
      <c r="G673" s="3" t="s">
        <v>10</v>
      </c>
      <c r="H673" s="3" t="s">
        <v>19</v>
      </c>
      <c r="I673" s="3">
        <v>69365</v>
      </c>
      <c r="J673" s="3">
        <v>4</v>
      </c>
      <c r="K673" s="3">
        <v>4</v>
      </c>
      <c r="L673" s="3">
        <v>2</v>
      </c>
      <c r="M673" s="3">
        <v>1</v>
      </c>
      <c r="N673" s="3" t="s">
        <v>14</v>
      </c>
      <c r="O673" s="3" t="s">
        <v>13</v>
      </c>
      <c r="P673" s="3">
        <v>3</v>
      </c>
      <c r="Q673" s="3">
        <v>0</v>
      </c>
      <c r="R673" s="4" t="s">
        <v>12</v>
      </c>
      <c r="S673" s="4" t="s">
        <v>14</v>
      </c>
      <c r="T673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674" spans="1:20" ht="18" x14ac:dyDescent="0.35">
      <c r="A674" s="3" t="s">
        <v>717</v>
      </c>
      <c r="B674" s="3" t="str">
        <f>IF(Table1[[#This Row],[Age]]&lt;25,"Under 25",IF(Table1[[#This Row],[Age]]&lt;35,"25-34",IF(Table1[[#This Row],[Age]]&lt;45,"35-44",IF(Table1[[#This Row],[Age]]&lt;55,"45-54","55+"))))</f>
        <v>25-34</v>
      </c>
      <c r="C674" s="3">
        <v>28</v>
      </c>
      <c r="D674" s="3" t="s">
        <v>22</v>
      </c>
      <c r="E674" s="3" t="s">
        <v>8</v>
      </c>
      <c r="F674" s="3" t="s">
        <v>23</v>
      </c>
      <c r="G674" s="3" t="s">
        <v>18</v>
      </c>
      <c r="H674" s="3" t="s">
        <v>19</v>
      </c>
      <c r="I674" s="3">
        <v>65014</v>
      </c>
      <c r="J674" s="3">
        <v>3</v>
      </c>
      <c r="K674" s="3">
        <v>0</v>
      </c>
      <c r="L674" s="3">
        <v>3</v>
      </c>
      <c r="M674" s="3">
        <v>3</v>
      </c>
      <c r="N674" s="3" t="s">
        <v>14</v>
      </c>
      <c r="O674" s="3" t="s">
        <v>13</v>
      </c>
      <c r="P674" s="3">
        <v>3</v>
      </c>
      <c r="Q674" s="3">
        <v>3</v>
      </c>
      <c r="R674" s="4" t="s">
        <v>14</v>
      </c>
      <c r="S674" s="4" t="s">
        <v>14</v>
      </c>
      <c r="T674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675" spans="1:20" ht="18" x14ac:dyDescent="0.35">
      <c r="A675" s="3" t="s">
        <v>718</v>
      </c>
      <c r="B675" s="3" t="str">
        <f>IF(Table1[[#This Row],[Age]]&lt;25,"Under 25",IF(Table1[[#This Row],[Age]]&lt;35,"25-34",IF(Table1[[#This Row],[Age]]&lt;45,"35-44",IF(Table1[[#This Row],[Age]]&lt;55,"45-54","55+"))))</f>
        <v>25-34</v>
      </c>
      <c r="C675" s="3">
        <v>31</v>
      </c>
      <c r="D675" s="3" t="s">
        <v>22</v>
      </c>
      <c r="E675" s="3" t="s">
        <v>8</v>
      </c>
      <c r="F675" s="3" t="s">
        <v>23</v>
      </c>
      <c r="G675" s="3" t="s">
        <v>10</v>
      </c>
      <c r="H675" s="3" t="s">
        <v>19</v>
      </c>
      <c r="I675" s="3">
        <v>49991</v>
      </c>
      <c r="J675" s="3">
        <v>4</v>
      </c>
      <c r="K675" s="3">
        <v>4</v>
      </c>
      <c r="L675" s="3">
        <v>3</v>
      </c>
      <c r="M675" s="3">
        <v>3</v>
      </c>
      <c r="N675" s="3" t="s">
        <v>14</v>
      </c>
      <c r="O675" s="3" t="s">
        <v>13</v>
      </c>
      <c r="P675" s="3">
        <v>3</v>
      </c>
      <c r="Q675" s="3">
        <v>3</v>
      </c>
      <c r="R675" s="4" t="s">
        <v>14</v>
      </c>
      <c r="S675" s="4" t="s">
        <v>14</v>
      </c>
      <c r="T675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676" spans="1:20" ht="18" x14ac:dyDescent="0.35">
      <c r="A676" s="3" t="s">
        <v>719</v>
      </c>
      <c r="B676" s="3" t="str">
        <f>IF(Table1[[#This Row],[Age]]&lt;25,"Under 25",IF(Table1[[#This Row],[Age]]&lt;35,"25-34",IF(Table1[[#This Row],[Age]]&lt;45,"35-44",IF(Table1[[#This Row],[Age]]&lt;55,"45-54","55+"))))</f>
        <v>25-34</v>
      </c>
      <c r="C676" s="3">
        <v>33</v>
      </c>
      <c r="D676" s="3" t="s">
        <v>22</v>
      </c>
      <c r="E676" s="3" t="s">
        <v>16</v>
      </c>
      <c r="F676" s="3" t="s">
        <v>28</v>
      </c>
      <c r="G676" s="3" t="s">
        <v>10</v>
      </c>
      <c r="H676" s="3" t="s">
        <v>19</v>
      </c>
      <c r="I676" s="3">
        <v>85295</v>
      </c>
      <c r="J676" s="3">
        <v>0</v>
      </c>
      <c r="K676" s="3">
        <v>0</v>
      </c>
      <c r="L676" s="3">
        <v>3</v>
      </c>
      <c r="M676" s="3">
        <v>1</v>
      </c>
      <c r="N676" s="3" t="s">
        <v>14</v>
      </c>
      <c r="O676" s="3" t="s">
        <v>26</v>
      </c>
      <c r="P676" s="3">
        <v>3</v>
      </c>
      <c r="Q676" s="3">
        <v>2</v>
      </c>
      <c r="R676" s="4" t="s">
        <v>14</v>
      </c>
      <c r="S676" s="4" t="s">
        <v>14</v>
      </c>
      <c r="T676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Less than 1 Year</v>
      </c>
    </row>
    <row r="677" spans="1:20" ht="18" x14ac:dyDescent="0.35">
      <c r="A677" s="3" t="s">
        <v>720</v>
      </c>
      <c r="B677" s="3" t="str">
        <f>IF(Table1[[#This Row],[Age]]&lt;25,"Under 25",IF(Table1[[#This Row],[Age]]&lt;35,"25-34",IF(Table1[[#This Row],[Age]]&lt;45,"35-44",IF(Table1[[#This Row],[Age]]&lt;55,"45-54","55+"))))</f>
        <v>Under 25</v>
      </c>
      <c r="C677" s="3">
        <v>22</v>
      </c>
      <c r="D677" s="3" t="s">
        <v>7</v>
      </c>
      <c r="E677" s="3" t="s">
        <v>38</v>
      </c>
      <c r="F677" s="3" t="s">
        <v>89</v>
      </c>
      <c r="G677" s="3" t="s">
        <v>25</v>
      </c>
      <c r="H677" s="3" t="s">
        <v>11</v>
      </c>
      <c r="I677" s="3">
        <v>67228</v>
      </c>
      <c r="J677" s="3">
        <v>3</v>
      </c>
      <c r="K677" s="3">
        <v>0</v>
      </c>
      <c r="L677" s="3">
        <v>2</v>
      </c>
      <c r="M677" s="3">
        <v>3</v>
      </c>
      <c r="N677" s="3" t="s">
        <v>14</v>
      </c>
      <c r="O677" s="3" t="s">
        <v>26</v>
      </c>
      <c r="P677" s="3">
        <v>4</v>
      </c>
      <c r="Q677" s="3">
        <v>3</v>
      </c>
      <c r="R677" s="4" t="s">
        <v>14</v>
      </c>
      <c r="S677" s="4" t="s">
        <v>12</v>
      </c>
      <c r="T677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678" spans="1:20" ht="18" x14ac:dyDescent="0.35">
      <c r="A678" s="3" t="s">
        <v>721</v>
      </c>
      <c r="B678" s="3" t="str">
        <f>IF(Table1[[#This Row],[Age]]&lt;25,"Under 25",IF(Table1[[#This Row],[Age]]&lt;35,"25-34",IF(Table1[[#This Row],[Age]]&lt;45,"35-44",IF(Table1[[#This Row],[Age]]&lt;55,"45-54","55+"))))</f>
        <v>25-34</v>
      </c>
      <c r="C678" s="3">
        <v>31</v>
      </c>
      <c r="D678" s="3" t="s">
        <v>7</v>
      </c>
      <c r="E678" s="3" t="s">
        <v>8</v>
      </c>
      <c r="F678" s="3" t="s">
        <v>66</v>
      </c>
      <c r="G678" s="3" t="s">
        <v>10</v>
      </c>
      <c r="H678" s="3" t="s">
        <v>11</v>
      </c>
      <c r="I678" s="3">
        <v>27436</v>
      </c>
      <c r="J678" s="3">
        <v>9</v>
      </c>
      <c r="K678" s="3">
        <v>5</v>
      </c>
      <c r="L678" s="3">
        <v>3</v>
      </c>
      <c r="M678" s="3">
        <v>1</v>
      </c>
      <c r="N678" s="3" t="s">
        <v>12</v>
      </c>
      <c r="O678" s="3" t="s">
        <v>13</v>
      </c>
      <c r="P678" s="3">
        <v>3</v>
      </c>
      <c r="Q678" s="3">
        <v>4</v>
      </c>
      <c r="R678" s="4" t="s">
        <v>14</v>
      </c>
      <c r="S678" s="4" t="s">
        <v>14</v>
      </c>
      <c r="T678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679" spans="1:20" ht="18" x14ac:dyDescent="0.35">
      <c r="A679" s="3" t="s">
        <v>722</v>
      </c>
      <c r="B679" s="3" t="str">
        <f>IF(Table1[[#This Row],[Age]]&lt;25,"Under 25",IF(Table1[[#This Row],[Age]]&lt;35,"25-34",IF(Table1[[#This Row],[Age]]&lt;45,"35-44",IF(Table1[[#This Row],[Age]]&lt;55,"45-54","55+"))))</f>
        <v>Under 25</v>
      </c>
      <c r="C679" s="3">
        <v>24</v>
      </c>
      <c r="D679" s="3" t="s">
        <v>7</v>
      </c>
      <c r="E679" s="3" t="s">
        <v>8</v>
      </c>
      <c r="F679" s="3" t="s">
        <v>9</v>
      </c>
      <c r="G679" s="3" t="s">
        <v>10</v>
      </c>
      <c r="H679" s="3" t="s">
        <v>11</v>
      </c>
      <c r="I679" s="3">
        <v>79601</v>
      </c>
      <c r="J679" s="3">
        <v>0</v>
      </c>
      <c r="K679" s="3">
        <v>0</v>
      </c>
      <c r="L679" s="3">
        <v>4</v>
      </c>
      <c r="M679" s="3">
        <v>4</v>
      </c>
      <c r="N679" s="3" t="s">
        <v>14</v>
      </c>
      <c r="O679" s="3" t="s">
        <v>13</v>
      </c>
      <c r="P679" s="3">
        <v>3</v>
      </c>
      <c r="Q679" s="3">
        <v>6</v>
      </c>
      <c r="R679" s="4" t="s">
        <v>14</v>
      </c>
      <c r="S679" s="4" t="s">
        <v>14</v>
      </c>
      <c r="T679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Less than 1 Year</v>
      </c>
    </row>
    <row r="680" spans="1:20" ht="18" x14ac:dyDescent="0.35">
      <c r="A680" s="3" t="s">
        <v>723</v>
      </c>
      <c r="B680" s="3" t="str">
        <f>IF(Table1[[#This Row],[Age]]&lt;25,"Under 25",IF(Table1[[#This Row],[Age]]&lt;35,"25-34",IF(Table1[[#This Row],[Age]]&lt;45,"35-44",IF(Table1[[#This Row],[Age]]&lt;55,"45-54","55+"))))</f>
        <v>25-34</v>
      </c>
      <c r="C680" s="3">
        <v>34</v>
      </c>
      <c r="D680" s="3" t="s">
        <v>7</v>
      </c>
      <c r="E680" s="3" t="s">
        <v>34</v>
      </c>
      <c r="F680" s="3" t="s">
        <v>91</v>
      </c>
      <c r="G680" s="3" t="s">
        <v>18</v>
      </c>
      <c r="H680" s="3" t="s">
        <v>11</v>
      </c>
      <c r="I680" s="3">
        <v>85570</v>
      </c>
      <c r="J680" s="3">
        <v>0</v>
      </c>
      <c r="K680" s="3">
        <v>0</v>
      </c>
      <c r="L680" s="3">
        <v>3</v>
      </c>
      <c r="M680" s="3">
        <v>2</v>
      </c>
      <c r="N680" s="3" t="s">
        <v>14</v>
      </c>
      <c r="O680" s="3" t="s">
        <v>26</v>
      </c>
      <c r="P680" s="3">
        <v>3</v>
      </c>
      <c r="Q680" s="3">
        <v>1</v>
      </c>
      <c r="R680" s="4" t="s">
        <v>14</v>
      </c>
      <c r="S680" s="4" t="s">
        <v>14</v>
      </c>
      <c r="T680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Less than 1 Year</v>
      </c>
    </row>
    <row r="681" spans="1:20" ht="18" x14ac:dyDescent="0.35">
      <c r="A681" s="3" t="s">
        <v>724</v>
      </c>
      <c r="B681" s="3" t="str">
        <f>IF(Table1[[#This Row],[Age]]&lt;25,"Under 25",IF(Table1[[#This Row],[Age]]&lt;35,"25-34",IF(Table1[[#This Row],[Age]]&lt;45,"35-44",IF(Table1[[#This Row],[Age]]&lt;55,"45-54","55+"))))</f>
        <v>25-34</v>
      </c>
      <c r="C681" s="3">
        <v>26</v>
      </c>
      <c r="D681" s="3" t="s">
        <v>7</v>
      </c>
      <c r="E681" s="3" t="s">
        <v>16</v>
      </c>
      <c r="F681" s="3" t="s">
        <v>17</v>
      </c>
      <c r="G681" s="3" t="s">
        <v>25</v>
      </c>
      <c r="H681" s="3" t="s">
        <v>11</v>
      </c>
      <c r="I681" s="3">
        <v>65250</v>
      </c>
      <c r="J681" s="3">
        <v>8</v>
      </c>
      <c r="K681" s="3">
        <v>8</v>
      </c>
      <c r="L681" s="3">
        <v>4</v>
      </c>
      <c r="M681" s="3">
        <v>2</v>
      </c>
      <c r="N681" s="3" t="s">
        <v>12</v>
      </c>
      <c r="O681" s="3" t="s">
        <v>26</v>
      </c>
      <c r="P681" s="3">
        <v>3</v>
      </c>
      <c r="Q681" s="3">
        <v>2</v>
      </c>
      <c r="R681" s="4" t="s">
        <v>14</v>
      </c>
      <c r="S681" s="4" t="s">
        <v>14</v>
      </c>
      <c r="T681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682" spans="1:20" ht="18" x14ac:dyDescent="0.35">
      <c r="A682" s="3" t="s">
        <v>725</v>
      </c>
      <c r="B682" s="3" t="str">
        <f>IF(Table1[[#This Row],[Age]]&lt;25,"Under 25",IF(Table1[[#This Row],[Age]]&lt;35,"25-34",IF(Table1[[#This Row],[Age]]&lt;45,"35-44",IF(Table1[[#This Row],[Age]]&lt;55,"45-54","55+"))))</f>
        <v>35-44</v>
      </c>
      <c r="C682" s="3">
        <v>39</v>
      </c>
      <c r="D682" s="3" t="s">
        <v>7</v>
      </c>
      <c r="E682" s="3" t="s">
        <v>38</v>
      </c>
      <c r="F682" s="3" t="s">
        <v>39</v>
      </c>
      <c r="G682" s="3" t="s">
        <v>10</v>
      </c>
      <c r="H682" s="3" t="s">
        <v>11</v>
      </c>
      <c r="I682" s="3">
        <v>100623</v>
      </c>
      <c r="J682" s="3">
        <v>6</v>
      </c>
      <c r="K682" s="3">
        <v>2</v>
      </c>
      <c r="L682" s="3">
        <v>2</v>
      </c>
      <c r="M682" s="3">
        <v>3</v>
      </c>
      <c r="N682" s="3" t="s">
        <v>14</v>
      </c>
      <c r="O682" s="3" t="s">
        <v>13</v>
      </c>
      <c r="P682" s="3">
        <v>4</v>
      </c>
      <c r="Q682" s="3">
        <v>1</v>
      </c>
      <c r="R682" s="4" t="s">
        <v>14</v>
      </c>
      <c r="S682" s="4" t="s">
        <v>12</v>
      </c>
      <c r="T682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683" spans="1:20" ht="18" x14ac:dyDescent="0.35">
      <c r="A683" s="3" t="s">
        <v>726</v>
      </c>
      <c r="B683" s="3" t="str">
        <f>IF(Table1[[#This Row],[Age]]&lt;25,"Under 25",IF(Table1[[#This Row],[Age]]&lt;35,"25-34",IF(Table1[[#This Row],[Age]]&lt;45,"35-44",IF(Table1[[#This Row],[Age]]&lt;55,"45-54","55+"))))</f>
        <v>25-34</v>
      </c>
      <c r="C683" s="3">
        <v>32</v>
      </c>
      <c r="D683" s="3" t="s">
        <v>22</v>
      </c>
      <c r="E683" s="3" t="s">
        <v>31</v>
      </c>
      <c r="F683" s="3" t="s">
        <v>136</v>
      </c>
      <c r="G683" s="3" t="s">
        <v>25</v>
      </c>
      <c r="H683" s="3" t="s">
        <v>11</v>
      </c>
      <c r="I683" s="3">
        <v>53504</v>
      </c>
      <c r="J683" s="3">
        <v>0</v>
      </c>
      <c r="K683" s="3">
        <v>0</v>
      </c>
      <c r="L683" s="3">
        <v>4</v>
      </c>
      <c r="M683" s="3">
        <v>3</v>
      </c>
      <c r="N683" s="3" t="s">
        <v>12</v>
      </c>
      <c r="O683" s="3" t="s">
        <v>13</v>
      </c>
      <c r="P683" s="3">
        <v>4</v>
      </c>
      <c r="Q683" s="3">
        <v>0</v>
      </c>
      <c r="R683" s="4" t="s">
        <v>14</v>
      </c>
      <c r="S683" s="4" t="s">
        <v>14</v>
      </c>
      <c r="T683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Less than 1 Year</v>
      </c>
    </row>
    <row r="684" spans="1:20" ht="18" x14ac:dyDescent="0.35">
      <c r="A684" s="3" t="s">
        <v>727</v>
      </c>
      <c r="B684" s="3" t="str">
        <f>IF(Table1[[#This Row],[Age]]&lt;25,"Under 25",IF(Table1[[#This Row],[Age]]&lt;35,"25-34",IF(Table1[[#This Row],[Age]]&lt;45,"35-44",IF(Table1[[#This Row],[Age]]&lt;55,"45-54","55+"))))</f>
        <v>35-44</v>
      </c>
      <c r="C684" s="3">
        <v>38</v>
      </c>
      <c r="D684" s="3" t="s">
        <v>22</v>
      </c>
      <c r="E684" s="3" t="s">
        <v>8</v>
      </c>
      <c r="F684" s="3" t="s">
        <v>66</v>
      </c>
      <c r="G684" s="3" t="s">
        <v>18</v>
      </c>
      <c r="H684" s="3" t="s">
        <v>11</v>
      </c>
      <c r="I684" s="3">
        <v>34895</v>
      </c>
      <c r="J684" s="3">
        <v>11</v>
      </c>
      <c r="K684" s="3">
        <v>6</v>
      </c>
      <c r="L684" s="3">
        <v>1</v>
      </c>
      <c r="M684" s="3">
        <v>3</v>
      </c>
      <c r="N684" s="3" t="s">
        <v>12</v>
      </c>
      <c r="O684" s="3" t="s">
        <v>13</v>
      </c>
      <c r="P684" s="3">
        <v>3</v>
      </c>
      <c r="Q684" s="3">
        <v>2</v>
      </c>
      <c r="R684" s="4" t="s">
        <v>14</v>
      </c>
      <c r="S684" s="4" t="s">
        <v>14</v>
      </c>
      <c r="T684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685" spans="1:20" ht="18" x14ac:dyDescent="0.35">
      <c r="A685" s="3" t="s">
        <v>728</v>
      </c>
      <c r="B685" s="3" t="str">
        <f>IF(Table1[[#This Row],[Age]]&lt;25,"Under 25",IF(Table1[[#This Row],[Age]]&lt;35,"25-34",IF(Table1[[#This Row],[Age]]&lt;45,"35-44",IF(Table1[[#This Row],[Age]]&lt;55,"45-54","55+"))))</f>
        <v>35-44</v>
      </c>
      <c r="C685" s="3">
        <v>39</v>
      </c>
      <c r="D685" s="3" t="s">
        <v>7</v>
      </c>
      <c r="E685" s="3" t="s">
        <v>16</v>
      </c>
      <c r="F685" s="3" t="s">
        <v>17</v>
      </c>
      <c r="G685" s="3" t="s">
        <v>25</v>
      </c>
      <c r="H685" s="3" t="s">
        <v>19</v>
      </c>
      <c r="I685" s="3">
        <v>78647</v>
      </c>
      <c r="J685" s="3">
        <v>12</v>
      </c>
      <c r="K685" s="3">
        <v>7</v>
      </c>
      <c r="L685" s="3">
        <v>1</v>
      </c>
      <c r="M685" s="3">
        <v>4</v>
      </c>
      <c r="N685" s="3" t="s">
        <v>14</v>
      </c>
      <c r="O685" s="3" t="s">
        <v>26</v>
      </c>
      <c r="P685" s="3">
        <v>3</v>
      </c>
      <c r="Q685" s="3">
        <v>3</v>
      </c>
      <c r="R685" s="4" t="s">
        <v>12</v>
      </c>
      <c r="S685" s="4" t="s">
        <v>14</v>
      </c>
      <c r="T685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686" spans="1:20" ht="18" x14ac:dyDescent="0.35">
      <c r="A686" s="3" t="s">
        <v>729</v>
      </c>
      <c r="B686" s="3" t="str">
        <f>IF(Table1[[#This Row],[Age]]&lt;25,"Under 25",IF(Table1[[#This Row],[Age]]&lt;35,"25-34",IF(Table1[[#This Row],[Age]]&lt;45,"35-44",IF(Table1[[#This Row],[Age]]&lt;55,"45-54","55+"))))</f>
        <v>35-44</v>
      </c>
      <c r="C686" s="3">
        <v>37</v>
      </c>
      <c r="D686" s="3" t="s">
        <v>7</v>
      </c>
      <c r="E686" s="3" t="s">
        <v>38</v>
      </c>
      <c r="F686" s="3" t="s">
        <v>39</v>
      </c>
      <c r="G686" s="3" t="s">
        <v>25</v>
      </c>
      <c r="H686" s="3" t="s">
        <v>11</v>
      </c>
      <c r="I686" s="3">
        <v>60448</v>
      </c>
      <c r="J686" s="3">
        <v>5</v>
      </c>
      <c r="K686" s="3">
        <v>0</v>
      </c>
      <c r="L686" s="3">
        <v>3</v>
      </c>
      <c r="M686" s="3">
        <v>4</v>
      </c>
      <c r="N686" s="3" t="s">
        <v>14</v>
      </c>
      <c r="O686" s="3" t="s">
        <v>20</v>
      </c>
      <c r="P686" s="3">
        <v>3</v>
      </c>
      <c r="Q686" s="3">
        <v>1</v>
      </c>
      <c r="R686" s="4" t="s">
        <v>14</v>
      </c>
      <c r="S686" s="4" t="s">
        <v>12</v>
      </c>
      <c r="T686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687" spans="1:20" ht="18" x14ac:dyDescent="0.35">
      <c r="A687" s="3" t="s">
        <v>730</v>
      </c>
      <c r="B687" s="3" t="str">
        <f>IF(Table1[[#This Row],[Age]]&lt;25,"Under 25",IF(Table1[[#This Row],[Age]]&lt;35,"25-34",IF(Table1[[#This Row],[Age]]&lt;45,"35-44",IF(Table1[[#This Row],[Age]]&lt;55,"45-54","55+"))))</f>
        <v>35-44</v>
      </c>
      <c r="C687" s="3">
        <v>35</v>
      </c>
      <c r="D687" s="3" t="s">
        <v>22</v>
      </c>
      <c r="E687" s="3" t="s">
        <v>51</v>
      </c>
      <c r="F687" s="3" t="s">
        <v>80</v>
      </c>
      <c r="G687" s="3" t="s">
        <v>25</v>
      </c>
      <c r="H687" s="3" t="s">
        <v>19</v>
      </c>
      <c r="I687" s="3">
        <v>46920</v>
      </c>
      <c r="J687" s="3">
        <v>10</v>
      </c>
      <c r="K687" s="3">
        <v>10</v>
      </c>
      <c r="L687" s="3">
        <v>3</v>
      </c>
      <c r="M687" s="3">
        <v>3</v>
      </c>
      <c r="N687" s="3" t="s">
        <v>14</v>
      </c>
      <c r="O687" s="3" t="s">
        <v>13</v>
      </c>
      <c r="P687" s="3">
        <v>3</v>
      </c>
      <c r="Q687" s="3">
        <v>0</v>
      </c>
      <c r="R687" s="4" t="s">
        <v>14</v>
      </c>
      <c r="S687" s="4" t="s">
        <v>14</v>
      </c>
      <c r="T687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688" spans="1:20" ht="18" x14ac:dyDescent="0.35">
      <c r="A688" s="3" t="s">
        <v>731</v>
      </c>
      <c r="B688" s="3" t="str">
        <f>IF(Table1[[#This Row],[Age]]&lt;25,"Under 25",IF(Table1[[#This Row],[Age]]&lt;35,"25-34",IF(Table1[[#This Row],[Age]]&lt;45,"35-44",IF(Table1[[#This Row],[Age]]&lt;55,"45-54","55+"))))</f>
        <v>25-34</v>
      </c>
      <c r="C688" s="3">
        <v>33</v>
      </c>
      <c r="D688" s="3" t="s">
        <v>7</v>
      </c>
      <c r="E688" s="3" t="s">
        <v>38</v>
      </c>
      <c r="F688" s="3" t="s">
        <v>89</v>
      </c>
      <c r="G688" s="3" t="s">
        <v>18</v>
      </c>
      <c r="H688" s="3" t="s">
        <v>11</v>
      </c>
      <c r="I688" s="3">
        <v>32231</v>
      </c>
      <c r="J688" s="3">
        <v>0</v>
      </c>
      <c r="K688" s="3">
        <v>0</v>
      </c>
      <c r="L688" s="3">
        <v>3</v>
      </c>
      <c r="M688" s="3">
        <v>2</v>
      </c>
      <c r="N688" s="3" t="s">
        <v>14</v>
      </c>
      <c r="O688" s="3" t="s">
        <v>13</v>
      </c>
      <c r="P688" s="3">
        <v>2</v>
      </c>
      <c r="Q688" s="3">
        <v>6</v>
      </c>
      <c r="R688" s="4" t="s">
        <v>14</v>
      </c>
      <c r="S688" s="4" t="s">
        <v>14</v>
      </c>
      <c r="T688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Less than 1 Year</v>
      </c>
    </row>
    <row r="689" spans="1:20" ht="18" x14ac:dyDescent="0.35">
      <c r="A689" s="3" t="s">
        <v>732</v>
      </c>
      <c r="B689" s="3" t="str">
        <f>IF(Table1[[#This Row],[Age]]&lt;25,"Under 25",IF(Table1[[#This Row],[Age]]&lt;35,"25-34",IF(Table1[[#This Row],[Age]]&lt;45,"35-44",IF(Table1[[#This Row],[Age]]&lt;55,"45-54","55+"))))</f>
        <v>25-34</v>
      </c>
      <c r="C689" s="3">
        <v>34</v>
      </c>
      <c r="D689" s="3" t="s">
        <v>7</v>
      </c>
      <c r="E689" s="3" t="s">
        <v>8</v>
      </c>
      <c r="F689" s="3" t="s">
        <v>66</v>
      </c>
      <c r="G689" s="3" t="s">
        <v>25</v>
      </c>
      <c r="H689" s="3" t="s">
        <v>19</v>
      </c>
      <c r="I689" s="3">
        <v>59259</v>
      </c>
      <c r="J689" s="3">
        <v>1</v>
      </c>
      <c r="K689" s="3">
        <v>0</v>
      </c>
      <c r="L689" s="3">
        <v>4</v>
      </c>
      <c r="M689" s="3">
        <v>3</v>
      </c>
      <c r="N689" s="3" t="s">
        <v>14</v>
      </c>
      <c r="O689" s="3" t="s">
        <v>20</v>
      </c>
      <c r="P689" s="3">
        <v>3</v>
      </c>
      <c r="Q689" s="3">
        <v>1</v>
      </c>
      <c r="R689" s="4" t="s">
        <v>14</v>
      </c>
      <c r="S689" s="4" t="s">
        <v>14</v>
      </c>
      <c r="T689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690" spans="1:20" ht="18" x14ac:dyDescent="0.35">
      <c r="A690" s="3" t="s">
        <v>733</v>
      </c>
      <c r="B690" s="3" t="str">
        <f>IF(Table1[[#This Row],[Age]]&lt;25,"Under 25",IF(Table1[[#This Row],[Age]]&lt;35,"25-34",IF(Table1[[#This Row],[Age]]&lt;45,"35-44",IF(Table1[[#This Row],[Age]]&lt;55,"45-54","55+"))))</f>
        <v>25-34</v>
      </c>
      <c r="C690" s="3">
        <v>33</v>
      </c>
      <c r="D690" s="3" t="s">
        <v>7</v>
      </c>
      <c r="E690" s="3" t="s">
        <v>34</v>
      </c>
      <c r="F690" s="3" t="s">
        <v>150</v>
      </c>
      <c r="G690" s="3" t="s">
        <v>25</v>
      </c>
      <c r="H690" s="3" t="s">
        <v>19</v>
      </c>
      <c r="I690" s="3">
        <v>85339</v>
      </c>
      <c r="J690" s="3">
        <v>6</v>
      </c>
      <c r="K690" s="3">
        <v>2</v>
      </c>
      <c r="L690" s="3">
        <v>2</v>
      </c>
      <c r="M690" s="3">
        <v>2</v>
      </c>
      <c r="N690" s="3" t="s">
        <v>14</v>
      </c>
      <c r="O690" s="3" t="s">
        <v>13</v>
      </c>
      <c r="P690" s="3">
        <v>3</v>
      </c>
      <c r="Q690" s="3">
        <v>1</v>
      </c>
      <c r="R690" s="4" t="s">
        <v>14</v>
      </c>
      <c r="S690" s="4" t="s">
        <v>12</v>
      </c>
      <c r="T690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691" spans="1:20" ht="18" x14ac:dyDescent="0.35">
      <c r="A691" s="3" t="s">
        <v>734</v>
      </c>
      <c r="B691" s="3" t="str">
        <f>IF(Table1[[#This Row],[Age]]&lt;25,"Under 25",IF(Table1[[#This Row],[Age]]&lt;35,"25-34",IF(Table1[[#This Row],[Age]]&lt;45,"35-44",IF(Table1[[#This Row],[Age]]&lt;55,"45-54","55+"))))</f>
        <v>35-44</v>
      </c>
      <c r="C691" s="3">
        <v>39</v>
      </c>
      <c r="D691" s="3" t="s">
        <v>22</v>
      </c>
      <c r="E691" s="3" t="s">
        <v>34</v>
      </c>
      <c r="F691" s="3" t="s">
        <v>91</v>
      </c>
      <c r="G691" s="3" t="s">
        <v>10</v>
      </c>
      <c r="H691" s="3" t="s">
        <v>19</v>
      </c>
      <c r="I691" s="3">
        <v>24741</v>
      </c>
      <c r="J691" s="3">
        <v>21</v>
      </c>
      <c r="K691" s="3">
        <v>7</v>
      </c>
      <c r="L691" s="3">
        <v>3</v>
      </c>
      <c r="M691" s="3">
        <v>1</v>
      </c>
      <c r="N691" s="3" t="s">
        <v>14</v>
      </c>
      <c r="O691" s="3" t="s">
        <v>20</v>
      </c>
      <c r="P691" s="3">
        <v>2</v>
      </c>
      <c r="Q691" s="3">
        <v>2</v>
      </c>
      <c r="R691" s="4" t="s">
        <v>14</v>
      </c>
      <c r="S691" s="4" t="s">
        <v>14</v>
      </c>
      <c r="T691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692" spans="1:20" ht="18" x14ac:dyDescent="0.35">
      <c r="A692" s="3" t="s">
        <v>735</v>
      </c>
      <c r="B692" s="3" t="str">
        <f>IF(Table1[[#This Row],[Age]]&lt;25,"Under 25",IF(Table1[[#This Row],[Age]]&lt;35,"25-34",IF(Table1[[#This Row],[Age]]&lt;45,"35-44",IF(Table1[[#This Row],[Age]]&lt;55,"45-54","55+"))))</f>
        <v>35-44</v>
      </c>
      <c r="C692" s="3">
        <v>40</v>
      </c>
      <c r="D692" s="3" t="s">
        <v>7</v>
      </c>
      <c r="E692" s="3" t="s">
        <v>34</v>
      </c>
      <c r="F692" s="3" t="s">
        <v>150</v>
      </c>
      <c r="G692" s="3" t="s">
        <v>18</v>
      </c>
      <c r="H692" s="3" t="s">
        <v>42</v>
      </c>
      <c r="I692" s="3">
        <v>25689</v>
      </c>
      <c r="J692" s="3">
        <v>1</v>
      </c>
      <c r="K692" s="3">
        <v>1</v>
      </c>
      <c r="L692" s="3">
        <v>2</v>
      </c>
      <c r="M692" s="3">
        <v>4</v>
      </c>
      <c r="N692" s="3" t="s">
        <v>14</v>
      </c>
      <c r="O692" s="3" t="s">
        <v>20</v>
      </c>
      <c r="P692" s="3">
        <v>3</v>
      </c>
      <c r="Q692" s="3">
        <v>3</v>
      </c>
      <c r="R692" s="4" t="s">
        <v>14</v>
      </c>
      <c r="S692" s="4" t="s">
        <v>14</v>
      </c>
      <c r="T692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693" spans="1:20" ht="18" x14ac:dyDescent="0.35">
      <c r="A693" s="3" t="s">
        <v>736</v>
      </c>
      <c r="B693" s="3" t="str">
        <f>IF(Table1[[#This Row],[Age]]&lt;25,"Under 25",IF(Table1[[#This Row],[Age]]&lt;35,"25-34",IF(Table1[[#This Row],[Age]]&lt;45,"35-44",IF(Table1[[#This Row],[Age]]&lt;55,"45-54","55+"))))</f>
        <v>Under 25</v>
      </c>
      <c r="C693" s="3">
        <v>23</v>
      </c>
      <c r="D693" s="3" t="s">
        <v>22</v>
      </c>
      <c r="E693" s="3" t="s">
        <v>38</v>
      </c>
      <c r="F693" s="3" t="s">
        <v>89</v>
      </c>
      <c r="G693" s="3" t="s">
        <v>45</v>
      </c>
      <c r="H693" s="3" t="s">
        <v>11</v>
      </c>
      <c r="I693" s="3">
        <v>84688</v>
      </c>
      <c r="J693" s="3">
        <v>5</v>
      </c>
      <c r="K693" s="3">
        <v>4</v>
      </c>
      <c r="L693" s="3">
        <v>1</v>
      </c>
      <c r="M693" s="3">
        <v>3</v>
      </c>
      <c r="N693" s="3" t="s">
        <v>14</v>
      </c>
      <c r="O693" s="3" t="s">
        <v>13</v>
      </c>
      <c r="P693" s="3">
        <v>3</v>
      </c>
      <c r="Q693" s="3">
        <v>3</v>
      </c>
      <c r="R693" s="4" t="s">
        <v>14</v>
      </c>
      <c r="S693" s="4" t="s">
        <v>14</v>
      </c>
      <c r="T693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694" spans="1:20" ht="18" x14ac:dyDescent="0.35">
      <c r="A694" s="3" t="s">
        <v>737</v>
      </c>
      <c r="B694" s="3" t="str">
        <f>IF(Table1[[#This Row],[Age]]&lt;25,"Under 25",IF(Table1[[#This Row],[Age]]&lt;35,"25-34",IF(Table1[[#This Row],[Age]]&lt;45,"35-44",IF(Table1[[#This Row],[Age]]&lt;55,"45-54","55+"))))</f>
        <v>25-34</v>
      </c>
      <c r="C694" s="3">
        <v>32</v>
      </c>
      <c r="D694" s="3" t="s">
        <v>7</v>
      </c>
      <c r="E694" s="3" t="s">
        <v>16</v>
      </c>
      <c r="F694" s="3" t="s">
        <v>17</v>
      </c>
      <c r="G694" s="3" t="s">
        <v>10</v>
      </c>
      <c r="H694" s="3" t="s">
        <v>19</v>
      </c>
      <c r="I694" s="3">
        <v>55318</v>
      </c>
      <c r="J694" s="3">
        <v>4</v>
      </c>
      <c r="K694" s="3">
        <v>3</v>
      </c>
      <c r="L694" s="3">
        <v>4</v>
      </c>
      <c r="M694" s="3">
        <v>2</v>
      </c>
      <c r="N694" s="3" t="s">
        <v>14</v>
      </c>
      <c r="O694" s="3" t="s">
        <v>13</v>
      </c>
      <c r="P694" s="3">
        <v>3</v>
      </c>
      <c r="Q694" s="3">
        <v>3</v>
      </c>
      <c r="R694" s="4" t="s">
        <v>14</v>
      </c>
      <c r="S694" s="4" t="s">
        <v>14</v>
      </c>
      <c r="T694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695" spans="1:20" ht="18" x14ac:dyDescent="0.35">
      <c r="A695" s="3" t="s">
        <v>738</v>
      </c>
      <c r="B695" s="3" t="str">
        <f>IF(Table1[[#This Row],[Age]]&lt;25,"Under 25",IF(Table1[[#This Row],[Age]]&lt;35,"25-34",IF(Table1[[#This Row],[Age]]&lt;45,"35-44",IF(Table1[[#This Row],[Age]]&lt;55,"45-54","55+"))))</f>
        <v>25-34</v>
      </c>
      <c r="C695" s="3">
        <v>33</v>
      </c>
      <c r="D695" s="3" t="s">
        <v>22</v>
      </c>
      <c r="E695" s="3" t="s">
        <v>51</v>
      </c>
      <c r="F695" s="3" t="s">
        <v>72</v>
      </c>
      <c r="G695" s="3" t="s">
        <v>18</v>
      </c>
      <c r="H695" s="3" t="s">
        <v>11</v>
      </c>
      <c r="I695" s="3">
        <v>34176</v>
      </c>
      <c r="J695" s="3">
        <v>14</v>
      </c>
      <c r="K695" s="3">
        <v>3</v>
      </c>
      <c r="L695" s="3">
        <v>1</v>
      </c>
      <c r="M695" s="3">
        <v>3</v>
      </c>
      <c r="N695" s="3" t="s">
        <v>12</v>
      </c>
      <c r="O695" s="3" t="s">
        <v>13</v>
      </c>
      <c r="P695" s="3">
        <v>3</v>
      </c>
      <c r="Q695" s="3">
        <v>6</v>
      </c>
      <c r="R695" s="4" t="s">
        <v>14</v>
      </c>
      <c r="S695" s="4" t="s">
        <v>14</v>
      </c>
      <c r="T695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696" spans="1:20" ht="18" x14ac:dyDescent="0.35">
      <c r="A696" s="3" t="s">
        <v>739</v>
      </c>
      <c r="B696" s="3" t="str">
        <f>IF(Table1[[#This Row],[Age]]&lt;25,"Under 25",IF(Table1[[#This Row],[Age]]&lt;35,"25-34",IF(Table1[[#This Row],[Age]]&lt;45,"35-44",IF(Table1[[#This Row],[Age]]&lt;55,"45-54","55+"))))</f>
        <v>25-34</v>
      </c>
      <c r="C696" s="3">
        <v>33</v>
      </c>
      <c r="D696" s="3" t="s">
        <v>22</v>
      </c>
      <c r="E696" s="3" t="s">
        <v>8</v>
      </c>
      <c r="F696" s="3" t="s">
        <v>9</v>
      </c>
      <c r="G696" s="3" t="s">
        <v>18</v>
      </c>
      <c r="H696" s="3" t="s">
        <v>19</v>
      </c>
      <c r="I696" s="3">
        <v>64632</v>
      </c>
      <c r="J696" s="3">
        <v>15</v>
      </c>
      <c r="K696" s="3">
        <v>2</v>
      </c>
      <c r="L696" s="3">
        <v>4</v>
      </c>
      <c r="M696" s="3">
        <v>3</v>
      </c>
      <c r="N696" s="3" t="s">
        <v>12</v>
      </c>
      <c r="O696" s="3" t="s">
        <v>13</v>
      </c>
      <c r="P696" s="3">
        <v>3</v>
      </c>
      <c r="Q696" s="3">
        <v>5</v>
      </c>
      <c r="R696" s="4" t="s">
        <v>14</v>
      </c>
      <c r="S696" s="4" t="s">
        <v>14</v>
      </c>
      <c r="T696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697" spans="1:20" ht="18" x14ac:dyDescent="0.35">
      <c r="A697" s="3" t="s">
        <v>740</v>
      </c>
      <c r="B697" s="3" t="str">
        <f>IF(Table1[[#This Row],[Age]]&lt;25,"Under 25",IF(Table1[[#This Row],[Age]]&lt;35,"25-34",IF(Table1[[#This Row],[Age]]&lt;45,"35-44",IF(Table1[[#This Row],[Age]]&lt;55,"45-54","55+"))))</f>
        <v>35-44</v>
      </c>
      <c r="C697" s="3">
        <v>35</v>
      </c>
      <c r="D697" s="3" t="s">
        <v>22</v>
      </c>
      <c r="E697" s="3" t="s">
        <v>51</v>
      </c>
      <c r="F697" s="3" t="s">
        <v>52</v>
      </c>
      <c r="G697" s="3" t="s">
        <v>25</v>
      </c>
      <c r="H697" s="3" t="s">
        <v>42</v>
      </c>
      <c r="I697" s="3">
        <v>79017</v>
      </c>
      <c r="J697" s="3">
        <v>15</v>
      </c>
      <c r="K697" s="3">
        <v>9</v>
      </c>
      <c r="L697" s="3">
        <v>2</v>
      </c>
      <c r="M697" s="3">
        <v>2</v>
      </c>
      <c r="N697" s="3" t="s">
        <v>12</v>
      </c>
      <c r="O697" s="3" t="s">
        <v>13</v>
      </c>
      <c r="P697" s="3">
        <v>4</v>
      </c>
      <c r="Q697" s="3">
        <v>0</v>
      </c>
      <c r="R697" s="4" t="s">
        <v>14</v>
      </c>
      <c r="S697" s="4" t="s">
        <v>14</v>
      </c>
      <c r="T697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698" spans="1:20" ht="18" x14ac:dyDescent="0.35">
      <c r="A698" s="3" t="s">
        <v>741</v>
      </c>
      <c r="B698" s="3" t="str">
        <f>IF(Table1[[#This Row],[Age]]&lt;25,"Under 25",IF(Table1[[#This Row],[Age]]&lt;35,"25-34",IF(Table1[[#This Row],[Age]]&lt;45,"35-44",IF(Table1[[#This Row],[Age]]&lt;55,"45-54","55+"))))</f>
        <v>25-34</v>
      </c>
      <c r="C698" s="3">
        <v>26</v>
      </c>
      <c r="D698" s="3" t="s">
        <v>7</v>
      </c>
      <c r="E698" s="3" t="s">
        <v>38</v>
      </c>
      <c r="F698" s="3" t="s">
        <v>39</v>
      </c>
      <c r="G698" s="3" t="s">
        <v>18</v>
      </c>
      <c r="H698" s="3" t="s">
        <v>19</v>
      </c>
      <c r="I698" s="3">
        <v>45257</v>
      </c>
      <c r="J698" s="3">
        <v>3</v>
      </c>
      <c r="K698" s="3">
        <v>1</v>
      </c>
      <c r="L698" s="3">
        <v>2</v>
      </c>
      <c r="M698" s="3">
        <v>4</v>
      </c>
      <c r="N698" s="3" t="s">
        <v>14</v>
      </c>
      <c r="O698" s="3" t="s">
        <v>13</v>
      </c>
      <c r="P698" s="3">
        <v>4</v>
      </c>
      <c r="Q698" s="3">
        <v>0</v>
      </c>
      <c r="R698" s="4" t="s">
        <v>14</v>
      </c>
      <c r="S698" s="4" t="s">
        <v>14</v>
      </c>
      <c r="T698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699" spans="1:20" ht="18" x14ac:dyDescent="0.35">
      <c r="A699" s="3" t="s">
        <v>742</v>
      </c>
      <c r="B699" s="3" t="str">
        <f>IF(Table1[[#This Row],[Age]]&lt;25,"Under 25",IF(Table1[[#This Row],[Age]]&lt;35,"25-34",IF(Table1[[#This Row],[Age]]&lt;45,"35-44",IF(Table1[[#This Row],[Age]]&lt;55,"45-54","55+"))))</f>
        <v>35-44</v>
      </c>
      <c r="C699" s="3">
        <v>37</v>
      </c>
      <c r="D699" s="3" t="s">
        <v>22</v>
      </c>
      <c r="E699" s="3" t="s">
        <v>16</v>
      </c>
      <c r="F699" s="3" t="s">
        <v>28</v>
      </c>
      <c r="G699" s="3" t="s">
        <v>25</v>
      </c>
      <c r="H699" s="3" t="s">
        <v>11</v>
      </c>
      <c r="I699" s="3">
        <v>66693</v>
      </c>
      <c r="J699" s="3">
        <v>2</v>
      </c>
      <c r="K699" s="3">
        <v>0</v>
      </c>
      <c r="L699" s="3">
        <v>4</v>
      </c>
      <c r="M699" s="3">
        <v>2</v>
      </c>
      <c r="N699" s="3" t="s">
        <v>14</v>
      </c>
      <c r="O699" s="3" t="s">
        <v>20</v>
      </c>
      <c r="P699" s="3">
        <v>2</v>
      </c>
      <c r="Q699" s="3">
        <v>2</v>
      </c>
      <c r="R699" s="4" t="s">
        <v>14</v>
      </c>
      <c r="S699" s="4" t="s">
        <v>14</v>
      </c>
      <c r="T699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700" spans="1:20" ht="18" x14ac:dyDescent="0.35">
      <c r="A700" s="3" t="s">
        <v>743</v>
      </c>
      <c r="B700" s="3" t="str">
        <f>IF(Table1[[#This Row],[Age]]&lt;25,"Under 25",IF(Table1[[#This Row],[Age]]&lt;35,"25-34",IF(Table1[[#This Row],[Age]]&lt;45,"35-44",IF(Table1[[#This Row],[Age]]&lt;55,"45-54","55+"))))</f>
        <v>55+</v>
      </c>
      <c r="C700" s="3">
        <v>57</v>
      </c>
      <c r="D700" s="3" t="s">
        <v>22</v>
      </c>
      <c r="E700" s="3" t="s">
        <v>8</v>
      </c>
      <c r="F700" s="3" t="s">
        <v>9</v>
      </c>
      <c r="G700" s="3" t="s">
        <v>10</v>
      </c>
      <c r="H700" s="3" t="s">
        <v>11</v>
      </c>
      <c r="I700" s="3">
        <v>63715</v>
      </c>
      <c r="J700" s="3">
        <v>24</v>
      </c>
      <c r="K700" s="3">
        <v>0</v>
      </c>
      <c r="L700" s="3">
        <v>4</v>
      </c>
      <c r="M700" s="3">
        <v>2</v>
      </c>
      <c r="N700" s="3" t="s">
        <v>14</v>
      </c>
      <c r="O700" s="3" t="s">
        <v>13</v>
      </c>
      <c r="P700" s="3">
        <v>4</v>
      </c>
      <c r="Q700" s="3">
        <v>5</v>
      </c>
      <c r="R700" s="4" t="s">
        <v>12</v>
      </c>
      <c r="S700" s="4" t="s">
        <v>14</v>
      </c>
      <c r="T700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701" spans="1:20" ht="18" x14ac:dyDescent="0.35">
      <c r="A701" s="3" t="s">
        <v>744</v>
      </c>
      <c r="B701" s="3" t="str">
        <f>IF(Table1[[#This Row],[Age]]&lt;25,"Under 25",IF(Table1[[#This Row],[Age]]&lt;35,"25-34",IF(Table1[[#This Row],[Age]]&lt;45,"35-44",IF(Table1[[#This Row],[Age]]&lt;55,"45-54","55+"))))</f>
        <v>45-54</v>
      </c>
      <c r="C701" s="3">
        <v>49</v>
      </c>
      <c r="D701" s="3" t="s">
        <v>7</v>
      </c>
      <c r="E701" s="3" t="s">
        <v>38</v>
      </c>
      <c r="F701" s="3" t="s">
        <v>39</v>
      </c>
      <c r="G701" s="3" t="s">
        <v>18</v>
      </c>
      <c r="H701" s="3" t="s">
        <v>42</v>
      </c>
      <c r="I701" s="3">
        <v>108795</v>
      </c>
      <c r="J701" s="3">
        <v>1</v>
      </c>
      <c r="K701" s="3">
        <v>0</v>
      </c>
      <c r="L701" s="3">
        <v>3</v>
      </c>
      <c r="M701" s="3">
        <v>3</v>
      </c>
      <c r="N701" s="3" t="s">
        <v>14</v>
      </c>
      <c r="O701" s="3" t="s">
        <v>13</v>
      </c>
      <c r="P701" s="3">
        <v>3</v>
      </c>
      <c r="Q701" s="3">
        <v>2</v>
      </c>
      <c r="R701" s="4" t="s">
        <v>14</v>
      </c>
      <c r="S701" s="4" t="s">
        <v>14</v>
      </c>
      <c r="T701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702" spans="1:20" ht="18" x14ac:dyDescent="0.35">
      <c r="A702" s="3" t="s">
        <v>745</v>
      </c>
      <c r="B702" s="3" t="str">
        <f>IF(Table1[[#This Row],[Age]]&lt;25,"Under 25",IF(Table1[[#This Row],[Age]]&lt;35,"25-34",IF(Table1[[#This Row],[Age]]&lt;45,"35-44",IF(Table1[[#This Row],[Age]]&lt;55,"45-54","55+"))))</f>
        <v>35-44</v>
      </c>
      <c r="C702" s="3">
        <v>38</v>
      </c>
      <c r="D702" s="3" t="s">
        <v>7</v>
      </c>
      <c r="E702" s="3" t="s">
        <v>38</v>
      </c>
      <c r="F702" s="3" t="s">
        <v>89</v>
      </c>
      <c r="G702" s="3" t="s">
        <v>25</v>
      </c>
      <c r="H702" s="3" t="s">
        <v>11</v>
      </c>
      <c r="I702" s="3">
        <v>68980</v>
      </c>
      <c r="J702" s="3">
        <v>18</v>
      </c>
      <c r="K702" s="3">
        <v>11</v>
      </c>
      <c r="L702" s="3">
        <v>3</v>
      </c>
      <c r="M702" s="3">
        <v>2</v>
      </c>
      <c r="N702" s="3" t="s">
        <v>12</v>
      </c>
      <c r="O702" s="3" t="s">
        <v>13</v>
      </c>
      <c r="P702" s="3">
        <v>3</v>
      </c>
      <c r="Q702" s="3">
        <v>5</v>
      </c>
      <c r="R702" s="4" t="s">
        <v>12</v>
      </c>
      <c r="S702" s="4" t="s">
        <v>14</v>
      </c>
      <c r="T702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703" spans="1:20" ht="18" x14ac:dyDescent="0.35">
      <c r="A703" s="3" t="s">
        <v>746</v>
      </c>
      <c r="B703" s="3" t="str">
        <f>IF(Table1[[#This Row],[Age]]&lt;25,"Under 25",IF(Table1[[#This Row],[Age]]&lt;35,"25-34",IF(Table1[[#This Row],[Age]]&lt;45,"35-44",IF(Table1[[#This Row],[Age]]&lt;55,"45-54","55+"))))</f>
        <v>35-44</v>
      </c>
      <c r="C703" s="3">
        <v>44</v>
      </c>
      <c r="D703" s="3" t="s">
        <v>7</v>
      </c>
      <c r="E703" s="3" t="s">
        <v>38</v>
      </c>
      <c r="F703" s="3" t="s">
        <v>39</v>
      </c>
      <c r="G703" s="3" t="s">
        <v>25</v>
      </c>
      <c r="H703" s="3" t="s">
        <v>19</v>
      </c>
      <c r="I703" s="3">
        <v>61359</v>
      </c>
      <c r="J703" s="3">
        <v>15</v>
      </c>
      <c r="K703" s="3">
        <v>3</v>
      </c>
      <c r="L703" s="3">
        <v>1</v>
      </c>
      <c r="M703" s="3">
        <v>3</v>
      </c>
      <c r="N703" s="3" t="s">
        <v>14</v>
      </c>
      <c r="O703" s="3" t="s">
        <v>13</v>
      </c>
      <c r="P703" s="3">
        <v>3</v>
      </c>
      <c r="Q703" s="3">
        <v>0</v>
      </c>
      <c r="R703" s="4" t="s">
        <v>14</v>
      </c>
      <c r="S703" s="4" t="s">
        <v>12</v>
      </c>
      <c r="T703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704" spans="1:20" ht="18" x14ac:dyDescent="0.35">
      <c r="A704" s="3" t="s">
        <v>747</v>
      </c>
      <c r="B704" s="3" t="str">
        <f>IF(Table1[[#This Row],[Age]]&lt;25,"Under 25",IF(Table1[[#This Row],[Age]]&lt;35,"25-34",IF(Table1[[#This Row],[Age]]&lt;45,"35-44",IF(Table1[[#This Row],[Age]]&lt;55,"45-54","55+"))))</f>
        <v>35-44</v>
      </c>
      <c r="C704" s="3">
        <v>40</v>
      </c>
      <c r="D704" s="3" t="s">
        <v>7</v>
      </c>
      <c r="E704" s="3" t="s">
        <v>38</v>
      </c>
      <c r="F704" s="3" t="s">
        <v>39</v>
      </c>
      <c r="G704" s="3" t="s">
        <v>25</v>
      </c>
      <c r="H704" s="3" t="s">
        <v>19</v>
      </c>
      <c r="I704" s="3">
        <v>63079</v>
      </c>
      <c r="J704" s="3">
        <v>9</v>
      </c>
      <c r="K704" s="3">
        <v>6</v>
      </c>
      <c r="L704" s="3">
        <v>4</v>
      </c>
      <c r="M704" s="3">
        <v>3</v>
      </c>
      <c r="N704" s="3" t="s">
        <v>12</v>
      </c>
      <c r="O704" s="3" t="s">
        <v>13</v>
      </c>
      <c r="P704" s="3">
        <v>3</v>
      </c>
      <c r="Q704" s="3">
        <v>4</v>
      </c>
      <c r="R704" s="4" t="s">
        <v>14</v>
      </c>
      <c r="S704" s="4" t="s">
        <v>14</v>
      </c>
      <c r="T704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705" spans="1:20" ht="18" x14ac:dyDescent="0.35">
      <c r="A705" s="3" t="s">
        <v>748</v>
      </c>
      <c r="B705" s="3" t="str">
        <f>IF(Table1[[#This Row],[Age]]&lt;25,"Under 25",IF(Table1[[#This Row],[Age]]&lt;35,"25-34",IF(Table1[[#This Row],[Age]]&lt;45,"35-44",IF(Table1[[#This Row],[Age]]&lt;55,"45-54","55+"))))</f>
        <v>25-34</v>
      </c>
      <c r="C705" s="3">
        <v>29</v>
      </c>
      <c r="D705" s="3" t="s">
        <v>22</v>
      </c>
      <c r="E705" s="3" t="s">
        <v>34</v>
      </c>
      <c r="F705" s="3" t="s">
        <v>35</v>
      </c>
      <c r="G705" s="3" t="s">
        <v>10</v>
      </c>
      <c r="H705" s="3" t="s">
        <v>11</v>
      </c>
      <c r="I705" s="3">
        <v>64543</v>
      </c>
      <c r="J705" s="3">
        <v>0</v>
      </c>
      <c r="K705" s="3">
        <v>0</v>
      </c>
      <c r="L705" s="3">
        <v>3</v>
      </c>
      <c r="M705" s="3">
        <v>3</v>
      </c>
      <c r="N705" s="3" t="s">
        <v>14</v>
      </c>
      <c r="O705" s="3" t="s">
        <v>13</v>
      </c>
      <c r="P705" s="3">
        <v>2</v>
      </c>
      <c r="Q705" s="3">
        <v>1</v>
      </c>
      <c r="R705" s="4" t="s">
        <v>14</v>
      </c>
      <c r="S705" s="4" t="s">
        <v>14</v>
      </c>
      <c r="T705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Less than 1 Year</v>
      </c>
    </row>
    <row r="706" spans="1:20" ht="18" x14ac:dyDescent="0.35">
      <c r="A706" s="3" t="s">
        <v>749</v>
      </c>
      <c r="B706" s="3" t="str">
        <f>IF(Table1[[#This Row],[Age]]&lt;25,"Under 25",IF(Table1[[#This Row],[Age]]&lt;35,"25-34",IF(Table1[[#This Row],[Age]]&lt;45,"35-44",IF(Table1[[#This Row],[Age]]&lt;55,"45-54","55+"))))</f>
        <v>Under 25</v>
      </c>
      <c r="C706" s="3">
        <v>21</v>
      </c>
      <c r="D706" s="3" t="s">
        <v>7</v>
      </c>
      <c r="E706" s="3" t="s">
        <v>8</v>
      </c>
      <c r="F706" s="3" t="s">
        <v>23</v>
      </c>
      <c r="G706" s="3" t="s">
        <v>10</v>
      </c>
      <c r="H706" s="3" t="s">
        <v>19</v>
      </c>
      <c r="I706" s="3">
        <v>80320</v>
      </c>
      <c r="J706" s="3">
        <v>2</v>
      </c>
      <c r="K706" s="3">
        <v>2</v>
      </c>
      <c r="L706" s="3">
        <v>1</v>
      </c>
      <c r="M706" s="3">
        <v>3</v>
      </c>
      <c r="N706" s="3" t="s">
        <v>14</v>
      </c>
      <c r="O706" s="3" t="s">
        <v>13</v>
      </c>
      <c r="P706" s="3">
        <v>3</v>
      </c>
      <c r="Q706" s="3">
        <v>5</v>
      </c>
      <c r="R706" s="4" t="s">
        <v>14</v>
      </c>
      <c r="S706" s="4" t="s">
        <v>14</v>
      </c>
      <c r="T706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707" spans="1:20" ht="18" x14ac:dyDescent="0.35">
      <c r="A707" s="3" t="s">
        <v>750</v>
      </c>
      <c r="B707" s="3" t="str">
        <f>IF(Table1[[#This Row],[Age]]&lt;25,"Under 25",IF(Table1[[#This Row],[Age]]&lt;35,"25-34",IF(Table1[[#This Row],[Age]]&lt;45,"35-44",IF(Table1[[#This Row],[Age]]&lt;55,"45-54","55+"))))</f>
        <v>25-34</v>
      </c>
      <c r="C707" s="3">
        <v>32</v>
      </c>
      <c r="D707" s="3" t="s">
        <v>22</v>
      </c>
      <c r="E707" s="3" t="s">
        <v>34</v>
      </c>
      <c r="F707" s="3" t="s">
        <v>91</v>
      </c>
      <c r="G707" s="3" t="s">
        <v>10</v>
      </c>
      <c r="H707" s="3" t="s">
        <v>42</v>
      </c>
      <c r="I707" s="3">
        <v>66443</v>
      </c>
      <c r="J707" s="3">
        <v>14</v>
      </c>
      <c r="K707" s="3">
        <v>3</v>
      </c>
      <c r="L707" s="3">
        <v>2</v>
      </c>
      <c r="M707" s="3">
        <v>2</v>
      </c>
      <c r="N707" s="3" t="s">
        <v>14</v>
      </c>
      <c r="O707" s="3" t="s">
        <v>20</v>
      </c>
      <c r="P707" s="3">
        <v>2</v>
      </c>
      <c r="Q707" s="3">
        <v>5</v>
      </c>
      <c r="R707" s="4" t="s">
        <v>12</v>
      </c>
      <c r="S707" s="4" t="s">
        <v>14</v>
      </c>
      <c r="T707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708" spans="1:20" ht="18" x14ac:dyDescent="0.35">
      <c r="A708" s="3" t="s">
        <v>751</v>
      </c>
      <c r="B708" s="3" t="str">
        <f>IF(Table1[[#This Row],[Age]]&lt;25,"Under 25",IF(Table1[[#This Row],[Age]]&lt;35,"25-34",IF(Table1[[#This Row],[Age]]&lt;45,"35-44",IF(Table1[[#This Row],[Age]]&lt;55,"45-54","55+"))))</f>
        <v>25-34</v>
      </c>
      <c r="C708" s="3">
        <v>25</v>
      </c>
      <c r="D708" s="3" t="s">
        <v>7</v>
      </c>
      <c r="E708" s="3" t="s">
        <v>38</v>
      </c>
      <c r="F708" s="3" t="s">
        <v>59</v>
      </c>
      <c r="G708" s="3" t="s">
        <v>25</v>
      </c>
      <c r="H708" s="3" t="s">
        <v>11</v>
      </c>
      <c r="I708" s="3">
        <v>59626</v>
      </c>
      <c r="J708" s="3">
        <v>2</v>
      </c>
      <c r="K708" s="3">
        <v>0</v>
      </c>
      <c r="L708" s="3">
        <v>3</v>
      </c>
      <c r="M708" s="3">
        <v>3</v>
      </c>
      <c r="N708" s="3" t="s">
        <v>12</v>
      </c>
      <c r="O708" s="3" t="s">
        <v>20</v>
      </c>
      <c r="P708" s="3">
        <v>4</v>
      </c>
      <c r="Q708" s="3">
        <v>2</v>
      </c>
      <c r="R708" s="4" t="s">
        <v>12</v>
      </c>
      <c r="S708" s="4" t="s">
        <v>14</v>
      </c>
      <c r="T708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709" spans="1:20" ht="18" x14ac:dyDescent="0.35">
      <c r="A709" s="3" t="s">
        <v>752</v>
      </c>
      <c r="B709" s="3" t="str">
        <f>IF(Table1[[#This Row],[Age]]&lt;25,"Under 25",IF(Table1[[#This Row],[Age]]&lt;35,"25-34",IF(Table1[[#This Row],[Age]]&lt;45,"35-44",IF(Table1[[#This Row],[Age]]&lt;55,"45-54","55+"))))</f>
        <v>35-44</v>
      </c>
      <c r="C709" s="3">
        <v>39</v>
      </c>
      <c r="D709" s="3" t="s">
        <v>7</v>
      </c>
      <c r="E709" s="3" t="s">
        <v>34</v>
      </c>
      <c r="F709" s="3" t="s">
        <v>150</v>
      </c>
      <c r="G709" s="3" t="s">
        <v>45</v>
      </c>
      <c r="H709" s="3" t="s">
        <v>11</v>
      </c>
      <c r="I709" s="3">
        <v>48547</v>
      </c>
      <c r="J709" s="3">
        <v>12</v>
      </c>
      <c r="K709" s="3">
        <v>2</v>
      </c>
      <c r="L709" s="3">
        <v>4</v>
      </c>
      <c r="M709" s="3">
        <v>3</v>
      </c>
      <c r="N709" s="3" t="s">
        <v>14</v>
      </c>
      <c r="O709" s="3" t="s">
        <v>13</v>
      </c>
      <c r="P709" s="3">
        <v>3</v>
      </c>
      <c r="Q709" s="3">
        <v>1</v>
      </c>
      <c r="R709" s="4" t="s">
        <v>14</v>
      </c>
      <c r="S709" s="4" t="s">
        <v>12</v>
      </c>
      <c r="T709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710" spans="1:20" ht="18" x14ac:dyDescent="0.35">
      <c r="A710" s="3" t="s">
        <v>753</v>
      </c>
      <c r="B710" s="3" t="str">
        <f>IF(Table1[[#This Row],[Age]]&lt;25,"Under 25",IF(Table1[[#This Row],[Age]]&lt;35,"25-34",IF(Table1[[#This Row],[Age]]&lt;45,"35-44",IF(Table1[[#This Row],[Age]]&lt;55,"45-54","55+"))))</f>
        <v>Under 25</v>
      </c>
      <c r="C710" s="3">
        <v>21</v>
      </c>
      <c r="D710" s="3" t="s">
        <v>7</v>
      </c>
      <c r="E710" s="3" t="s">
        <v>8</v>
      </c>
      <c r="F710" s="3" t="s">
        <v>23</v>
      </c>
      <c r="G710" s="3" t="s">
        <v>18</v>
      </c>
      <c r="H710" s="3" t="s">
        <v>11</v>
      </c>
      <c r="I710" s="3">
        <v>76442</v>
      </c>
      <c r="J710" s="3">
        <v>1</v>
      </c>
      <c r="K710" s="3">
        <v>1</v>
      </c>
      <c r="L710" s="3">
        <v>4</v>
      </c>
      <c r="M710" s="3">
        <v>4</v>
      </c>
      <c r="N710" s="3" t="s">
        <v>14</v>
      </c>
      <c r="O710" s="3" t="s">
        <v>13</v>
      </c>
      <c r="P710" s="3">
        <v>3</v>
      </c>
      <c r="Q710" s="3">
        <v>1</v>
      </c>
      <c r="R710" s="4" t="s">
        <v>14</v>
      </c>
      <c r="S710" s="4" t="s">
        <v>14</v>
      </c>
      <c r="T710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711" spans="1:20" ht="18" x14ac:dyDescent="0.35">
      <c r="A711" s="3" t="s">
        <v>754</v>
      </c>
      <c r="B711" s="3" t="str">
        <f>IF(Table1[[#This Row],[Age]]&lt;25,"Under 25",IF(Table1[[#This Row],[Age]]&lt;35,"25-34",IF(Table1[[#This Row],[Age]]&lt;45,"35-44",IF(Table1[[#This Row],[Age]]&lt;55,"45-54","55+"))))</f>
        <v>35-44</v>
      </c>
      <c r="C711" s="3">
        <v>39</v>
      </c>
      <c r="D711" s="3" t="s">
        <v>7</v>
      </c>
      <c r="E711" s="3" t="s">
        <v>8</v>
      </c>
      <c r="F711" s="3" t="s">
        <v>9</v>
      </c>
      <c r="G711" s="3" t="s">
        <v>10</v>
      </c>
      <c r="H711" s="3" t="s">
        <v>19</v>
      </c>
      <c r="I711" s="3">
        <v>22000</v>
      </c>
      <c r="J711" s="3">
        <v>6</v>
      </c>
      <c r="K711" s="3">
        <v>4</v>
      </c>
      <c r="L711" s="3">
        <v>2</v>
      </c>
      <c r="M711" s="3">
        <v>3</v>
      </c>
      <c r="N711" s="3" t="s">
        <v>14</v>
      </c>
      <c r="O711" s="3" t="s">
        <v>13</v>
      </c>
      <c r="P711" s="3">
        <v>4</v>
      </c>
      <c r="Q711" s="3">
        <v>3</v>
      </c>
      <c r="R711" s="4" t="s">
        <v>14</v>
      </c>
      <c r="S711" s="4" t="s">
        <v>14</v>
      </c>
      <c r="T711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712" spans="1:20" ht="18" x14ac:dyDescent="0.35">
      <c r="A712" s="3" t="s">
        <v>755</v>
      </c>
      <c r="B712" s="3" t="str">
        <f>IF(Table1[[#This Row],[Age]]&lt;25,"Under 25",IF(Table1[[#This Row],[Age]]&lt;35,"25-34",IF(Table1[[#This Row],[Age]]&lt;45,"35-44",IF(Table1[[#This Row],[Age]]&lt;55,"45-54","55+"))))</f>
        <v>25-34</v>
      </c>
      <c r="C712" s="3">
        <v>26</v>
      </c>
      <c r="D712" s="3" t="s">
        <v>7</v>
      </c>
      <c r="E712" s="3" t="s">
        <v>16</v>
      </c>
      <c r="F712" s="3" t="s">
        <v>17</v>
      </c>
      <c r="G712" s="3" t="s">
        <v>25</v>
      </c>
      <c r="H712" s="3" t="s">
        <v>19</v>
      </c>
      <c r="I712" s="3">
        <v>63102</v>
      </c>
      <c r="J712" s="3">
        <v>4</v>
      </c>
      <c r="K712" s="3">
        <v>2</v>
      </c>
      <c r="L712" s="3">
        <v>4</v>
      </c>
      <c r="M712" s="3">
        <v>2</v>
      </c>
      <c r="N712" s="3" t="s">
        <v>14</v>
      </c>
      <c r="O712" s="3" t="s">
        <v>20</v>
      </c>
      <c r="P712" s="3">
        <v>3</v>
      </c>
      <c r="Q712" s="3">
        <v>6</v>
      </c>
      <c r="R712" s="4" t="s">
        <v>14</v>
      </c>
      <c r="S712" s="4" t="s">
        <v>14</v>
      </c>
      <c r="T712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713" spans="1:20" ht="18" x14ac:dyDescent="0.35">
      <c r="A713" s="3" t="s">
        <v>756</v>
      </c>
      <c r="B713" s="3" t="str">
        <f>IF(Table1[[#This Row],[Age]]&lt;25,"Under 25",IF(Table1[[#This Row],[Age]]&lt;35,"25-34",IF(Table1[[#This Row],[Age]]&lt;45,"35-44",IF(Table1[[#This Row],[Age]]&lt;55,"45-54","55+"))))</f>
        <v>Under 25</v>
      </c>
      <c r="C713" s="3">
        <v>21</v>
      </c>
      <c r="D713" s="3" t="s">
        <v>22</v>
      </c>
      <c r="E713" s="3" t="s">
        <v>16</v>
      </c>
      <c r="F713" s="3" t="s">
        <v>28</v>
      </c>
      <c r="G713" s="3" t="s">
        <v>10</v>
      </c>
      <c r="H713" s="3" t="s">
        <v>19</v>
      </c>
      <c r="I713" s="3">
        <v>36894</v>
      </c>
      <c r="J713" s="3">
        <v>1</v>
      </c>
      <c r="K713" s="3">
        <v>0</v>
      </c>
      <c r="L713" s="3">
        <v>4</v>
      </c>
      <c r="M713" s="3">
        <v>3</v>
      </c>
      <c r="N713" s="3" t="s">
        <v>12</v>
      </c>
      <c r="O713" s="3" t="s">
        <v>13</v>
      </c>
      <c r="P713" s="3">
        <v>2</v>
      </c>
      <c r="Q713" s="3">
        <v>3</v>
      </c>
      <c r="R713" s="4" t="s">
        <v>14</v>
      </c>
      <c r="S713" s="4" t="s">
        <v>14</v>
      </c>
      <c r="T713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714" spans="1:20" ht="18" x14ac:dyDescent="0.35">
      <c r="A714" s="3" t="s">
        <v>757</v>
      </c>
      <c r="B714" s="3" t="str">
        <f>IF(Table1[[#This Row],[Age]]&lt;25,"Under 25",IF(Table1[[#This Row],[Age]]&lt;35,"25-34",IF(Table1[[#This Row],[Age]]&lt;45,"35-44",IF(Table1[[#This Row],[Age]]&lt;55,"45-54","55+"))))</f>
        <v>Under 25</v>
      </c>
      <c r="C714" s="3">
        <v>21</v>
      </c>
      <c r="D714" s="3" t="s">
        <v>22</v>
      </c>
      <c r="E714" s="3" t="s">
        <v>8</v>
      </c>
      <c r="F714" s="3" t="s">
        <v>9</v>
      </c>
      <c r="G714" s="3" t="s">
        <v>25</v>
      </c>
      <c r="H714" s="3" t="s">
        <v>11</v>
      </c>
      <c r="I714" s="3">
        <v>23083</v>
      </c>
      <c r="J714" s="3">
        <v>3</v>
      </c>
      <c r="K714" s="3">
        <v>3</v>
      </c>
      <c r="L714" s="3">
        <v>3</v>
      </c>
      <c r="M714" s="3">
        <v>4</v>
      </c>
      <c r="N714" s="3" t="s">
        <v>14</v>
      </c>
      <c r="O714" s="3" t="s">
        <v>13</v>
      </c>
      <c r="P714" s="3">
        <v>3</v>
      </c>
      <c r="Q714" s="3">
        <v>0</v>
      </c>
      <c r="R714" s="4" t="s">
        <v>14</v>
      </c>
      <c r="S714" s="4" t="s">
        <v>14</v>
      </c>
      <c r="T714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715" spans="1:20" ht="18" x14ac:dyDescent="0.35">
      <c r="A715" s="3" t="s">
        <v>758</v>
      </c>
      <c r="B715" s="3" t="str">
        <f>IF(Table1[[#This Row],[Age]]&lt;25,"Under 25",IF(Table1[[#This Row],[Age]]&lt;35,"25-34",IF(Table1[[#This Row],[Age]]&lt;45,"35-44",IF(Table1[[#This Row],[Age]]&lt;55,"45-54","55+"))))</f>
        <v>25-34</v>
      </c>
      <c r="C715" s="3">
        <v>31</v>
      </c>
      <c r="D715" s="3" t="s">
        <v>7</v>
      </c>
      <c r="E715" s="3" t="s">
        <v>31</v>
      </c>
      <c r="F715" s="3" t="s">
        <v>74</v>
      </c>
      <c r="G715" s="3" t="s">
        <v>10</v>
      </c>
      <c r="H715" s="3" t="s">
        <v>11</v>
      </c>
      <c r="I715" s="3">
        <v>74151</v>
      </c>
      <c r="J715" s="3">
        <v>10</v>
      </c>
      <c r="K715" s="3">
        <v>5</v>
      </c>
      <c r="L715" s="3">
        <v>3</v>
      </c>
      <c r="M715" s="3">
        <v>3</v>
      </c>
      <c r="N715" s="3" t="s">
        <v>12</v>
      </c>
      <c r="O715" s="3" t="s">
        <v>13</v>
      </c>
      <c r="P715" s="3">
        <v>3</v>
      </c>
      <c r="Q715" s="3">
        <v>5</v>
      </c>
      <c r="R715" s="4" t="s">
        <v>12</v>
      </c>
      <c r="S715" s="4" t="s">
        <v>14</v>
      </c>
      <c r="T715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716" spans="1:20" ht="18" x14ac:dyDescent="0.35">
      <c r="A716" s="3" t="s">
        <v>759</v>
      </c>
      <c r="B716" s="3" t="str">
        <f>IF(Table1[[#This Row],[Age]]&lt;25,"Under 25",IF(Table1[[#This Row],[Age]]&lt;35,"25-34",IF(Table1[[#This Row],[Age]]&lt;45,"35-44",IF(Table1[[#This Row],[Age]]&lt;55,"45-54","55+"))))</f>
        <v>35-44</v>
      </c>
      <c r="C716" s="3">
        <v>39</v>
      </c>
      <c r="D716" s="3" t="s">
        <v>22</v>
      </c>
      <c r="E716" s="3" t="s">
        <v>31</v>
      </c>
      <c r="F716" s="3" t="s">
        <v>136</v>
      </c>
      <c r="G716" s="3" t="s">
        <v>25</v>
      </c>
      <c r="H716" s="3" t="s">
        <v>19</v>
      </c>
      <c r="I716" s="3">
        <v>82481</v>
      </c>
      <c r="J716" s="3">
        <v>21</v>
      </c>
      <c r="K716" s="3">
        <v>10</v>
      </c>
      <c r="L716" s="3">
        <v>2</v>
      </c>
      <c r="M716" s="3">
        <v>3</v>
      </c>
      <c r="N716" s="3" t="s">
        <v>12</v>
      </c>
      <c r="O716" s="3" t="s">
        <v>13</v>
      </c>
      <c r="P716" s="3">
        <v>3</v>
      </c>
      <c r="Q716" s="3">
        <v>0</v>
      </c>
      <c r="R716" s="4" t="s">
        <v>14</v>
      </c>
      <c r="S716" s="4" t="s">
        <v>12</v>
      </c>
      <c r="T716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717" spans="1:20" ht="18" x14ac:dyDescent="0.35">
      <c r="A717" s="3" t="s">
        <v>760</v>
      </c>
      <c r="B717" s="3" t="str">
        <f>IF(Table1[[#This Row],[Age]]&lt;25,"Under 25",IF(Table1[[#This Row],[Age]]&lt;35,"25-34",IF(Table1[[#This Row],[Age]]&lt;45,"35-44",IF(Table1[[#This Row],[Age]]&lt;55,"45-54","55+"))))</f>
        <v>35-44</v>
      </c>
      <c r="C717" s="3">
        <v>35</v>
      </c>
      <c r="D717" s="3" t="s">
        <v>7</v>
      </c>
      <c r="E717" s="3" t="s">
        <v>8</v>
      </c>
      <c r="F717" s="3" t="s">
        <v>23</v>
      </c>
      <c r="G717" s="3" t="s">
        <v>25</v>
      </c>
      <c r="H717" s="3" t="s">
        <v>19</v>
      </c>
      <c r="I717" s="3">
        <v>60678</v>
      </c>
      <c r="J717" s="3">
        <v>1</v>
      </c>
      <c r="K717" s="3">
        <v>0</v>
      </c>
      <c r="L717" s="3">
        <v>3</v>
      </c>
      <c r="M717" s="3">
        <v>2</v>
      </c>
      <c r="N717" s="3" t="s">
        <v>14</v>
      </c>
      <c r="O717" s="3" t="s">
        <v>13</v>
      </c>
      <c r="P717" s="3">
        <v>4</v>
      </c>
      <c r="Q717" s="3">
        <v>4</v>
      </c>
      <c r="R717" s="4" t="s">
        <v>14</v>
      </c>
      <c r="S717" s="4" t="s">
        <v>14</v>
      </c>
      <c r="T717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718" spans="1:20" ht="18" x14ac:dyDescent="0.35">
      <c r="A718" s="3" t="s">
        <v>761</v>
      </c>
      <c r="B718" s="3" t="str">
        <f>IF(Table1[[#This Row],[Age]]&lt;25,"Under 25",IF(Table1[[#This Row],[Age]]&lt;35,"25-34",IF(Table1[[#This Row],[Age]]&lt;45,"35-44",IF(Table1[[#This Row],[Age]]&lt;55,"45-54","55+"))))</f>
        <v>35-44</v>
      </c>
      <c r="C718" s="3">
        <v>42</v>
      </c>
      <c r="D718" s="3" t="s">
        <v>22</v>
      </c>
      <c r="E718" s="3" t="s">
        <v>34</v>
      </c>
      <c r="F718" s="3" t="s">
        <v>54</v>
      </c>
      <c r="G718" s="3" t="s">
        <v>25</v>
      </c>
      <c r="H718" s="3" t="s">
        <v>19</v>
      </c>
      <c r="I718" s="3">
        <v>49204</v>
      </c>
      <c r="J718" s="3">
        <v>22</v>
      </c>
      <c r="K718" s="3">
        <v>7</v>
      </c>
      <c r="L718" s="3">
        <v>3</v>
      </c>
      <c r="M718" s="3">
        <v>3</v>
      </c>
      <c r="N718" s="3" t="s">
        <v>14</v>
      </c>
      <c r="O718" s="3" t="s">
        <v>13</v>
      </c>
      <c r="P718" s="3">
        <v>3</v>
      </c>
      <c r="Q718" s="3">
        <v>6</v>
      </c>
      <c r="R718" s="4" t="s">
        <v>14</v>
      </c>
      <c r="S718" s="4" t="s">
        <v>14</v>
      </c>
      <c r="T718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719" spans="1:20" ht="18" x14ac:dyDescent="0.35">
      <c r="A719" s="3" t="s">
        <v>762</v>
      </c>
      <c r="B719" s="3" t="str">
        <f>IF(Table1[[#This Row],[Age]]&lt;25,"Under 25",IF(Table1[[#This Row],[Age]]&lt;35,"25-34",IF(Table1[[#This Row],[Age]]&lt;45,"35-44",IF(Table1[[#This Row],[Age]]&lt;55,"45-54","55+"))))</f>
        <v>25-34</v>
      </c>
      <c r="C719" s="3">
        <v>34</v>
      </c>
      <c r="D719" s="3" t="s">
        <v>22</v>
      </c>
      <c r="E719" s="3" t="s">
        <v>16</v>
      </c>
      <c r="F719" s="3" t="s">
        <v>28</v>
      </c>
      <c r="G719" s="3" t="s">
        <v>25</v>
      </c>
      <c r="H719" s="3" t="s">
        <v>11</v>
      </c>
      <c r="I719" s="3">
        <v>47989</v>
      </c>
      <c r="J719" s="3">
        <v>5</v>
      </c>
      <c r="K719" s="3">
        <v>1</v>
      </c>
      <c r="L719" s="3">
        <v>3</v>
      </c>
      <c r="M719" s="3">
        <v>1</v>
      </c>
      <c r="N719" s="3" t="s">
        <v>14</v>
      </c>
      <c r="O719" s="3" t="s">
        <v>13</v>
      </c>
      <c r="P719" s="3">
        <v>3</v>
      </c>
      <c r="Q719" s="3">
        <v>4</v>
      </c>
      <c r="R719" s="4" t="s">
        <v>14</v>
      </c>
      <c r="S719" s="4" t="s">
        <v>14</v>
      </c>
      <c r="T719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720" spans="1:20" ht="18" x14ac:dyDescent="0.35">
      <c r="A720" s="3" t="s">
        <v>763</v>
      </c>
      <c r="B720" s="3" t="str">
        <f>IF(Table1[[#This Row],[Age]]&lt;25,"Under 25",IF(Table1[[#This Row],[Age]]&lt;35,"25-34",IF(Table1[[#This Row],[Age]]&lt;45,"35-44",IF(Table1[[#This Row],[Age]]&lt;55,"45-54","55+"))))</f>
        <v>35-44</v>
      </c>
      <c r="C720" s="3">
        <v>42</v>
      </c>
      <c r="D720" s="3" t="s">
        <v>7</v>
      </c>
      <c r="E720" s="3" t="s">
        <v>16</v>
      </c>
      <c r="F720" s="3" t="s">
        <v>17</v>
      </c>
      <c r="G720" s="3" t="s">
        <v>25</v>
      </c>
      <c r="H720" s="3" t="s">
        <v>19</v>
      </c>
      <c r="I720" s="3">
        <v>63269</v>
      </c>
      <c r="J720" s="3">
        <v>19</v>
      </c>
      <c r="K720" s="3">
        <v>11</v>
      </c>
      <c r="L720" s="3">
        <v>3</v>
      </c>
      <c r="M720" s="3">
        <v>2</v>
      </c>
      <c r="N720" s="3" t="s">
        <v>14</v>
      </c>
      <c r="O720" s="3" t="s">
        <v>13</v>
      </c>
      <c r="P720" s="3">
        <v>4</v>
      </c>
      <c r="Q720" s="3">
        <v>4</v>
      </c>
      <c r="R720" s="4" t="s">
        <v>14</v>
      </c>
      <c r="S720" s="4" t="s">
        <v>14</v>
      </c>
      <c r="T720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721" spans="1:20" ht="18" x14ac:dyDescent="0.35">
      <c r="A721" s="3" t="s">
        <v>764</v>
      </c>
      <c r="B721" s="3" t="str">
        <f>IF(Table1[[#This Row],[Age]]&lt;25,"Under 25",IF(Table1[[#This Row],[Age]]&lt;35,"25-34",IF(Table1[[#This Row],[Age]]&lt;45,"35-44",IF(Table1[[#This Row],[Age]]&lt;55,"45-54","55+"))))</f>
        <v>25-34</v>
      </c>
      <c r="C721" s="3">
        <v>27</v>
      </c>
      <c r="D721" s="3" t="s">
        <v>22</v>
      </c>
      <c r="E721" s="3" t="s">
        <v>34</v>
      </c>
      <c r="F721" s="3" t="s">
        <v>35</v>
      </c>
      <c r="G721" s="3" t="s">
        <v>25</v>
      </c>
      <c r="H721" s="3" t="s">
        <v>19</v>
      </c>
      <c r="I721" s="3">
        <v>87809</v>
      </c>
      <c r="J721" s="3">
        <v>3</v>
      </c>
      <c r="K721" s="3">
        <v>2</v>
      </c>
      <c r="L721" s="3">
        <v>1</v>
      </c>
      <c r="M721" s="3">
        <v>4</v>
      </c>
      <c r="N721" s="3" t="s">
        <v>14</v>
      </c>
      <c r="O721" s="3" t="s">
        <v>26</v>
      </c>
      <c r="P721" s="3">
        <v>3</v>
      </c>
      <c r="Q721" s="3">
        <v>3</v>
      </c>
      <c r="R721" s="4" t="s">
        <v>14</v>
      </c>
      <c r="S721" s="4" t="s">
        <v>14</v>
      </c>
      <c r="T721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722" spans="1:20" ht="18" x14ac:dyDescent="0.35">
      <c r="A722" s="3" t="s">
        <v>765</v>
      </c>
      <c r="B722" s="3" t="str">
        <f>IF(Table1[[#This Row],[Age]]&lt;25,"Under 25",IF(Table1[[#This Row],[Age]]&lt;35,"25-34",IF(Table1[[#This Row],[Age]]&lt;45,"35-44",IF(Table1[[#This Row],[Age]]&lt;55,"45-54","55+"))))</f>
        <v>35-44</v>
      </c>
      <c r="C722" s="3">
        <v>37</v>
      </c>
      <c r="D722" s="3" t="s">
        <v>7</v>
      </c>
      <c r="E722" s="3" t="s">
        <v>8</v>
      </c>
      <c r="F722" s="3" t="s">
        <v>23</v>
      </c>
      <c r="G722" s="3" t="s">
        <v>25</v>
      </c>
      <c r="H722" s="3" t="s">
        <v>19</v>
      </c>
      <c r="I722" s="3">
        <v>65445</v>
      </c>
      <c r="J722" s="3">
        <v>10</v>
      </c>
      <c r="K722" s="3">
        <v>10</v>
      </c>
      <c r="L722" s="3">
        <v>4</v>
      </c>
      <c r="M722" s="3">
        <v>3</v>
      </c>
      <c r="N722" s="3" t="s">
        <v>14</v>
      </c>
      <c r="O722" s="3" t="s">
        <v>13</v>
      </c>
      <c r="P722" s="3">
        <v>3</v>
      </c>
      <c r="Q722" s="3">
        <v>2</v>
      </c>
      <c r="R722" s="4" t="s">
        <v>14</v>
      </c>
      <c r="S722" s="4" t="s">
        <v>14</v>
      </c>
      <c r="T722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723" spans="1:20" ht="18" x14ac:dyDescent="0.35">
      <c r="A723" s="3" t="s">
        <v>766</v>
      </c>
      <c r="B723" s="3" t="str">
        <f>IF(Table1[[#This Row],[Age]]&lt;25,"Under 25",IF(Table1[[#This Row],[Age]]&lt;35,"25-34",IF(Table1[[#This Row],[Age]]&lt;45,"35-44",IF(Table1[[#This Row],[Age]]&lt;55,"45-54","55+"))))</f>
        <v>Under 25</v>
      </c>
      <c r="C723" s="3">
        <v>21</v>
      </c>
      <c r="D723" s="3" t="s">
        <v>22</v>
      </c>
      <c r="E723" s="3" t="s">
        <v>16</v>
      </c>
      <c r="F723" s="3" t="s">
        <v>28</v>
      </c>
      <c r="G723" s="3" t="s">
        <v>10</v>
      </c>
      <c r="H723" s="3" t="s">
        <v>11</v>
      </c>
      <c r="I723" s="3">
        <v>95428</v>
      </c>
      <c r="J723" s="3">
        <v>0</v>
      </c>
      <c r="K723" s="3">
        <v>0</v>
      </c>
      <c r="L723" s="3">
        <v>3</v>
      </c>
      <c r="M723" s="3">
        <v>1</v>
      </c>
      <c r="N723" s="3" t="s">
        <v>14</v>
      </c>
      <c r="O723" s="3" t="s">
        <v>13</v>
      </c>
      <c r="P723" s="3">
        <v>3</v>
      </c>
      <c r="Q723" s="3">
        <v>5</v>
      </c>
      <c r="R723" s="4" t="s">
        <v>14</v>
      </c>
      <c r="S723" s="4" t="s">
        <v>14</v>
      </c>
      <c r="T723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Less than 1 Year</v>
      </c>
    </row>
    <row r="724" spans="1:20" ht="18" x14ac:dyDescent="0.35">
      <c r="A724" s="3" t="s">
        <v>767</v>
      </c>
      <c r="B724" s="3" t="str">
        <f>IF(Table1[[#This Row],[Age]]&lt;25,"Under 25",IF(Table1[[#This Row],[Age]]&lt;35,"25-34",IF(Table1[[#This Row],[Age]]&lt;45,"35-44",IF(Table1[[#This Row],[Age]]&lt;55,"45-54","55+"))))</f>
        <v>25-34</v>
      </c>
      <c r="C724" s="3">
        <v>34</v>
      </c>
      <c r="D724" s="3" t="s">
        <v>22</v>
      </c>
      <c r="E724" s="3" t="s">
        <v>34</v>
      </c>
      <c r="F724" s="3" t="s">
        <v>91</v>
      </c>
      <c r="G724" s="3" t="s">
        <v>25</v>
      </c>
      <c r="H724" s="3" t="s">
        <v>11</v>
      </c>
      <c r="I724" s="3">
        <v>90695</v>
      </c>
      <c r="J724" s="3">
        <v>2</v>
      </c>
      <c r="K724" s="3">
        <v>0</v>
      </c>
      <c r="L724" s="3">
        <v>4</v>
      </c>
      <c r="M724" s="3">
        <v>3</v>
      </c>
      <c r="N724" s="3" t="s">
        <v>14</v>
      </c>
      <c r="O724" s="3" t="s">
        <v>13</v>
      </c>
      <c r="P724" s="3">
        <v>4</v>
      </c>
      <c r="Q724" s="3">
        <v>4</v>
      </c>
      <c r="R724" s="4" t="s">
        <v>14</v>
      </c>
      <c r="S724" s="4" t="s">
        <v>14</v>
      </c>
      <c r="T724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725" spans="1:20" ht="18" x14ac:dyDescent="0.35">
      <c r="A725" s="3" t="s">
        <v>768</v>
      </c>
      <c r="B725" s="3" t="str">
        <f>IF(Table1[[#This Row],[Age]]&lt;25,"Under 25",IF(Table1[[#This Row],[Age]]&lt;35,"25-34",IF(Table1[[#This Row],[Age]]&lt;45,"35-44",IF(Table1[[#This Row],[Age]]&lt;55,"45-54","55+"))))</f>
        <v>45-54</v>
      </c>
      <c r="C725" s="3">
        <v>50</v>
      </c>
      <c r="D725" s="3" t="s">
        <v>22</v>
      </c>
      <c r="E725" s="3" t="s">
        <v>8</v>
      </c>
      <c r="F725" s="3" t="s">
        <v>9</v>
      </c>
      <c r="G725" s="3" t="s">
        <v>10</v>
      </c>
      <c r="H725" s="3" t="s">
        <v>19</v>
      </c>
      <c r="I725" s="3">
        <v>48509</v>
      </c>
      <c r="J725" s="3">
        <v>20</v>
      </c>
      <c r="K725" s="3">
        <v>9</v>
      </c>
      <c r="L725" s="3">
        <v>3</v>
      </c>
      <c r="M725" s="3">
        <v>4</v>
      </c>
      <c r="N725" s="3" t="s">
        <v>12</v>
      </c>
      <c r="O725" s="3" t="s">
        <v>13</v>
      </c>
      <c r="P725" s="3">
        <v>2</v>
      </c>
      <c r="Q725" s="3">
        <v>0</v>
      </c>
      <c r="R725" s="4" t="s">
        <v>12</v>
      </c>
      <c r="S725" s="4" t="s">
        <v>14</v>
      </c>
      <c r="T725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726" spans="1:20" ht="18" x14ac:dyDescent="0.35">
      <c r="A726" s="3" t="s">
        <v>769</v>
      </c>
      <c r="B726" s="3" t="str">
        <f>IF(Table1[[#This Row],[Age]]&lt;25,"Under 25",IF(Table1[[#This Row],[Age]]&lt;35,"25-34",IF(Table1[[#This Row],[Age]]&lt;45,"35-44",IF(Table1[[#This Row],[Age]]&lt;55,"45-54","55+"))))</f>
        <v>25-34</v>
      </c>
      <c r="C726" s="3">
        <v>31</v>
      </c>
      <c r="D726" s="3" t="s">
        <v>22</v>
      </c>
      <c r="E726" s="3" t="s">
        <v>34</v>
      </c>
      <c r="F726" s="3" t="s">
        <v>54</v>
      </c>
      <c r="G726" s="3" t="s">
        <v>25</v>
      </c>
      <c r="H726" s="3" t="s">
        <v>42</v>
      </c>
      <c r="I726" s="3">
        <v>89881</v>
      </c>
      <c r="J726" s="3">
        <v>6</v>
      </c>
      <c r="K726" s="3">
        <v>1</v>
      </c>
      <c r="L726" s="3">
        <v>3</v>
      </c>
      <c r="M726" s="3">
        <v>3</v>
      </c>
      <c r="N726" s="3" t="s">
        <v>12</v>
      </c>
      <c r="O726" s="3" t="s">
        <v>20</v>
      </c>
      <c r="P726" s="3">
        <v>3</v>
      </c>
      <c r="Q726" s="3">
        <v>1</v>
      </c>
      <c r="R726" s="4" t="s">
        <v>14</v>
      </c>
      <c r="S726" s="4" t="s">
        <v>14</v>
      </c>
      <c r="T726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727" spans="1:20" ht="18" x14ac:dyDescent="0.35">
      <c r="A727" s="3" t="s">
        <v>770</v>
      </c>
      <c r="B727" s="3" t="str">
        <f>IF(Table1[[#This Row],[Age]]&lt;25,"Under 25",IF(Table1[[#This Row],[Age]]&lt;35,"25-34",IF(Table1[[#This Row],[Age]]&lt;45,"35-44",IF(Table1[[#This Row],[Age]]&lt;55,"45-54","55+"))))</f>
        <v>35-44</v>
      </c>
      <c r="C727" s="3">
        <v>36</v>
      </c>
      <c r="D727" s="3" t="s">
        <v>22</v>
      </c>
      <c r="E727" s="3" t="s">
        <v>8</v>
      </c>
      <c r="F727" s="3" t="s">
        <v>66</v>
      </c>
      <c r="G727" s="3" t="s">
        <v>10</v>
      </c>
      <c r="H727" s="3" t="s">
        <v>11</v>
      </c>
      <c r="I727" s="3">
        <v>75872</v>
      </c>
      <c r="J727" s="3">
        <v>2</v>
      </c>
      <c r="K727" s="3">
        <v>0</v>
      </c>
      <c r="L727" s="3">
        <v>3</v>
      </c>
      <c r="M727" s="3">
        <v>3</v>
      </c>
      <c r="N727" s="3" t="s">
        <v>14</v>
      </c>
      <c r="O727" s="3" t="s">
        <v>13</v>
      </c>
      <c r="P727" s="3">
        <v>3</v>
      </c>
      <c r="Q727" s="3">
        <v>4</v>
      </c>
      <c r="R727" s="4" t="s">
        <v>14</v>
      </c>
      <c r="S727" s="4" t="s">
        <v>14</v>
      </c>
      <c r="T727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728" spans="1:20" ht="18" x14ac:dyDescent="0.35">
      <c r="A728" s="3" t="s">
        <v>771</v>
      </c>
      <c r="B728" s="3" t="str">
        <f>IF(Table1[[#This Row],[Age]]&lt;25,"Under 25",IF(Table1[[#This Row],[Age]]&lt;35,"25-34",IF(Table1[[#This Row],[Age]]&lt;45,"35-44",IF(Table1[[#This Row],[Age]]&lt;55,"45-54","55+"))))</f>
        <v>25-34</v>
      </c>
      <c r="C728" s="3">
        <v>33</v>
      </c>
      <c r="D728" s="3" t="s">
        <v>22</v>
      </c>
      <c r="E728" s="3" t="s">
        <v>16</v>
      </c>
      <c r="F728" s="3" t="s">
        <v>47</v>
      </c>
      <c r="G728" s="3" t="s">
        <v>10</v>
      </c>
      <c r="H728" s="3" t="s">
        <v>42</v>
      </c>
      <c r="I728" s="3">
        <v>92697</v>
      </c>
      <c r="J728" s="3">
        <v>10</v>
      </c>
      <c r="K728" s="3">
        <v>2</v>
      </c>
      <c r="L728" s="3">
        <v>3</v>
      </c>
      <c r="M728" s="3">
        <v>3</v>
      </c>
      <c r="N728" s="3" t="s">
        <v>14</v>
      </c>
      <c r="O728" s="3" t="s">
        <v>13</v>
      </c>
      <c r="P728" s="3">
        <v>4</v>
      </c>
      <c r="Q728" s="3">
        <v>1</v>
      </c>
      <c r="R728" s="4" t="s">
        <v>14</v>
      </c>
      <c r="S728" s="4" t="s">
        <v>12</v>
      </c>
      <c r="T728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729" spans="1:20" ht="18" x14ac:dyDescent="0.35">
      <c r="A729" s="3" t="s">
        <v>772</v>
      </c>
      <c r="B729" s="3" t="str">
        <f>IF(Table1[[#This Row],[Age]]&lt;25,"Under 25",IF(Table1[[#This Row],[Age]]&lt;35,"25-34",IF(Table1[[#This Row],[Age]]&lt;45,"35-44",IF(Table1[[#This Row],[Age]]&lt;55,"45-54","55+"))))</f>
        <v>25-34</v>
      </c>
      <c r="C729" s="3">
        <v>26</v>
      </c>
      <c r="D729" s="3" t="s">
        <v>22</v>
      </c>
      <c r="E729" s="3" t="s">
        <v>34</v>
      </c>
      <c r="F729" s="3" t="s">
        <v>54</v>
      </c>
      <c r="G729" s="3" t="s">
        <v>25</v>
      </c>
      <c r="H729" s="3" t="s">
        <v>42</v>
      </c>
      <c r="I729" s="3">
        <v>46483</v>
      </c>
      <c r="J729" s="3">
        <v>0</v>
      </c>
      <c r="K729" s="3">
        <v>0</v>
      </c>
      <c r="L729" s="3">
        <v>2</v>
      </c>
      <c r="M729" s="3">
        <v>3</v>
      </c>
      <c r="N729" s="3" t="s">
        <v>12</v>
      </c>
      <c r="O729" s="3" t="s">
        <v>13</v>
      </c>
      <c r="P729" s="3">
        <v>3</v>
      </c>
      <c r="Q729" s="3">
        <v>1</v>
      </c>
      <c r="R729" s="4" t="s">
        <v>14</v>
      </c>
      <c r="S729" s="4" t="s">
        <v>14</v>
      </c>
      <c r="T729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Less than 1 Year</v>
      </c>
    </row>
    <row r="730" spans="1:20" ht="18" x14ac:dyDescent="0.35">
      <c r="A730" s="3" t="s">
        <v>773</v>
      </c>
      <c r="B730" s="3" t="str">
        <f>IF(Table1[[#This Row],[Age]]&lt;25,"Under 25",IF(Table1[[#This Row],[Age]]&lt;35,"25-34",IF(Table1[[#This Row],[Age]]&lt;45,"35-44",IF(Table1[[#This Row],[Age]]&lt;55,"45-54","55+"))))</f>
        <v>25-34</v>
      </c>
      <c r="C730" s="3">
        <v>28</v>
      </c>
      <c r="D730" s="3" t="s">
        <v>22</v>
      </c>
      <c r="E730" s="3" t="s">
        <v>51</v>
      </c>
      <c r="F730" s="3" t="s">
        <v>72</v>
      </c>
      <c r="G730" s="3" t="s">
        <v>25</v>
      </c>
      <c r="H730" s="3" t="s">
        <v>11</v>
      </c>
      <c r="I730" s="3">
        <v>83284</v>
      </c>
      <c r="J730" s="3">
        <v>5</v>
      </c>
      <c r="K730" s="3">
        <v>2</v>
      </c>
      <c r="L730" s="3">
        <v>3</v>
      </c>
      <c r="M730" s="3">
        <v>4</v>
      </c>
      <c r="N730" s="3" t="s">
        <v>14</v>
      </c>
      <c r="O730" s="3" t="s">
        <v>13</v>
      </c>
      <c r="P730" s="3">
        <v>2</v>
      </c>
      <c r="Q730" s="3">
        <v>2</v>
      </c>
      <c r="R730" s="4" t="s">
        <v>14</v>
      </c>
      <c r="S730" s="4" t="s">
        <v>14</v>
      </c>
      <c r="T730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731" spans="1:20" ht="18" x14ac:dyDescent="0.35">
      <c r="A731" s="3" t="s">
        <v>774</v>
      </c>
      <c r="B731" s="3" t="str">
        <f>IF(Table1[[#This Row],[Age]]&lt;25,"Under 25",IF(Table1[[#This Row],[Age]]&lt;35,"25-34",IF(Table1[[#This Row],[Age]]&lt;45,"35-44",IF(Table1[[#This Row],[Age]]&lt;55,"45-54","55+"))))</f>
        <v>45-54</v>
      </c>
      <c r="C731" s="3">
        <v>47</v>
      </c>
      <c r="D731" s="3" t="s">
        <v>7</v>
      </c>
      <c r="E731" s="3" t="s">
        <v>8</v>
      </c>
      <c r="F731" s="3" t="s">
        <v>9</v>
      </c>
      <c r="G731" s="3" t="s">
        <v>25</v>
      </c>
      <c r="H731" s="3" t="s">
        <v>19</v>
      </c>
      <c r="I731" s="3">
        <v>61024</v>
      </c>
      <c r="J731" s="3">
        <v>3</v>
      </c>
      <c r="K731" s="3">
        <v>3</v>
      </c>
      <c r="L731" s="3">
        <v>3</v>
      </c>
      <c r="M731" s="3">
        <v>1</v>
      </c>
      <c r="N731" s="3" t="s">
        <v>12</v>
      </c>
      <c r="O731" s="3" t="s">
        <v>13</v>
      </c>
      <c r="P731" s="3">
        <v>3</v>
      </c>
      <c r="Q731" s="3">
        <v>2</v>
      </c>
      <c r="R731" s="4" t="s">
        <v>14</v>
      </c>
      <c r="S731" s="4" t="s">
        <v>14</v>
      </c>
      <c r="T731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732" spans="1:20" ht="18" x14ac:dyDescent="0.35">
      <c r="A732" s="3" t="s">
        <v>775</v>
      </c>
      <c r="B732" s="3" t="str">
        <f>IF(Table1[[#This Row],[Age]]&lt;25,"Under 25",IF(Table1[[#This Row],[Age]]&lt;35,"25-34",IF(Table1[[#This Row],[Age]]&lt;45,"35-44",IF(Table1[[#This Row],[Age]]&lt;55,"45-54","55+"))))</f>
        <v>25-34</v>
      </c>
      <c r="C732" s="3">
        <v>34</v>
      </c>
      <c r="D732" s="3" t="s">
        <v>7</v>
      </c>
      <c r="E732" s="3" t="s">
        <v>38</v>
      </c>
      <c r="F732" s="3" t="s">
        <v>39</v>
      </c>
      <c r="G732" s="3" t="s">
        <v>10</v>
      </c>
      <c r="H732" s="3" t="s">
        <v>19</v>
      </c>
      <c r="I732" s="3">
        <v>55834</v>
      </c>
      <c r="J732" s="3">
        <v>12</v>
      </c>
      <c r="K732" s="3">
        <v>4</v>
      </c>
      <c r="L732" s="3">
        <v>3</v>
      </c>
      <c r="M732" s="3">
        <v>2</v>
      </c>
      <c r="N732" s="3" t="s">
        <v>14</v>
      </c>
      <c r="O732" s="3" t="s">
        <v>20</v>
      </c>
      <c r="P732" s="3">
        <v>4</v>
      </c>
      <c r="Q732" s="3">
        <v>6</v>
      </c>
      <c r="R732" s="4" t="s">
        <v>14</v>
      </c>
      <c r="S732" s="4" t="s">
        <v>14</v>
      </c>
      <c r="T732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733" spans="1:20" ht="18" x14ac:dyDescent="0.35">
      <c r="A733" s="3" t="s">
        <v>776</v>
      </c>
      <c r="B733" s="3" t="str">
        <f>IF(Table1[[#This Row],[Age]]&lt;25,"Under 25",IF(Table1[[#This Row],[Age]]&lt;35,"25-34",IF(Table1[[#This Row],[Age]]&lt;45,"35-44",IF(Table1[[#This Row],[Age]]&lt;55,"45-54","55+"))))</f>
        <v>25-34</v>
      </c>
      <c r="C733" s="3">
        <v>34</v>
      </c>
      <c r="D733" s="3" t="s">
        <v>7</v>
      </c>
      <c r="E733" s="3" t="s">
        <v>51</v>
      </c>
      <c r="F733" s="3" t="s">
        <v>52</v>
      </c>
      <c r="G733" s="3" t="s">
        <v>25</v>
      </c>
      <c r="H733" s="3" t="s">
        <v>19</v>
      </c>
      <c r="I733" s="3">
        <v>48482</v>
      </c>
      <c r="J733" s="3">
        <v>3</v>
      </c>
      <c r="K733" s="3">
        <v>1</v>
      </c>
      <c r="L733" s="3">
        <v>4</v>
      </c>
      <c r="M733" s="3">
        <v>4</v>
      </c>
      <c r="N733" s="3" t="s">
        <v>14</v>
      </c>
      <c r="O733" s="3" t="s">
        <v>13</v>
      </c>
      <c r="P733" s="3">
        <v>4</v>
      </c>
      <c r="Q733" s="3">
        <v>3</v>
      </c>
      <c r="R733" s="4" t="s">
        <v>14</v>
      </c>
      <c r="S733" s="4" t="s">
        <v>14</v>
      </c>
      <c r="T733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734" spans="1:20" ht="18" x14ac:dyDescent="0.35">
      <c r="A734" s="3" t="s">
        <v>777</v>
      </c>
      <c r="B734" s="3" t="str">
        <f>IF(Table1[[#This Row],[Age]]&lt;25,"Under 25",IF(Table1[[#This Row],[Age]]&lt;35,"25-34",IF(Table1[[#This Row],[Age]]&lt;45,"35-44",IF(Table1[[#This Row],[Age]]&lt;55,"45-54","55+"))))</f>
        <v>25-34</v>
      </c>
      <c r="C734" s="3">
        <v>31</v>
      </c>
      <c r="D734" s="3" t="s">
        <v>7</v>
      </c>
      <c r="E734" s="3" t="s">
        <v>8</v>
      </c>
      <c r="F734" s="3" t="s">
        <v>9</v>
      </c>
      <c r="G734" s="3" t="s">
        <v>10</v>
      </c>
      <c r="H734" s="3" t="s">
        <v>11</v>
      </c>
      <c r="I734" s="3">
        <v>28912</v>
      </c>
      <c r="J734" s="3">
        <v>8</v>
      </c>
      <c r="K734" s="3">
        <v>8</v>
      </c>
      <c r="L734" s="3">
        <v>3</v>
      </c>
      <c r="M734" s="3">
        <v>3</v>
      </c>
      <c r="N734" s="3" t="s">
        <v>14</v>
      </c>
      <c r="O734" s="3" t="s">
        <v>20</v>
      </c>
      <c r="P734" s="3">
        <v>4</v>
      </c>
      <c r="Q734" s="3">
        <v>2</v>
      </c>
      <c r="R734" s="4" t="s">
        <v>14</v>
      </c>
      <c r="S734" s="4" t="s">
        <v>14</v>
      </c>
      <c r="T734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735" spans="1:20" ht="18" x14ac:dyDescent="0.35">
      <c r="A735" s="3" t="s">
        <v>778</v>
      </c>
      <c r="B735" s="3" t="str">
        <f>IF(Table1[[#This Row],[Age]]&lt;25,"Under 25",IF(Table1[[#This Row],[Age]]&lt;35,"25-34",IF(Table1[[#This Row],[Age]]&lt;45,"35-44",IF(Table1[[#This Row],[Age]]&lt;55,"45-54","55+"))))</f>
        <v>35-44</v>
      </c>
      <c r="C735" s="3">
        <v>35</v>
      </c>
      <c r="D735" s="3" t="s">
        <v>7</v>
      </c>
      <c r="E735" s="3" t="s">
        <v>38</v>
      </c>
      <c r="F735" s="3" t="s">
        <v>59</v>
      </c>
      <c r="G735" s="3" t="s">
        <v>25</v>
      </c>
      <c r="H735" s="3" t="s">
        <v>11</v>
      </c>
      <c r="I735" s="3">
        <v>30451</v>
      </c>
      <c r="J735" s="3">
        <v>3</v>
      </c>
      <c r="K735" s="3">
        <v>1</v>
      </c>
      <c r="L735" s="3">
        <v>4</v>
      </c>
      <c r="M735" s="3">
        <v>2</v>
      </c>
      <c r="N735" s="3" t="s">
        <v>14</v>
      </c>
      <c r="O735" s="3" t="s">
        <v>13</v>
      </c>
      <c r="P735" s="3">
        <v>3</v>
      </c>
      <c r="Q735" s="3">
        <v>1</v>
      </c>
      <c r="R735" s="4" t="s">
        <v>12</v>
      </c>
      <c r="S735" s="4" t="s">
        <v>14</v>
      </c>
      <c r="T735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736" spans="1:20" ht="18" x14ac:dyDescent="0.35">
      <c r="A736" s="3" t="s">
        <v>779</v>
      </c>
      <c r="B736" s="3" t="str">
        <f>IF(Table1[[#This Row],[Age]]&lt;25,"Under 25",IF(Table1[[#This Row],[Age]]&lt;35,"25-34",IF(Table1[[#This Row],[Age]]&lt;45,"35-44",IF(Table1[[#This Row],[Age]]&lt;55,"45-54","55+"))))</f>
        <v>35-44</v>
      </c>
      <c r="C736" s="3">
        <v>44</v>
      </c>
      <c r="D736" s="3" t="s">
        <v>7</v>
      </c>
      <c r="E736" s="3" t="s">
        <v>8</v>
      </c>
      <c r="F736" s="3" t="s">
        <v>23</v>
      </c>
      <c r="G736" s="3" t="s">
        <v>25</v>
      </c>
      <c r="H736" s="3" t="s">
        <v>11</v>
      </c>
      <c r="I736" s="3">
        <v>28754</v>
      </c>
      <c r="J736" s="3">
        <v>11</v>
      </c>
      <c r="K736" s="3">
        <v>7</v>
      </c>
      <c r="L736" s="3">
        <v>4</v>
      </c>
      <c r="M736" s="3">
        <v>4</v>
      </c>
      <c r="N736" s="3" t="s">
        <v>14</v>
      </c>
      <c r="O736" s="3" t="s">
        <v>13</v>
      </c>
      <c r="P736" s="3">
        <v>3</v>
      </c>
      <c r="Q736" s="3">
        <v>0</v>
      </c>
      <c r="R736" s="4" t="s">
        <v>12</v>
      </c>
      <c r="S736" s="4" t="s">
        <v>14</v>
      </c>
      <c r="T736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737" spans="1:20" ht="18" x14ac:dyDescent="0.35">
      <c r="A737" s="3" t="s">
        <v>780</v>
      </c>
      <c r="B737" s="3" t="str">
        <f>IF(Table1[[#This Row],[Age]]&lt;25,"Under 25",IF(Table1[[#This Row],[Age]]&lt;35,"25-34",IF(Table1[[#This Row],[Age]]&lt;45,"35-44",IF(Table1[[#This Row],[Age]]&lt;55,"45-54","55+"))))</f>
        <v>35-44</v>
      </c>
      <c r="C737" s="3">
        <v>35</v>
      </c>
      <c r="D737" s="3" t="s">
        <v>7</v>
      </c>
      <c r="E737" s="3" t="s">
        <v>34</v>
      </c>
      <c r="F737" s="3" t="s">
        <v>91</v>
      </c>
      <c r="G737" s="3" t="s">
        <v>10</v>
      </c>
      <c r="H737" s="3" t="s">
        <v>11</v>
      </c>
      <c r="I737" s="3">
        <v>91238</v>
      </c>
      <c r="J737" s="3">
        <v>8</v>
      </c>
      <c r="K737" s="3">
        <v>8</v>
      </c>
      <c r="L737" s="3">
        <v>3</v>
      </c>
      <c r="M737" s="3">
        <v>3</v>
      </c>
      <c r="N737" s="3" t="s">
        <v>14</v>
      </c>
      <c r="O737" s="3" t="s">
        <v>13</v>
      </c>
      <c r="P737" s="3">
        <v>3</v>
      </c>
      <c r="Q737" s="3">
        <v>3</v>
      </c>
      <c r="R737" s="4" t="s">
        <v>14</v>
      </c>
      <c r="S737" s="4" t="s">
        <v>14</v>
      </c>
      <c r="T737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738" spans="1:20" ht="18" x14ac:dyDescent="0.35">
      <c r="A738" s="3" t="s">
        <v>781</v>
      </c>
      <c r="B738" s="3" t="str">
        <f>IF(Table1[[#This Row],[Age]]&lt;25,"Under 25",IF(Table1[[#This Row],[Age]]&lt;35,"25-34",IF(Table1[[#This Row],[Age]]&lt;45,"35-44",IF(Table1[[#This Row],[Age]]&lt;55,"45-54","55+"))))</f>
        <v>Under 25</v>
      </c>
      <c r="C738" s="3">
        <v>21</v>
      </c>
      <c r="D738" s="3" t="s">
        <v>22</v>
      </c>
      <c r="E738" s="3" t="s">
        <v>8</v>
      </c>
      <c r="F738" s="3" t="s">
        <v>23</v>
      </c>
      <c r="G738" s="3" t="s">
        <v>25</v>
      </c>
      <c r="H738" s="3" t="s">
        <v>19</v>
      </c>
      <c r="I738" s="3">
        <v>47588</v>
      </c>
      <c r="J738" s="3">
        <v>3</v>
      </c>
      <c r="K738" s="3">
        <v>1</v>
      </c>
      <c r="L738" s="3">
        <v>2</v>
      </c>
      <c r="M738" s="3">
        <v>4</v>
      </c>
      <c r="N738" s="3" t="s">
        <v>14</v>
      </c>
      <c r="O738" s="3" t="s">
        <v>13</v>
      </c>
      <c r="P738" s="3">
        <v>3</v>
      </c>
      <c r="Q738" s="3">
        <v>6</v>
      </c>
      <c r="R738" s="4" t="s">
        <v>14</v>
      </c>
      <c r="S738" s="4" t="s">
        <v>14</v>
      </c>
      <c r="T738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739" spans="1:20" ht="18" x14ac:dyDescent="0.35">
      <c r="A739" s="3" t="s">
        <v>782</v>
      </c>
      <c r="B739" s="3" t="str">
        <f>IF(Table1[[#This Row],[Age]]&lt;25,"Under 25",IF(Table1[[#This Row],[Age]]&lt;35,"25-34",IF(Table1[[#This Row],[Age]]&lt;45,"35-44",IF(Table1[[#This Row],[Age]]&lt;55,"45-54","55+"))))</f>
        <v>35-44</v>
      </c>
      <c r="C739" s="3">
        <v>42</v>
      </c>
      <c r="D739" s="3" t="s">
        <v>22</v>
      </c>
      <c r="E739" s="3" t="s">
        <v>8</v>
      </c>
      <c r="F739" s="3" t="s">
        <v>23</v>
      </c>
      <c r="G739" s="3" t="s">
        <v>25</v>
      </c>
      <c r="H739" s="3" t="s">
        <v>11</v>
      </c>
      <c r="I739" s="3">
        <v>87785</v>
      </c>
      <c r="J739" s="3">
        <v>0</v>
      </c>
      <c r="K739" s="3">
        <v>0</v>
      </c>
      <c r="L739" s="3">
        <v>3</v>
      </c>
      <c r="M739" s="3">
        <v>3</v>
      </c>
      <c r="N739" s="3" t="s">
        <v>14</v>
      </c>
      <c r="O739" s="3" t="s">
        <v>20</v>
      </c>
      <c r="P739" s="3">
        <v>3</v>
      </c>
      <c r="Q739" s="3">
        <v>3</v>
      </c>
      <c r="R739" s="4" t="s">
        <v>14</v>
      </c>
      <c r="S739" s="4" t="s">
        <v>14</v>
      </c>
      <c r="T739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Less than 1 Year</v>
      </c>
    </row>
    <row r="740" spans="1:20" ht="18" x14ac:dyDescent="0.35">
      <c r="A740" s="3" t="s">
        <v>783</v>
      </c>
      <c r="B740" s="3" t="str">
        <f>IF(Table1[[#This Row],[Age]]&lt;25,"Under 25",IF(Table1[[#This Row],[Age]]&lt;35,"25-34",IF(Table1[[#This Row],[Age]]&lt;45,"35-44",IF(Table1[[#This Row],[Age]]&lt;55,"45-54","55+"))))</f>
        <v>35-44</v>
      </c>
      <c r="C740" s="3">
        <v>37</v>
      </c>
      <c r="D740" s="3" t="s">
        <v>7</v>
      </c>
      <c r="E740" s="3" t="s">
        <v>8</v>
      </c>
      <c r="F740" s="3" t="s">
        <v>9</v>
      </c>
      <c r="G740" s="3" t="s">
        <v>10</v>
      </c>
      <c r="H740" s="3" t="s">
        <v>11</v>
      </c>
      <c r="I740" s="3">
        <v>90396</v>
      </c>
      <c r="J740" s="3">
        <v>7</v>
      </c>
      <c r="K740" s="3">
        <v>4</v>
      </c>
      <c r="L740" s="3">
        <v>2</v>
      </c>
      <c r="M740" s="3">
        <v>1</v>
      </c>
      <c r="N740" s="3" t="s">
        <v>14</v>
      </c>
      <c r="O740" s="3" t="s">
        <v>20</v>
      </c>
      <c r="P740" s="3">
        <v>4</v>
      </c>
      <c r="Q740" s="3">
        <v>0</v>
      </c>
      <c r="R740" s="4" t="s">
        <v>14</v>
      </c>
      <c r="S740" s="4" t="s">
        <v>14</v>
      </c>
      <c r="T740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741" spans="1:20" ht="18" x14ac:dyDescent="0.35">
      <c r="A741" s="3" t="s">
        <v>784</v>
      </c>
      <c r="B741" s="3" t="str">
        <f>IF(Table1[[#This Row],[Age]]&lt;25,"Under 25",IF(Table1[[#This Row],[Age]]&lt;35,"25-34",IF(Table1[[#This Row],[Age]]&lt;45,"35-44",IF(Table1[[#This Row],[Age]]&lt;55,"45-54","55+"))))</f>
        <v>45-54</v>
      </c>
      <c r="C741" s="3">
        <v>48</v>
      </c>
      <c r="D741" s="3" t="s">
        <v>7</v>
      </c>
      <c r="E741" s="3" t="s">
        <v>16</v>
      </c>
      <c r="F741" s="3" t="s">
        <v>28</v>
      </c>
      <c r="G741" s="3" t="s">
        <v>10</v>
      </c>
      <c r="H741" s="3" t="s">
        <v>11</v>
      </c>
      <c r="I741" s="3">
        <v>89755</v>
      </c>
      <c r="J741" s="3">
        <v>18</v>
      </c>
      <c r="K741" s="3">
        <v>6</v>
      </c>
      <c r="L741" s="3">
        <v>3</v>
      </c>
      <c r="M741" s="3">
        <v>3</v>
      </c>
      <c r="N741" s="3" t="s">
        <v>12</v>
      </c>
      <c r="O741" s="3" t="s">
        <v>13</v>
      </c>
      <c r="P741" s="3">
        <v>4</v>
      </c>
      <c r="Q741" s="3">
        <v>1</v>
      </c>
      <c r="R741" s="4" t="s">
        <v>14</v>
      </c>
      <c r="S741" s="4" t="s">
        <v>12</v>
      </c>
      <c r="T741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742" spans="1:20" ht="18" x14ac:dyDescent="0.35">
      <c r="A742" s="3" t="s">
        <v>785</v>
      </c>
      <c r="B742" s="3" t="str">
        <f>IF(Table1[[#This Row],[Age]]&lt;25,"Under 25",IF(Table1[[#This Row],[Age]]&lt;35,"25-34",IF(Table1[[#This Row],[Age]]&lt;45,"35-44",IF(Table1[[#This Row],[Age]]&lt;55,"45-54","55+"))))</f>
        <v>Under 25</v>
      </c>
      <c r="C742" s="3">
        <v>21</v>
      </c>
      <c r="D742" s="3" t="s">
        <v>22</v>
      </c>
      <c r="E742" s="3" t="s">
        <v>31</v>
      </c>
      <c r="F742" s="3" t="s">
        <v>32</v>
      </c>
      <c r="G742" s="3" t="s">
        <v>10</v>
      </c>
      <c r="H742" s="3" t="s">
        <v>42</v>
      </c>
      <c r="I742" s="3">
        <v>59426</v>
      </c>
      <c r="J742" s="3">
        <v>3</v>
      </c>
      <c r="K742" s="3">
        <v>1</v>
      </c>
      <c r="L742" s="3">
        <v>2</v>
      </c>
      <c r="M742" s="3">
        <v>2</v>
      </c>
      <c r="N742" s="3" t="s">
        <v>14</v>
      </c>
      <c r="O742" s="3" t="s">
        <v>13</v>
      </c>
      <c r="P742" s="3">
        <v>3</v>
      </c>
      <c r="Q742" s="3">
        <v>3</v>
      </c>
      <c r="R742" s="4" t="s">
        <v>14</v>
      </c>
      <c r="S742" s="4" t="s">
        <v>14</v>
      </c>
      <c r="T742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743" spans="1:20" ht="18" x14ac:dyDescent="0.35">
      <c r="A743" s="3" t="s">
        <v>786</v>
      </c>
      <c r="B743" s="3" t="str">
        <f>IF(Table1[[#This Row],[Age]]&lt;25,"Under 25",IF(Table1[[#This Row],[Age]]&lt;35,"25-34",IF(Table1[[#This Row],[Age]]&lt;45,"35-44",IF(Table1[[#This Row],[Age]]&lt;55,"45-54","55+"))))</f>
        <v>Under 25</v>
      </c>
      <c r="C743" s="3">
        <v>22</v>
      </c>
      <c r="D743" s="3" t="s">
        <v>22</v>
      </c>
      <c r="E743" s="3" t="s">
        <v>16</v>
      </c>
      <c r="F743" s="3" t="s">
        <v>47</v>
      </c>
      <c r="G743" s="3" t="s">
        <v>25</v>
      </c>
      <c r="H743" s="3" t="s">
        <v>19</v>
      </c>
      <c r="I743" s="3">
        <v>66536</v>
      </c>
      <c r="J743" s="3">
        <v>3</v>
      </c>
      <c r="K743" s="3">
        <v>3</v>
      </c>
      <c r="L743" s="3">
        <v>2</v>
      </c>
      <c r="M743" s="3">
        <v>2</v>
      </c>
      <c r="N743" s="3" t="s">
        <v>14</v>
      </c>
      <c r="O743" s="3" t="s">
        <v>20</v>
      </c>
      <c r="P743" s="3">
        <v>3</v>
      </c>
      <c r="Q743" s="3">
        <v>5</v>
      </c>
      <c r="R743" s="4" t="s">
        <v>12</v>
      </c>
      <c r="S743" s="4" t="s">
        <v>14</v>
      </c>
      <c r="T743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744" spans="1:20" ht="18" x14ac:dyDescent="0.35">
      <c r="A744" s="3" t="s">
        <v>787</v>
      </c>
      <c r="B744" s="3" t="str">
        <f>IF(Table1[[#This Row],[Age]]&lt;25,"Under 25",IF(Table1[[#This Row],[Age]]&lt;35,"25-34",IF(Table1[[#This Row],[Age]]&lt;45,"35-44",IF(Table1[[#This Row],[Age]]&lt;55,"45-54","55+"))))</f>
        <v>35-44</v>
      </c>
      <c r="C744" s="3">
        <v>35</v>
      </c>
      <c r="D744" s="3" t="s">
        <v>7</v>
      </c>
      <c r="E744" s="3" t="s">
        <v>34</v>
      </c>
      <c r="F744" s="3" t="s">
        <v>150</v>
      </c>
      <c r="G744" s="3" t="s">
        <v>18</v>
      </c>
      <c r="H744" s="3" t="s">
        <v>19</v>
      </c>
      <c r="I744" s="3">
        <v>89659</v>
      </c>
      <c r="J744" s="3">
        <v>1</v>
      </c>
      <c r="K744" s="3">
        <v>0</v>
      </c>
      <c r="L744" s="3">
        <v>3</v>
      </c>
      <c r="M744" s="3">
        <v>3</v>
      </c>
      <c r="N744" s="3" t="s">
        <v>14</v>
      </c>
      <c r="O744" s="3" t="s">
        <v>13</v>
      </c>
      <c r="P744" s="3">
        <v>3</v>
      </c>
      <c r="Q744" s="3">
        <v>6</v>
      </c>
      <c r="R744" s="4" t="s">
        <v>14</v>
      </c>
      <c r="S744" s="4" t="s">
        <v>14</v>
      </c>
      <c r="T744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745" spans="1:20" ht="18" x14ac:dyDescent="0.35">
      <c r="A745" s="3" t="s">
        <v>788</v>
      </c>
      <c r="B745" s="3" t="str">
        <f>IF(Table1[[#This Row],[Age]]&lt;25,"Under 25",IF(Table1[[#This Row],[Age]]&lt;35,"25-34",IF(Table1[[#This Row],[Age]]&lt;45,"35-44",IF(Table1[[#This Row],[Age]]&lt;55,"45-54","55+"))))</f>
        <v>Under 25</v>
      </c>
      <c r="C745" s="3">
        <v>24</v>
      </c>
      <c r="D745" s="3" t="s">
        <v>7</v>
      </c>
      <c r="E745" s="3" t="s">
        <v>16</v>
      </c>
      <c r="F745" s="3" t="s">
        <v>28</v>
      </c>
      <c r="G745" s="3" t="s">
        <v>25</v>
      </c>
      <c r="H745" s="3" t="s">
        <v>19</v>
      </c>
      <c r="I745" s="3">
        <v>76351</v>
      </c>
      <c r="J745" s="3">
        <v>6</v>
      </c>
      <c r="K745" s="3">
        <v>6</v>
      </c>
      <c r="L745" s="3">
        <v>2</v>
      </c>
      <c r="M745" s="3">
        <v>3</v>
      </c>
      <c r="N745" s="3" t="s">
        <v>14</v>
      </c>
      <c r="O745" s="3" t="s">
        <v>13</v>
      </c>
      <c r="P745" s="3">
        <v>4</v>
      </c>
      <c r="Q745" s="3">
        <v>3</v>
      </c>
      <c r="R745" s="4" t="s">
        <v>14</v>
      </c>
      <c r="S745" s="4" t="s">
        <v>14</v>
      </c>
      <c r="T745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746" spans="1:20" ht="18" x14ac:dyDescent="0.35">
      <c r="A746" s="3" t="s">
        <v>789</v>
      </c>
      <c r="B746" s="3" t="str">
        <f>IF(Table1[[#This Row],[Age]]&lt;25,"Under 25",IF(Table1[[#This Row],[Age]]&lt;35,"25-34",IF(Table1[[#This Row],[Age]]&lt;45,"35-44",IF(Table1[[#This Row],[Age]]&lt;55,"45-54","55+"))))</f>
        <v>35-44</v>
      </c>
      <c r="C746" s="3">
        <v>41</v>
      </c>
      <c r="D746" s="3" t="s">
        <v>7</v>
      </c>
      <c r="E746" s="3" t="s">
        <v>51</v>
      </c>
      <c r="F746" s="3" t="s">
        <v>52</v>
      </c>
      <c r="G746" s="3" t="s">
        <v>10</v>
      </c>
      <c r="H746" s="3" t="s">
        <v>11</v>
      </c>
      <c r="I746" s="3">
        <v>44655</v>
      </c>
      <c r="J746" s="3">
        <v>0</v>
      </c>
      <c r="K746" s="3">
        <v>0</v>
      </c>
      <c r="L746" s="3">
        <v>2</v>
      </c>
      <c r="M746" s="3">
        <v>4</v>
      </c>
      <c r="N746" s="3" t="s">
        <v>14</v>
      </c>
      <c r="O746" s="3" t="s">
        <v>13</v>
      </c>
      <c r="P746" s="3">
        <v>3</v>
      </c>
      <c r="Q746" s="3">
        <v>2</v>
      </c>
      <c r="R746" s="4" t="s">
        <v>14</v>
      </c>
      <c r="S746" s="4" t="s">
        <v>12</v>
      </c>
      <c r="T746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Less than 1 Year</v>
      </c>
    </row>
    <row r="747" spans="1:20" ht="18" x14ac:dyDescent="0.35">
      <c r="A747" s="3" t="s">
        <v>790</v>
      </c>
      <c r="B747" s="3" t="str">
        <f>IF(Table1[[#This Row],[Age]]&lt;25,"Under 25",IF(Table1[[#This Row],[Age]]&lt;35,"25-34",IF(Table1[[#This Row],[Age]]&lt;45,"35-44",IF(Table1[[#This Row],[Age]]&lt;55,"45-54","55+"))))</f>
        <v>45-54</v>
      </c>
      <c r="C747" s="3">
        <v>48</v>
      </c>
      <c r="D747" s="3" t="s">
        <v>7</v>
      </c>
      <c r="E747" s="3" t="s">
        <v>34</v>
      </c>
      <c r="F747" s="3" t="s">
        <v>91</v>
      </c>
      <c r="G747" s="3" t="s">
        <v>10</v>
      </c>
      <c r="H747" s="3" t="s">
        <v>19</v>
      </c>
      <c r="I747" s="3">
        <v>79761</v>
      </c>
      <c r="J747" s="3">
        <v>25</v>
      </c>
      <c r="K747" s="3">
        <v>12</v>
      </c>
      <c r="L747" s="3">
        <v>2</v>
      </c>
      <c r="M747" s="3">
        <v>3</v>
      </c>
      <c r="N747" s="3" t="s">
        <v>14</v>
      </c>
      <c r="O747" s="3" t="s">
        <v>13</v>
      </c>
      <c r="P747" s="3">
        <v>3</v>
      </c>
      <c r="Q747" s="3">
        <v>2</v>
      </c>
      <c r="R747" s="4" t="s">
        <v>14</v>
      </c>
      <c r="S747" s="4" t="s">
        <v>14</v>
      </c>
      <c r="T747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748" spans="1:20" ht="18" x14ac:dyDescent="0.35">
      <c r="A748" s="3" t="s">
        <v>791</v>
      </c>
      <c r="B748" s="3" t="str">
        <f>IF(Table1[[#This Row],[Age]]&lt;25,"Under 25",IF(Table1[[#This Row],[Age]]&lt;35,"25-34",IF(Table1[[#This Row],[Age]]&lt;45,"35-44",IF(Table1[[#This Row],[Age]]&lt;55,"45-54","55+"))))</f>
        <v>25-34</v>
      </c>
      <c r="C748" s="3">
        <v>30</v>
      </c>
      <c r="D748" s="3" t="s">
        <v>22</v>
      </c>
      <c r="E748" s="3" t="s">
        <v>34</v>
      </c>
      <c r="F748" s="3" t="s">
        <v>91</v>
      </c>
      <c r="G748" s="3" t="s">
        <v>10</v>
      </c>
      <c r="H748" s="3" t="s">
        <v>11</v>
      </c>
      <c r="I748" s="3">
        <v>93959</v>
      </c>
      <c r="J748" s="3">
        <v>8</v>
      </c>
      <c r="K748" s="3">
        <v>0</v>
      </c>
      <c r="L748" s="3">
        <v>3</v>
      </c>
      <c r="M748" s="3">
        <v>2</v>
      </c>
      <c r="N748" s="3" t="s">
        <v>12</v>
      </c>
      <c r="O748" s="3" t="s">
        <v>13</v>
      </c>
      <c r="P748" s="3">
        <v>3</v>
      </c>
      <c r="Q748" s="3">
        <v>0</v>
      </c>
      <c r="R748" s="4" t="s">
        <v>14</v>
      </c>
      <c r="S748" s="4" t="s">
        <v>14</v>
      </c>
      <c r="T748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749" spans="1:20" ht="18" x14ac:dyDescent="0.35">
      <c r="A749" s="3" t="s">
        <v>792</v>
      </c>
      <c r="B749" s="3" t="str">
        <f>IF(Table1[[#This Row],[Age]]&lt;25,"Under 25",IF(Table1[[#This Row],[Age]]&lt;35,"25-34",IF(Table1[[#This Row],[Age]]&lt;45,"35-44",IF(Table1[[#This Row],[Age]]&lt;55,"45-54","55+"))))</f>
        <v>35-44</v>
      </c>
      <c r="C749" s="3">
        <v>37</v>
      </c>
      <c r="D749" s="3" t="s">
        <v>7</v>
      </c>
      <c r="E749" s="3" t="s">
        <v>16</v>
      </c>
      <c r="F749" s="3" t="s">
        <v>28</v>
      </c>
      <c r="G749" s="3" t="s">
        <v>25</v>
      </c>
      <c r="H749" s="3" t="s">
        <v>11</v>
      </c>
      <c r="I749" s="3">
        <v>74746</v>
      </c>
      <c r="J749" s="3">
        <v>8</v>
      </c>
      <c r="K749" s="3">
        <v>4</v>
      </c>
      <c r="L749" s="3">
        <v>3</v>
      </c>
      <c r="M749" s="3">
        <v>3</v>
      </c>
      <c r="N749" s="3" t="s">
        <v>12</v>
      </c>
      <c r="O749" s="3" t="s">
        <v>20</v>
      </c>
      <c r="P749" s="3">
        <v>3</v>
      </c>
      <c r="Q749" s="3">
        <v>1</v>
      </c>
      <c r="R749" s="4" t="s">
        <v>14</v>
      </c>
      <c r="S749" s="4" t="s">
        <v>14</v>
      </c>
      <c r="T749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750" spans="1:20" ht="18" x14ac:dyDescent="0.35">
      <c r="A750" s="3" t="s">
        <v>793</v>
      </c>
      <c r="B750" s="3" t="str">
        <f>IF(Table1[[#This Row],[Age]]&lt;25,"Under 25",IF(Table1[[#This Row],[Age]]&lt;35,"25-34",IF(Table1[[#This Row],[Age]]&lt;45,"35-44",IF(Table1[[#This Row],[Age]]&lt;55,"45-54","55+"))))</f>
        <v>Under 25</v>
      </c>
      <c r="C750" s="3">
        <v>21</v>
      </c>
      <c r="D750" s="3" t="s">
        <v>7</v>
      </c>
      <c r="E750" s="3" t="s">
        <v>8</v>
      </c>
      <c r="F750" s="3" t="s">
        <v>23</v>
      </c>
      <c r="G750" s="3" t="s">
        <v>45</v>
      </c>
      <c r="H750" s="3" t="s">
        <v>11</v>
      </c>
      <c r="I750" s="3">
        <v>57918</v>
      </c>
      <c r="J750" s="3">
        <v>1</v>
      </c>
      <c r="K750" s="3">
        <v>0</v>
      </c>
      <c r="L750" s="3">
        <v>1</v>
      </c>
      <c r="M750" s="3">
        <v>1</v>
      </c>
      <c r="N750" s="3" t="s">
        <v>14</v>
      </c>
      <c r="O750" s="3" t="s">
        <v>20</v>
      </c>
      <c r="P750" s="3">
        <v>3</v>
      </c>
      <c r="Q750" s="3">
        <v>3</v>
      </c>
      <c r="R750" s="4" t="s">
        <v>12</v>
      </c>
      <c r="S750" s="4" t="s">
        <v>14</v>
      </c>
      <c r="T750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751" spans="1:20" ht="18" x14ac:dyDescent="0.35">
      <c r="A751" s="3" t="s">
        <v>794</v>
      </c>
      <c r="B751" s="3" t="str">
        <f>IF(Table1[[#This Row],[Age]]&lt;25,"Under 25",IF(Table1[[#This Row],[Age]]&lt;35,"25-34",IF(Table1[[#This Row],[Age]]&lt;45,"35-44",IF(Table1[[#This Row],[Age]]&lt;55,"45-54","55+"))))</f>
        <v>45-54</v>
      </c>
      <c r="C751" s="3">
        <v>48</v>
      </c>
      <c r="D751" s="3" t="s">
        <v>22</v>
      </c>
      <c r="E751" s="3" t="s">
        <v>16</v>
      </c>
      <c r="F751" s="3" t="s">
        <v>28</v>
      </c>
      <c r="G751" s="3" t="s">
        <v>25</v>
      </c>
      <c r="H751" s="3" t="s">
        <v>19</v>
      </c>
      <c r="I751" s="3">
        <v>61645</v>
      </c>
      <c r="J751" s="3">
        <v>5</v>
      </c>
      <c r="K751" s="3">
        <v>2</v>
      </c>
      <c r="L751" s="3">
        <v>1</v>
      </c>
      <c r="M751" s="3">
        <v>4</v>
      </c>
      <c r="N751" s="3" t="s">
        <v>12</v>
      </c>
      <c r="O751" s="3" t="s">
        <v>20</v>
      </c>
      <c r="P751" s="3">
        <v>4</v>
      </c>
      <c r="Q751" s="3">
        <v>6</v>
      </c>
      <c r="R751" s="4" t="s">
        <v>14</v>
      </c>
      <c r="S751" s="4" t="s">
        <v>14</v>
      </c>
      <c r="T751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752" spans="1:20" ht="18" x14ac:dyDescent="0.35">
      <c r="A752" s="3" t="s">
        <v>795</v>
      </c>
      <c r="B752" s="3" t="str">
        <f>IF(Table1[[#This Row],[Age]]&lt;25,"Under 25",IF(Table1[[#This Row],[Age]]&lt;35,"25-34",IF(Table1[[#This Row],[Age]]&lt;45,"35-44",IF(Table1[[#This Row],[Age]]&lt;55,"45-54","55+"))))</f>
        <v>35-44</v>
      </c>
      <c r="C752" s="3">
        <v>41</v>
      </c>
      <c r="D752" s="3" t="s">
        <v>7</v>
      </c>
      <c r="E752" s="3" t="s">
        <v>34</v>
      </c>
      <c r="F752" s="3" t="s">
        <v>91</v>
      </c>
      <c r="G752" s="3" t="s">
        <v>25</v>
      </c>
      <c r="H752" s="3" t="s">
        <v>19</v>
      </c>
      <c r="I752" s="3">
        <v>70460</v>
      </c>
      <c r="J752" s="3">
        <v>5</v>
      </c>
      <c r="K752" s="3">
        <v>0</v>
      </c>
      <c r="L752" s="3">
        <v>4</v>
      </c>
      <c r="M752" s="3">
        <v>2</v>
      </c>
      <c r="N752" s="3" t="s">
        <v>12</v>
      </c>
      <c r="O752" s="3" t="s">
        <v>26</v>
      </c>
      <c r="P752" s="3">
        <v>2</v>
      </c>
      <c r="Q752" s="3">
        <v>3</v>
      </c>
      <c r="R752" s="4" t="s">
        <v>14</v>
      </c>
      <c r="S752" s="4" t="s">
        <v>14</v>
      </c>
      <c r="T752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753" spans="1:20" ht="18" x14ac:dyDescent="0.35">
      <c r="A753" s="3" t="s">
        <v>796</v>
      </c>
      <c r="B753" s="3" t="str">
        <f>IF(Table1[[#This Row],[Age]]&lt;25,"Under 25",IF(Table1[[#This Row],[Age]]&lt;35,"25-34",IF(Table1[[#This Row],[Age]]&lt;45,"35-44",IF(Table1[[#This Row],[Age]]&lt;55,"45-54","55+"))))</f>
        <v>25-34</v>
      </c>
      <c r="C753" s="3">
        <v>32</v>
      </c>
      <c r="D753" s="3" t="s">
        <v>7</v>
      </c>
      <c r="E753" s="3" t="s">
        <v>16</v>
      </c>
      <c r="F753" s="3" t="s">
        <v>17</v>
      </c>
      <c r="G753" s="3" t="s">
        <v>25</v>
      </c>
      <c r="H753" s="3" t="s">
        <v>11</v>
      </c>
      <c r="I753" s="3">
        <v>83280</v>
      </c>
      <c r="J753" s="3">
        <v>9</v>
      </c>
      <c r="K753" s="3">
        <v>0</v>
      </c>
      <c r="L753" s="3">
        <v>4</v>
      </c>
      <c r="M753" s="3">
        <v>3</v>
      </c>
      <c r="N753" s="3" t="s">
        <v>14</v>
      </c>
      <c r="O753" s="3" t="s">
        <v>13</v>
      </c>
      <c r="P753" s="3">
        <v>3</v>
      </c>
      <c r="Q753" s="3">
        <v>6</v>
      </c>
      <c r="R753" s="4" t="s">
        <v>14</v>
      </c>
      <c r="S753" s="4" t="s">
        <v>14</v>
      </c>
      <c r="T753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754" spans="1:20" ht="18" x14ac:dyDescent="0.35">
      <c r="A754" s="3" t="s">
        <v>797</v>
      </c>
      <c r="B754" s="3" t="str">
        <f>IF(Table1[[#This Row],[Age]]&lt;25,"Under 25",IF(Table1[[#This Row],[Age]]&lt;35,"25-34",IF(Table1[[#This Row],[Age]]&lt;45,"35-44",IF(Table1[[#This Row],[Age]]&lt;55,"45-54","55+"))))</f>
        <v>25-34</v>
      </c>
      <c r="C754" s="3">
        <v>31</v>
      </c>
      <c r="D754" s="3" t="s">
        <v>7</v>
      </c>
      <c r="E754" s="3" t="s">
        <v>16</v>
      </c>
      <c r="F754" s="3" t="s">
        <v>28</v>
      </c>
      <c r="G754" s="3" t="s">
        <v>10</v>
      </c>
      <c r="H754" s="3" t="s">
        <v>11</v>
      </c>
      <c r="I754" s="3">
        <v>89288</v>
      </c>
      <c r="J754" s="3">
        <v>7</v>
      </c>
      <c r="K754" s="3">
        <v>1</v>
      </c>
      <c r="L754" s="3">
        <v>2</v>
      </c>
      <c r="M754" s="3">
        <v>2</v>
      </c>
      <c r="N754" s="3" t="s">
        <v>14</v>
      </c>
      <c r="O754" s="3" t="s">
        <v>20</v>
      </c>
      <c r="P754" s="3">
        <v>4</v>
      </c>
      <c r="Q754" s="3">
        <v>5</v>
      </c>
      <c r="R754" s="4" t="s">
        <v>14</v>
      </c>
      <c r="S754" s="4" t="s">
        <v>14</v>
      </c>
      <c r="T754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755" spans="1:20" ht="18" x14ac:dyDescent="0.35">
      <c r="A755" s="3" t="s">
        <v>798</v>
      </c>
      <c r="B755" s="3" t="str">
        <f>IF(Table1[[#This Row],[Age]]&lt;25,"Under 25",IF(Table1[[#This Row],[Age]]&lt;35,"25-34",IF(Table1[[#This Row],[Age]]&lt;45,"35-44",IF(Table1[[#This Row],[Age]]&lt;55,"45-54","55+"))))</f>
        <v>45-54</v>
      </c>
      <c r="C755" s="3">
        <v>50</v>
      </c>
      <c r="D755" s="3" t="s">
        <v>7</v>
      </c>
      <c r="E755" s="3" t="s">
        <v>34</v>
      </c>
      <c r="F755" s="3" t="s">
        <v>35</v>
      </c>
      <c r="G755" s="3" t="s">
        <v>25</v>
      </c>
      <c r="H755" s="3" t="s">
        <v>19</v>
      </c>
      <c r="I755" s="3">
        <v>80830</v>
      </c>
      <c r="J755" s="3">
        <v>24</v>
      </c>
      <c r="K755" s="3">
        <v>4</v>
      </c>
      <c r="L755" s="3">
        <v>3</v>
      </c>
      <c r="M755" s="3">
        <v>4</v>
      </c>
      <c r="N755" s="3" t="s">
        <v>14</v>
      </c>
      <c r="O755" s="3" t="s">
        <v>13</v>
      </c>
      <c r="P755" s="3">
        <v>4</v>
      </c>
      <c r="Q755" s="3">
        <v>2</v>
      </c>
      <c r="R755" s="4" t="s">
        <v>14</v>
      </c>
      <c r="S755" s="4" t="s">
        <v>14</v>
      </c>
      <c r="T755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756" spans="1:20" ht="18" x14ac:dyDescent="0.35">
      <c r="A756" s="3" t="s">
        <v>799</v>
      </c>
      <c r="B756" s="3" t="str">
        <f>IF(Table1[[#This Row],[Age]]&lt;25,"Under 25",IF(Table1[[#This Row],[Age]]&lt;35,"25-34",IF(Table1[[#This Row],[Age]]&lt;45,"35-44",IF(Table1[[#This Row],[Age]]&lt;55,"45-54","55+"))))</f>
        <v>35-44</v>
      </c>
      <c r="C756" s="3">
        <v>39</v>
      </c>
      <c r="D756" s="3" t="s">
        <v>7</v>
      </c>
      <c r="E756" s="3" t="s">
        <v>34</v>
      </c>
      <c r="F756" s="3" t="s">
        <v>35</v>
      </c>
      <c r="G756" s="3" t="s">
        <v>10</v>
      </c>
      <c r="H756" s="3" t="s">
        <v>11</v>
      </c>
      <c r="I756" s="3">
        <v>81506</v>
      </c>
      <c r="J756" s="3">
        <v>20</v>
      </c>
      <c r="K756" s="3">
        <v>6</v>
      </c>
      <c r="L756" s="3">
        <v>4</v>
      </c>
      <c r="M756" s="3">
        <v>4</v>
      </c>
      <c r="N756" s="3" t="s">
        <v>14</v>
      </c>
      <c r="O756" s="3" t="s">
        <v>13</v>
      </c>
      <c r="P756" s="3">
        <v>4</v>
      </c>
      <c r="Q756" s="3">
        <v>5</v>
      </c>
      <c r="R756" s="4" t="s">
        <v>14</v>
      </c>
      <c r="S756" s="4" t="s">
        <v>14</v>
      </c>
      <c r="T756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757" spans="1:20" ht="18" x14ac:dyDescent="0.35">
      <c r="A757" s="3" t="s">
        <v>800</v>
      </c>
      <c r="B757" s="3" t="str">
        <f>IF(Table1[[#This Row],[Age]]&lt;25,"Under 25",IF(Table1[[#This Row],[Age]]&lt;35,"25-34",IF(Table1[[#This Row],[Age]]&lt;45,"35-44",IF(Table1[[#This Row],[Age]]&lt;55,"45-54","55+"))))</f>
        <v>35-44</v>
      </c>
      <c r="C757" s="3">
        <v>36</v>
      </c>
      <c r="D757" s="3" t="s">
        <v>7</v>
      </c>
      <c r="E757" s="3" t="s">
        <v>16</v>
      </c>
      <c r="F757" s="3" t="s">
        <v>47</v>
      </c>
      <c r="G757" s="3" t="s">
        <v>25</v>
      </c>
      <c r="H757" s="3" t="s">
        <v>11</v>
      </c>
      <c r="I757" s="3">
        <v>87309</v>
      </c>
      <c r="J757" s="3">
        <v>10</v>
      </c>
      <c r="K757" s="3">
        <v>10</v>
      </c>
      <c r="L757" s="3">
        <v>3</v>
      </c>
      <c r="M757" s="3">
        <v>3</v>
      </c>
      <c r="N757" s="3" t="s">
        <v>12</v>
      </c>
      <c r="O757" s="3" t="s">
        <v>20</v>
      </c>
      <c r="P757" s="3">
        <v>3</v>
      </c>
      <c r="Q757" s="3">
        <v>2</v>
      </c>
      <c r="R757" s="4" t="s">
        <v>14</v>
      </c>
      <c r="S757" s="4" t="s">
        <v>14</v>
      </c>
      <c r="T757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758" spans="1:20" ht="18" x14ac:dyDescent="0.35">
      <c r="A758" s="3" t="s">
        <v>801</v>
      </c>
      <c r="B758" s="3" t="str">
        <f>IF(Table1[[#This Row],[Age]]&lt;25,"Under 25",IF(Table1[[#This Row],[Age]]&lt;35,"25-34",IF(Table1[[#This Row],[Age]]&lt;45,"35-44",IF(Table1[[#This Row],[Age]]&lt;55,"45-54","55+"))))</f>
        <v>25-34</v>
      </c>
      <c r="C758" s="3">
        <v>31</v>
      </c>
      <c r="D758" s="3" t="s">
        <v>7</v>
      </c>
      <c r="E758" s="3" t="s">
        <v>51</v>
      </c>
      <c r="F758" s="3" t="s">
        <v>52</v>
      </c>
      <c r="G758" s="3" t="s">
        <v>25</v>
      </c>
      <c r="H758" s="3" t="s">
        <v>19</v>
      </c>
      <c r="I758" s="3">
        <v>62310</v>
      </c>
      <c r="J758" s="3">
        <v>4</v>
      </c>
      <c r="K758" s="3">
        <v>1</v>
      </c>
      <c r="L758" s="3">
        <v>3</v>
      </c>
      <c r="M758" s="3">
        <v>2</v>
      </c>
      <c r="N758" s="3" t="s">
        <v>14</v>
      </c>
      <c r="O758" s="3" t="s">
        <v>20</v>
      </c>
      <c r="P758" s="3">
        <v>3</v>
      </c>
      <c r="Q758" s="3">
        <v>1</v>
      </c>
      <c r="R758" s="4" t="s">
        <v>14</v>
      </c>
      <c r="S758" s="4" t="s">
        <v>14</v>
      </c>
      <c r="T758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759" spans="1:20" ht="18" x14ac:dyDescent="0.35">
      <c r="A759" s="3" t="s">
        <v>802</v>
      </c>
      <c r="B759" s="3" t="str">
        <f>IF(Table1[[#This Row],[Age]]&lt;25,"Under 25",IF(Table1[[#This Row],[Age]]&lt;35,"25-34",IF(Table1[[#This Row],[Age]]&lt;45,"35-44",IF(Table1[[#This Row],[Age]]&lt;55,"45-54","55+"))))</f>
        <v>Under 25</v>
      </c>
      <c r="C759" s="3">
        <v>24</v>
      </c>
      <c r="D759" s="3" t="s">
        <v>7</v>
      </c>
      <c r="E759" s="3" t="s">
        <v>8</v>
      </c>
      <c r="F759" s="3" t="s">
        <v>23</v>
      </c>
      <c r="G759" s="3" t="s">
        <v>10</v>
      </c>
      <c r="H759" s="3" t="s">
        <v>11</v>
      </c>
      <c r="I759" s="3">
        <v>60039</v>
      </c>
      <c r="J759" s="3">
        <v>3</v>
      </c>
      <c r="K759" s="3">
        <v>1</v>
      </c>
      <c r="L759" s="3">
        <v>3</v>
      </c>
      <c r="M759" s="3">
        <v>4</v>
      </c>
      <c r="N759" s="3" t="s">
        <v>12</v>
      </c>
      <c r="O759" s="3" t="s">
        <v>26</v>
      </c>
      <c r="P759" s="3">
        <v>4</v>
      </c>
      <c r="Q759" s="3">
        <v>1</v>
      </c>
      <c r="R759" s="4" t="s">
        <v>14</v>
      </c>
      <c r="S759" s="4" t="s">
        <v>12</v>
      </c>
      <c r="T759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760" spans="1:20" ht="18" x14ac:dyDescent="0.35">
      <c r="A760" s="3" t="s">
        <v>803</v>
      </c>
      <c r="B760" s="3" t="str">
        <f>IF(Table1[[#This Row],[Age]]&lt;25,"Under 25",IF(Table1[[#This Row],[Age]]&lt;35,"25-34",IF(Table1[[#This Row],[Age]]&lt;45,"35-44",IF(Table1[[#This Row],[Age]]&lt;55,"45-54","55+"))))</f>
        <v>25-34</v>
      </c>
      <c r="C760" s="3">
        <v>25</v>
      </c>
      <c r="D760" s="3" t="s">
        <v>7</v>
      </c>
      <c r="E760" s="3" t="s">
        <v>34</v>
      </c>
      <c r="F760" s="3" t="s">
        <v>91</v>
      </c>
      <c r="G760" s="3" t="s">
        <v>45</v>
      </c>
      <c r="H760" s="3" t="s">
        <v>42</v>
      </c>
      <c r="I760" s="3">
        <v>52265</v>
      </c>
      <c r="J760" s="3">
        <v>7</v>
      </c>
      <c r="K760" s="3">
        <v>4</v>
      </c>
      <c r="L760" s="3">
        <v>2</v>
      </c>
      <c r="M760" s="3">
        <v>4</v>
      </c>
      <c r="N760" s="3" t="s">
        <v>14</v>
      </c>
      <c r="O760" s="3" t="s">
        <v>13</v>
      </c>
      <c r="P760" s="3">
        <v>3</v>
      </c>
      <c r="Q760" s="3">
        <v>5</v>
      </c>
      <c r="R760" s="4" t="s">
        <v>12</v>
      </c>
      <c r="S760" s="4" t="s">
        <v>14</v>
      </c>
      <c r="T760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761" spans="1:20" ht="18" x14ac:dyDescent="0.35">
      <c r="A761" s="3" t="s">
        <v>804</v>
      </c>
      <c r="B761" s="3" t="str">
        <f>IF(Table1[[#This Row],[Age]]&lt;25,"Under 25",IF(Table1[[#This Row],[Age]]&lt;35,"25-34",IF(Table1[[#This Row],[Age]]&lt;45,"35-44",IF(Table1[[#This Row],[Age]]&lt;55,"45-54","55+"))))</f>
        <v>35-44</v>
      </c>
      <c r="C761" s="3">
        <v>42</v>
      </c>
      <c r="D761" s="3" t="s">
        <v>7</v>
      </c>
      <c r="E761" s="3" t="s">
        <v>8</v>
      </c>
      <c r="F761" s="3" t="s">
        <v>9</v>
      </c>
      <c r="G761" s="3" t="s">
        <v>10</v>
      </c>
      <c r="H761" s="3" t="s">
        <v>11</v>
      </c>
      <c r="I761" s="3">
        <v>72671</v>
      </c>
      <c r="J761" s="3">
        <v>16</v>
      </c>
      <c r="K761" s="3">
        <v>9</v>
      </c>
      <c r="L761" s="3">
        <v>4</v>
      </c>
      <c r="M761" s="3">
        <v>3</v>
      </c>
      <c r="N761" s="3" t="s">
        <v>12</v>
      </c>
      <c r="O761" s="3" t="s">
        <v>13</v>
      </c>
      <c r="P761" s="3">
        <v>3</v>
      </c>
      <c r="Q761" s="3">
        <v>4</v>
      </c>
      <c r="R761" s="4" t="s">
        <v>14</v>
      </c>
      <c r="S761" s="4" t="s">
        <v>14</v>
      </c>
      <c r="T761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762" spans="1:20" ht="18" x14ac:dyDescent="0.35">
      <c r="A762" s="3" t="s">
        <v>805</v>
      </c>
      <c r="B762" s="3" t="str">
        <f>IF(Table1[[#This Row],[Age]]&lt;25,"Under 25",IF(Table1[[#This Row],[Age]]&lt;35,"25-34",IF(Table1[[#This Row],[Age]]&lt;45,"35-44",IF(Table1[[#This Row],[Age]]&lt;55,"45-54","55+"))))</f>
        <v>45-54</v>
      </c>
      <c r="C762" s="3">
        <v>46</v>
      </c>
      <c r="D762" s="3" t="s">
        <v>7</v>
      </c>
      <c r="E762" s="3" t="s">
        <v>31</v>
      </c>
      <c r="F762" s="3" t="s">
        <v>136</v>
      </c>
      <c r="G762" s="3" t="s">
        <v>18</v>
      </c>
      <c r="H762" s="3" t="s">
        <v>19</v>
      </c>
      <c r="I762" s="3">
        <v>87491</v>
      </c>
      <c r="J762" s="3">
        <v>14</v>
      </c>
      <c r="K762" s="3">
        <v>6</v>
      </c>
      <c r="L762" s="3">
        <v>3</v>
      </c>
      <c r="M762" s="3">
        <v>2</v>
      </c>
      <c r="N762" s="3" t="s">
        <v>14</v>
      </c>
      <c r="O762" s="3" t="s">
        <v>20</v>
      </c>
      <c r="P762" s="3">
        <v>4</v>
      </c>
      <c r="Q762" s="3">
        <v>6</v>
      </c>
      <c r="R762" s="4" t="s">
        <v>14</v>
      </c>
      <c r="S762" s="4" t="s">
        <v>14</v>
      </c>
      <c r="T762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763" spans="1:20" ht="18" x14ac:dyDescent="0.35">
      <c r="A763" s="3" t="s">
        <v>806</v>
      </c>
      <c r="B763" s="3" t="str">
        <f>IF(Table1[[#This Row],[Age]]&lt;25,"Under 25",IF(Table1[[#This Row],[Age]]&lt;35,"25-34",IF(Table1[[#This Row],[Age]]&lt;45,"35-44",IF(Table1[[#This Row],[Age]]&lt;55,"45-54","55+"))))</f>
        <v>25-34</v>
      </c>
      <c r="C763" s="3">
        <v>31</v>
      </c>
      <c r="D763" s="3" t="s">
        <v>7</v>
      </c>
      <c r="E763" s="3" t="s">
        <v>38</v>
      </c>
      <c r="F763" s="3" t="s">
        <v>39</v>
      </c>
      <c r="G763" s="3" t="s">
        <v>25</v>
      </c>
      <c r="H763" s="3" t="s">
        <v>19</v>
      </c>
      <c r="I763" s="3">
        <v>42242</v>
      </c>
      <c r="J763" s="3">
        <v>5</v>
      </c>
      <c r="K763" s="3">
        <v>1</v>
      </c>
      <c r="L763" s="3">
        <v>2</v>
      </c>
      <c r="M763" s="3">
        <v>2</v>
      </c>
      <c r="N763" s="3" t="s">
        <v>12</v>
      </c>
      <c r="O763" s="3" t="s">
        <v>26</v>
      </c>
      <c r="P763" s="3">
        <v>3</v>
      </c>
      <c r="Q763" s="3">
        <v>1</v>
      </c>
      <c r="R763" s="4" t="s">
        <v>14</v>
      </c>
      <c r="S763" s="4" t="s">
        <v>14</v>
      </c>
      <c r="T763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764" spans="1:20" ht="18" x14ac:dyDescent="0.35">
      <c r="A764" s="3" t="s">
        <v>807</v>
      </c>
      <c r="B764" s="3" t="str">
        <f>IF(Table1[[#This Row],[Age]]&lt;25,"Under 25",IF(Table1[[#This Row],[Age]]&lt;35,"25-34",IF(Table1[[#This Row],[Age]]&lt;45,"35-44",IF(Table1[[#This Row],[Age]]&lt;55,"45-54","55+"))))</f>
        <v>25-34</v>
      </c>
      <c r="C764" s="3">
        <v>30</v>
      </c>
      <c r="D764" s="3" t="s">
        <v>22</v>
      </c>
      <c r="E764" s="3" t="s">
        <v>38</v>
      </c>
      <c r="F764" s="3" t="s">
        <v>59</v>
      </c>
      <c r="G764" s="3" t="s">
        <v>10</v>
      </c>
      <c r="H764" s="3" t="s">
        <v>11</v>
      </c>
      <c r="I764" s="3">
        <v>112489</v>
      </c>
      <c r="J764" s="3">
        <v>5</v>
      </c>
      <c r="K764" s="3">
        <v>3</v>
      </c>
      <c r="L764" s="3">
        <v>1</v>
      </c>
      <c r="M764" s="3">
        <v>4</v>
      </c>
      <c r="N764" s="3" t="s">
        <v>14</v>
      </c>
      <c r="O764" s="3" t="s">
        <v>20</v>
      </c>
      <c r="P764" s="3">
        <v>3</v>
      </c>
      <c r="Q764" s="3">
        <v>2</v>
      </c>
      <c r="R764" s="4" t="s">
        <v>12</v>
      </c>
      <c r="S764" s="4" t="s">
        <v>14</v>
      </c>
      <c r="T764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765" spans="1:20" ht="18" x14ac:dyDescent="0.35">
      <c r="A765" s="3" t="s">
        <v>808</v>
      </c>
      <c r="B765" s="3" t="str">
        <f>IF(Table1[[#This Row],[Age]]&lt;25,"Under 25",IF(Table1[[#This Row],[Age]]&lt;35,"25-34",IF(Table1[[#This Row],[Age]]&lt;45,"35-44",IF(Table1[[#This Row],[Age]]&lt;55,"45-54","55+"))))</f>
        <v>25-34</v>
      </c>
      <c r="C765" s="3">
        <v>30</v>
      </c>
      <c r="D765" s="3" t="s">
        <v>7</v>
      </c>
      <c r="E765" s="3" t="s">
        <v>8</v>
      </c>
      <c r="F765" s="3" t="s">
        <v>66</v>
      </c>
      <c r="G765" s="3" t="s">
        <v>25</v>
      </c>
      <c r="H765" s="3" t="s">
        <v>19</v>
      </c>
      <c r="I765" s="3">
        <v>46306</v>
      </c>
      <c r="J765" s="3">
        <v>8</v>
      </c>
      <c r="K765" s="3">
        <v>6</v>
      </c>
      <c r="L765" s="3">
        <v>4</v>
      </c>
      <c r="M765" s="3">
        <v>3</v>
      </c>
      <c r="N765" s="3" t="s">
        <v>14</v>
      </c>
      <c r="O765" s="3" t="s">
        <v>20</v>
      </c>
      <c r="P765" s="3">
        <v>3</v>
      </c>
      <c r="Q765" s="3">
        <v>4</v>
      </c>
      <c r="R765" s="4" t="s">
        <v>14</v>
      </c>
      <c r="S765" s="4" t="s">
        <v>14</v>
      </c>
      <c r="T765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766" spans="1:20" ht="18" x14ac:dyDescent="0.35">
      <c r="A766" s="3" t="s">
        <v>809</v>
      </c>
      <c r="B766" s="3" t="str">
        <f>IF(Table1[[#This Row],[Age]]&lt;25,"Under 25",IF(Table1[[#This Row],[Age]]&lt;35,"25-34",IF(Table1[[#This Row],[Age]]&lt;45,"35-44",IF(Table1[[#This Row],[Age]]&lt;55,"45-54","55+"))))</f>
        <v>25-34</v>
      </c>
      <c r="C766" s="3">
        <v>29</v>
      </c>
      <c r="D766" s="3" t="s">
        <v>7</v>
      </c>
      <c r="E766" s="3" t="s">
        <v>8</v>
      </c>
      <c r="F766" s="3" t="s">
        <v>66</v>
      </c>
      <c r="G766" s="3" t="s">
        <v>25</v>
      </c>
      <c r="H766" s="3" t="s">
        <v>11</v>
      </c>
      <c r="I766" s="3">
        <v>54911</v>
      </c>
      <c r="J766" s="3">
        <v>0</v>
      </c>
      <c r="K766" s="3">
        <v>0</v>
      </c>
      <c r="L766" s="3">
        <v>3</v>
      </c>
      <c r="M766" s="3">
        <v>4</v>
      </c>
      <c r="N766" s="3" t="s">
        <v>14</v>
      </c>
      <c r="O766" s="3" t="s">
        <v>13</v>
      </c>
      <c r="P766" s="3">
        <v>3</v>
      </c>
      <c r="Q766" s="3">
        <v>6</v>
      </c>
      <c r="R766" s="4" t="s">
        <v>14</v>
      </c>
      <c r="S766" s="4" t="s">
        <v>14</v>
      </c>
      <c r="T766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Less than 1 Year</v>
      </c>
    </row>
    <row r="767" spans="1:20" ht="18" x14ac:dyDescent="0.35">
      <c r="A767" s="3" t="s">
        <v>810</v>
      </c>
      <c r="B767" s="3" t="str">
        <f>IF(Table1[[#This Row],[Age]]&lt;25,"Under 25",IF(Table1[[#This Row],[Age]]&lt;35,"25-34",IF(Table1[[#This Row],[Age]]&lt;45,"35-44",IF(Table1[[#This Row],[Age]]&lt;55,"45-54","55+"))))</f>
        <v>25-34</v>
      </c>
      <c r="C767" s="3">
        <v>32</v>
      </c>
      <c r="D767" s="3" t="s">
        <v>22</v>
      </c>
      <c r="E767" s="3" t="s">
        <v>34</v>
      </c>
      <c r="F767" s="3" t="s">
        <v>91</v>
      </c>
      <c r="G767" s="3" t="s">
        <v>10</v>
      </c>
      <c r="H767" s="3" t="s">
        <v>19</v>
      </c>
      <c r="I767" s="3">
        <v>80324</v>
      </c>
      <c r="J767" s="3">
        <v>5</v>
      </c>
      <c r="K767" s="3">
        <v>4</v>
      </c>
      <c r="L767" s="3">
        <v>3</v>
      </c>
      <c r="M767" s="3">
        <v>3</v>
      </c>
      <c r="N767" s="3" t="s">
        <v>14</v>
      </c>
      <c r="O767" s="3" t="s">
        <v>13</v>
      </c>
      <c r="P767" s="3">
        <v>3</v>
      </c>
      <c r="Q767" s="3">
        <v>0</v>
      </c>
      <c r="R767" s="4" t="s">
        <v>14</v>
      </c>
      <c r="S767" s="4" t="s">
        <v>14</v>
      </c>
      <c r="T767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768" spans="1:20" ht="18" x14ac:dyDescent="0.35">
      <c r="A768" s="3" t="s">
        <v>811</v>
      </c>
      <c r="B768" s="3" t="str">
        <f>IF(Table1[[#This Row],[Age]]&lt;25,"Under 25",IF(Table1[[#This Row],[Age]]&lt;35,"25-34",IF(Table1[[#This Row],[Age]]&lt;45,"35-44",IF(Table1[[#This Row],[Age]]&lt;55,"45-54","55+"))))</f>
        <v>35-44</v>
      </c>
      <c r="C768" s="3">
        <v>40</v>
      </c>
      <c r="D768" s="3" t="s">
        <v>7</v>
      </c>
      <c r="E768" s="3" t="s">
        <v>38</v>
      </c>
      <c r="F768" s="3" t="s">
        <v>89</v>
      </c>
      <c r="G768" s="3" t="s">
        <v>10</v>
      </c>
      <c r="H768" s="3" t="s">
        <v>42</v>
      </c>
      <c r="I768" s="3">
        <v>79709</v>
      </c>
      <c r="J768" s="3">
        <v>3</v>
      </c>
      <c r="K768" s="3">
        <v>1</v>
      </c>
      <c r="L768" s="3">
        <v>1</v>
      </c>
      <c r="M768" s="3">
        <v>4</v>
      </c>
      <c r="N768" s="3" t="s">
        <v>14</v>
      </c>
      <c r="O768" s="3" t="s">
        <v>13</v>
      </c>
      <c r="P768" s="3">
        <v>3</v>
      </c>
      <c r="Q768" s="3">
        <v>1</v>
      </c>
      <c r="R768" s="4" t="s">
        <v>14</v>
      </c>
      <c r="S768" s="4" t="s">
        <v>14</v>
      </c>
      <c r="T768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769" spans="1:20" ht="18" x14ac:dyDescent="0.35">
      <c r="A769" s="3" t="s">
        <v>812</v>
      </c>
      <c r="B769" s="3" t="str">
        <f>IF(Table1[[#This Row],[Age]]&lt;25,"Under 25",IF(Table1[[#This Row],[Age]]&lt;35,"25-34",IF(Table1[[#This Row],[Age]]&lt;45,"35-44",IF(Table1[[#This Row],[Age]]&lt;55,"45-54","55+"))))</f>
        <v>45-54</v>
      </c>
      <c r="C769" s="3">
        <v>47</v>
      </c>
      <c r="D769" s="3" t="s">
        <v>7</v>
      </c>
      <c r="E769" s="3" t="s">
        <v>31</v>
      </c>
      <c r="F769" s="3" t="s">
        <v>136</v>
      </c>
      <c r="G769" s="3" t="s">
        <v>18</v>
      </c>
      <c r="H769" s="3" t="s">
        <v>19</v>
      </c>
      <c r="I769" s="3">
        <v>44798</v>
      </c>
      <c r="J769" s="3">
        <v>4</v>
      </c>
      <c r="K769" s="3">
        <v>0</v>
      </c>
      <c r="L769" s="3">
        <v>1</v>
      </c>
      <c r="M769" s="3">
        <v>2</v>
      </c>
      <c r="N769" s="3" t="s">
        <v>14</v>
      </c>
      <c r="O769" s="3" t="s">
        <v>13</v>
      </c>
      <c r="P769" s="3">
        <v>2</v>
      </c>
      <c r="Q769" s="3">
        <v>2</v>
      </c>
      <c r="R769" s="4" t="s">
        <v>12</v>
      </c>
      <c r="S769" s="4" t="s">
        <v>14</v>
      </c>
      <c r="T769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770" spans="1:20" ht="18" x14ac:dyDescent="0.35">
      <c r="A770" s="3" t="s">
        <v>813</v>
      </c>
      <c r="B770" s="3" t="str">
        <f>IF(Table1[[#This Row],[Age]]&lt;25,"Under 25",IF(Table1[[#This Row],[Age]]&lt;35,"25-34",IF(Table1[[#This Row],[Age]]&lt;45,"35-44",IF(Table1[[#This Row],[Age]]&lt;55,"45-54","55+"))))</f>
        <v>35-44</v>
      </c>
      <c r="C770" s="3">
        <v>43</v>
      </c>
      <c r="D770" s="3" t="s">
        <v>7</v>
      </c>
      <c r="E770" s="3" t="s">
        <v>8</v>
      </c>
      <c r="F770" s="3" t="s">
        <v>66</v>
      </c>
      <c r="G770" s="3" t="s">
        <v>25</v>
      </c>
      <c r="H770" s="3" t="s">
        <v>19</v>
      </c>
      <c r="I770" s="3">
        <v>59293</v>
      </c>
      <c r="J770" s="3">
        <v>0</v>
      </c>
      <c r="K770" s="3">
        <v>0</v>
      </c>
      <c r="L770" s="3">
        <v>4</v>
      </c>
      <c r="M770" s="3">
        <v>2</v>
      </c>
      <c r="N770" s="3" t="s">
        <v>14</v>
      </c>
      <c r="O770" s="3" t="s">
        <v>13</v>
      </c>
      <c r="P770" s="3">
        <v>3</v>
      </c>
      <c r="Q770" s="3">
        <v>0</v>
      </c>
      <c r="R770" s="4" t="s">
        <v>14</v>
      </c>
      <c r="S770" s="4" t="s">
        <v>14</v>
      </c>
      <c r="T770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Less than 1 Year</v>
      </c>
    </row>
    <row r="771" spans="1:20" ht="18" x14ac:dyDescent="0.35">
      <c r="A771" s="3" t="s">
        <v>814</v>
      </c>
      <c r="B771" s="3" t="str">
        <f>IF(Table1[[#This Row],[Age]]&lt;25,"Under 25",IF(Table1[[#This Row],[Age]]&lt;35,"25-34",IF(Table1[[#This Row],[Age]]&lt;45,"35-44",IF(Table1[[#This Row],[Age]]&lt;55,"45-54","55+"))))</f>
        <v>Under 25</v>
      </c>
      <c r="C771" s="3">
        <v>21</v>
      </c>
      <c r="D771" s="3" t="s">
        <v>22</v>
      </c>
      <c r="E771" s="3" t="s">
        <v>38</v>
      </c>
      <c r="F771" s="3" t="s">
        <v>59</v>
      </c>
      <c r="G771" s="3" t="s">
        <v>25</v>
      </c>
      <c r="H771" s="3" t="s">
        <v>19</v>
      </c>
      <c r="I771" s="3">
        <v>73175</v>
      </c>
      <c r="J771" s="3">
        <v>1</v>
      </c>
      <c r="K771" s="3">
        <v>1</v>
      </c>
      <c r="L771" s="3">
        <v>3</v>
      </c>
      <c r="M771" s="3">
        <v>4</v>
      </c>
      <c r="N771" s="3" t="s">
        <v>12</v>
      </c>
      <c r="O771" s="3" t="s">
        <v>13</v>
      </c>
      <c r="P771" s="3">
        <v>3</v>
      </c>
      <c r="Q771" s="3">
        <v>5</v>
      </c>
      <c r="R771" s="4" t="s">
        <v>14</v>
      </c>
      <c r="S771" s="4" t="s">
        <v>14</v>
      </c>
      <c r="T771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772" spans="1:20" ht="18" x14ac:dyDescent="0.35">
      <c r="A772" s="3" t="s">
        <v>815</v>
      </c>
      <c r="B772" s="3" t="str">
        <f>IF(Table1[[#This Row],[Age]]&lt;25,"Under 25",IF(Table1[[#This Row],[Age]]&lt;35,"25-34",IF(Table1[[#This Row],[Age]]&lt;45,"35-44",IF(Table1[[#This Row],[Age]]&lt;55,"45-54","55+"))))</f>
        <v>45-54</v>
      </c>
      <c r="C772" s="3">
        <v>49</v>
      </c>
      <c r="D772" s="3" t="s">
        <v>22</v>
      </c>
      <c r="E772" s="3" t="s">
        <v>16</v>
      </c>
      <c r="F772" s="3" t="s">
        <v>17</v>
      </c>
      <c r="G772" s="3" t="s">
        <v>10</v>
      </c>
      <c r="H772" s="3" t="s">
        <v>11</v>
      </c>
      <c r="I772" s="3">
        <v>72493</v>
      </c>
      <c r="J772" s="3">
        <v>16</v>
      </c>
      <c r="K772" s="3">
        <v>6</v>
      </c>
      <c r="L772" s="3">
        <v>4</v>
      </c>
      <c r="M772" s="3">
        <v>3</v>
      </c>
      <c r="N772" s="3" t="s">
        <v>14</v>
      </c>
      <c r="O772" s="3" t="s">
        <v>13</v>
      </c>
      <c r="P772" s="3">
        <v>3</v>
      </c>
      <c r="Q772" s="3">
        <v>0</v>
      </c>
      <c r="R772" s="4" t="s">
        <v>12</v>
      </c>
      <c r="S772" s="4" t="s">
        <v>14</v>
      </c>
      <c r="T772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773" spans="1:20" ht="18" x14ac:dyDescent="0.35">
      <c r="A773" s="3" t="s">
        <v>816</v>
      </c>
      <c r="B773" s="3" t="str">
        <f>IF(Table1[[#This Row],[Age]]&lt;25,"Under 25",IF(Table1[[#This Row],[Age]]&lt;35,"25-34",IF(Table1[[#This Row],[Age]]&lt;45,"35-44",IF(Table1[[#This Row],[Age]]&lt;55,"45-54","55+"))))</f>
        <v>25-34</v>
      </c>
      <c r="C773" s="3">
        <v>30</v>
      </c>
      <c r="D773" s="3" t="s">
        <v>22</v>
      </c>
      <c r="E773" s="3" t="s">
        <v>16</v>
      </c>
      <c r="F773" s="3" t="s">
        <v>17</v>
      </c>
      <c r="G773" s="3" t="s">
        <v>10</v>
      </c>
      <c r="H773" s="3" t="s">
        <v>19</v>
      </c>
      <c r="I773" s="3">
        <v>108617</v>
      </c>
      <c r="J773" s="3">
        <v>6</v>
      </c>
      <c r="K773" s="3">
        <v>1</v>
      </c>
      <c r="L773" s="3">
        <v>3</v>
      </c>
      <c r="M773" s="3">
        <v>2</v>
      </c>
      <c r="N773" s="3" t="s">
        <v>14</v>
      </c>
      <c r="O773" s="3" t="s">
        <v>13</v>
      </c>
      <c r="P773" s="3">
        <v>2</v>
      </c>
      <c r="Q773" s="3">
        <v>2</v>
      </c>
      <c r="R773" s="4" t="s">
        <v>14</v>
      </c>
      <c r="S773" s="4" t="s">
        <v>14</v>
      </c>
      <c r="T773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774" spans="1:20" ht="18" x14ac:dyDescent="0.35">
      <c r="A774" s="3" t="s">
        <v>817</v>
      </c>
      <c r="B774" s="3" t="str">
        <f>IF(Table1[[#This Row],[Age]]&lt;25,"Under 25",IF(Table1[[#This Row],[Age]]&lt;35,"25-34",IF(Table1[[#This Row],[Age]]&lt;45,"35-44",IF(Table1[[#This Row],[Age]]&lt;55,"45-54","55+"))))</f>
        <v>35-44</v>
      </c>
      <c r="C774" s="3">
        <v>44</v>
      </c>
      <c r="D774" s="3" t="s">
        <v>7</v>
      </c>
      <c r="E774" s="3" t="s">
        <v>51</v>
      </c>
      <c r="F774" s="3" t="s">
        <v>80</v>
      </c>
      <c r="G774" s="3" t="s">
        <v>25</v>
      </c>
      <c r="H774" s="3" t="s">
        <v>19</v>
      </c>
      <c r="I774" s="3">
        <v>50895</v>
      </c>
      <c r="J774" s="3">
        <v>20</v>
      </c>
      <c r="K774" s="3">
        <v>4</v>
      </c>
      <c r="L774" s="3">
        <v>1</v>
      </c>
      <c r="M774" s="3">
        <v>4</v>
      </c>
      <c r="N774" s="3" t="s">
        <v>14</v>
      </c>
      <c r="O774" s="3" t="s">
        <v>13</v>
      </c>
      <c r="P774" s="3">
        <v>3</v>
      </c>
      <c r="Q774" s="3">
        <v>0</v>
      </c>
      <c r="R774" s="4" t="s">
        <v>14</v>
      </c>
      <c r="S774" s="4" t="s">
        <v>14</v>
      </c>
      <c r="T774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775" spans="1:20" ht="18" x14ac:dyDescent="0.35">
      <c r="A775" s="3" t="s">
        <v>818</v>
      </c>
      <c r="B775" s="3" t="str">
        <f>IF(Table1[[#This Row],[Age]]&lt;25,"Under 25",IF(Table1[[#This Row],[Age]]&lt;35,"25-34",IF(Table1[[#This Row],[Age]]&lt;45,"35-44",IF(Table1[[#This Row],[Age]]&lt;55,"45-54","55+"))))</f>
        <v>25-34</v>
      </c>
      <c r="C775" s="3">
        <v>33</v>
      </c>
      <c r="D775" s="3" t="s">
        <v>7</v>
      </c>
      <c r="E775" s="3" t="s">
        <v>34</v>
      </c>
      <c r="F775" s="3" t="s">
        <v>91</v>
      </c>
      <c r="G775" s="3" t="s">
        <v>10</v>
      </c>
      <c r="H775" s="3" t="s">
        <v>11</v>
      </c>
      <c r="I775" s="3">
        <v>50533</v>
      </c>
      <c r="J775" s="3">
        <v>13</v>
      </c>
      <c r="K775" s="3">
        <v>9</v>
      </c>
      <c r="L775" s="3">
        <v>4</v>
      </c>
      <c r="M775" s="3">
        <v>1</v>
      </c>
      <c r="N775" s="3" t="s">
        <v>12</v>
      </c>
      <c r="O775" s="3" t="s">
        <v>26</v>
      </c>
      <c r="P775" s="3">
        <v>3</v>
      </c>
      <c r="Q775" s="3">
        <v>3</v>
      </c>
      <c r="R775" s="4" t="s">
        <v>14</v>
      </c>
      <c r="S775" s="4" t="s">
        <v>14</v>
      </c>
      <c r="T775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776" spans="1:20" ht="18" x14ac:dyDescent="0.35">
      <c r="A776" s="3" t="s">
        <v>819</v>
      </c>
      <c r="B776" s="3" t="str">
        <f>IF(Table1[[#This Row],[Age]]&lt;25,"Under 25",IF(Table1[[#This Row],[Age]]&lt;35,"25-34",IF(Table1[[#This Row],[Age]]&lt;45,"35-44",IF(Table1[[#This Row],[Age]]&lt;55,"45-54","55+"))))</f>
        <v>25-34</v>
      </c>
      <c r="C776" s="3">
        <v>33</v>
      </c>
      <c r="D776" s="3" t="s">
        <v>22</v>
      </c>
      <c r="E776" s="3" t="s">
        <v>16</v>
      </c>
      <c r="F776" s="3" t="s">
        <v>28</v>
      </c>
      <c r="G776" s="3" t="s">
        <v>25</v>
      </c>
      <c r="H776" s="3" t="s">
        <v>11</v>
      </c>
      <c r="I776" s="3">
        <v>43789</v>
      </c>
      <c r="J776" s="3">
        <v>12</v>
      </c>
      <c r="K776" s="3">
        <v>4</v>
      </c>
      <c r="L776" s="3">
        <v>3</v>
      </c>
      <c r="M776" s="3">
        <v>2</v>
      </c>
      <c r="N776" s="3" t="s">
        <v>14</v>
      </c>
      <c r="O776" s="3" t="s">
        <v>13</v>
      </c>
      <c r="P776" s="3">
        <v>3</v>
      </c>
      <c r="Q776" s="3">
        <v>4</v>
      </c>
      <c r="R776" s="4" t="s">
        <v>14</v>
      </c>
      <c r="S776" s="4" t="s">
        <v>14</v>
      </c>
      <c r="T776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777" spans="1:20" ht="18" x14ac:dyDescent="0.35">
      <c r="A777" s="3" t="s">
        <v>820</v>
      </c>
      <c r="B777" s="3" t="str">
        <f>IF(Table1[[#This Row],[Age]]&lt;25,"Under 25",IF(Table1[[#This Row],[Age]]&lt;35,"25-34",IF(Table1[[#This Row],[Age]]&lt;45,"35-44",IF(Table1[[#This Row],[Age]]&lt;55,"45-54","55+"))))</f>
        <v>35-44</v>
      </c>
      <c r="C777" s="3">
        <v>39</v>
      </c>
      <c r="D777" s="3" t="s">
        <v>22</v>
      </c>
      <c r="E777" s="3" t="s">
        <v>16</v>
      </c>
      <c r="F777" s="3" t="s">
        <v>28</v>
      </c>
      <c r="G777" s="3" t="s">
        <v>10</v>
      </c>
      <c r="H777" s="3" t="s">
        <v>19</v>
      </c>
      <c r="I777" s="3">
        <v>109792</v>
      </c>
      <c r="J777" s="3">
        <v>19</v>
      </c>
      <c r="K777" s="3">
        <v>4</v>
      </c>
      <c r="L777" s="3">
        <v>2</v>
      </c>
      <c r="M777" s="3">
        <v>3</v>
      </c>
      <c r="N777" s="3" t="s">
        <v>12</v>
      </c>
      <c r="O777" s="3" t="s">
        <v>13</v>
      </c>
      <c r="P777" s="3">
        <v>3</v>
      </c>
      <c r="Q777" s="3">
        <v>5</v>
      </c>
      <c r="R777" s="4" t="s">
        <v>12</v>
      </c>
      <c r="S777" s="4" t="s">
        <v>14</v>
      </c>
      <c r="T777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778" spans="1:20" ht="18" x14ac:dyDescent="0.35">
      <c r="A778" s="3" t="s">
        <v>821</v>
      </c>
      <c r="B778" s="3" t="str">
        <f>IF(Table1[[#This Row],[Age]]&lt;25,"Under 25",IF(Table1[[#This Row],[Age]]&lt;35,"25-34",IF(Table1[[#This Row],[Age]]&lt;45,"35-44",IF(Table1[[#This Row],[Age]]&lt;55,"45-54","55+"))))</f>
        <v>35-44</v>
      </c>
      <c r="C778" s="3">
        <v>38</v>
      </c>
      <c r="D778" s="3" t="s">
        <v>22</v>
      </c>
      <c r="E778" s="3" t="s">
        <v>16</v>
      </c>
      <c r="F778" s="3" t="s">
        <v>28</v>
      </c>
      <c r="G778" s="3" t="s">
        <v>25</v>
      </c>
      <c r="H778" s="3" t="s">
        <v>19</v>
      </c>
      <c r="I778" s="3">
        <v>46132</v>
      </c>
      <c r="J778" s="3">
        <v>6</v>
      </c>
      <c r="K778" s="3">
        <v>1</v>
      </c>
      <c r="L778" s="3">
        <v>1</v>
      </c>
      <c r="M778" s="3">
        <v>3</v>
      </c>
      <c r="N778" s="3" t="s">
        <v>14</v>
      </c>
      <c r="O778" s="3" t="s">
        <v>13</v>
      </c>
      <c r="P778" s="3">
        <v>3</v>
      </c>
      <c r="Q778" s="3">
        <v>6</v>
      </c>
      <c r="R778" s="4" t="s">
        <v>14</v>
      </c>
      <c r="S778" s="4" t="s">
        <v>12</v>
      </c>
      <c r="T778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779" spans="1:20" ht="18" x14ac:dyDescent="0.35">
      <c r="A779" s="3" t="s">
        <v>822</v>
      </c>
      <c r="B779" s="3" t="str">
        <f>IF(Table1[[#This Row],[Age]]&lt;25,"Under 25",IF(Table1[[#This Row],[Age]]&lt;35,"25-34",IF(Table1[[#This Row],[Age]]&lt;45,"35-44",IF(Table1[[#This Row],[Age]]&lt;55,"45-54","55+"))))</f>
        <v>35-44</v>
      </c>
      <c r="C779" s="3">
        <v>41</v>
      </c>
      <c r="D779" s="3" t="s">
        <v>7</v>
      </c>
      <c r="E779" s="3" t="s">
        <v>38</v>
      </c>
      <c r="F779" s="3" t="s">
        <v>89</v>
      </c>
      <c r="G779" s="3" t="s">
        <v>10</v>
      </c>
      <c r="H779" s="3" t="s">
        <v>11</v>
      </c>
      <c r="I779" s="3">
        <v>96324</v>
      </c>
      <c r="J779" s="3">
        <v>8</v>
      </c>
      <c r="K779" s="3">
        <v>8</v>
      </c>
      <c r="L779" s="3">
        <v>3</v>
      </c>
      <c r="M779" s="3">
        <v>2</v>
      </c>
      <c r="N779" s="3" t="s">
        <v>12</v>
      </c>
      <c r="O779" s="3" t="s">
        <v>13</v>
      </c>
      <c r="P779" s="3">
        <v>3</v>
      </c>
      <c r="Q779" s="3">
        <v>4</v>
      </c>
      <c r="R779" s="4" t="s">
        <v>14</v>
      </c>
      <c r="S779" s="4" t="s">
        <v>14</v>
      </c>
      <c r="T779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780" spans="1:20" ht="18" x14ac:dyDescent="0.35">
      <c r="A780" s="3" t="s">
        <v>823</v>
      </c>
      <c r="B780" s="3" t="str">
        <f>IF(Table1[[#This Row],[Age]]&lt;25,"Under 25",IF(Table1[[#This Row],[Age]]&lt;35,"25-34",IF(Table1[[#This Row],[Age]]&lt;45,"35-44",IF(Table1[[#This Row],[Age]]&lt;55,"45-54","55+"))))</f>
        <v>35-44</v>
      </c>
      <c r="C780" s="3">
        <v>35</v>
      </c>
      <c r="D780" s="3" t="s">
        <v>7</v>
      </c>
      <c r="E780" s="3" t="s">
        <v>8</v>
      </c>
      <c r="F780" s="3" t="s">
        <v>66</v>
      </c>
      <c r="G780" s="3" t="s">
        <v>25</v>
      </c>
      <c r="H780" s="3" t="s">
        <v>11</v>
      </c>
      <c r="I780" s="3">
        <v>71867</v>
      </c>
      <c r="J780" s="3">
        <v>11</v>
      </c>
      <c r="K780" s="3">
        <v>5</v>
      </c>
      <c r="L780" s="3">
        <v>4</v>
      </c>
      <c r="M780" s="3">
        <v>4</v>
      </c>
      <c r="N780" s="3" t="s">
        <v>14</v>
      </c>
      <c r="O780" s="3" t="s">
        <v>13</v>
      </c>
      <c r="P780" s="3">
        <v>4</v>
      </c>
      <c r="Q780" s="3">
        <v>6</v>
      </c>
      <c r="R780" s="4" t="s">
        <v>12</v>
      </c>
      <c r="S780" s="4" t="s">
        <v>14</v>
      </c>
      <c r="T780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781" spans="1:20" ht="18" x14ac:dyDescent="0.35">
      <c r="A781" s="3" t="s">
        <v>824</v>
      </c>
      <c r="B781" s="3" t="str">
        <f>IF(Table1[[#This Row],[Age]]&lt;25,"Under 25",IF(Table1[[#This Row],[Age]]&lt;35,"25-34",IF(Table1[[#This Row],[Age]]&lt;45,"35-44",IF(Table1[[#This Row],[Age]]&lt;55,"45-54","55+"))))</f>
        <v>35-44</v>
      </c>
      <c r="C781" s="3">
        <v>43</v>
      </c>
      <c r="D781" s="3" t="s">
        <v>7</v>
      </c>
      <c r="E781" s="3" t="s">
        <v>16</v>
      </c>
      <c r="F781" s="3" t="s">
        <v>17</v>
      </c>
      <c r="G781" s="3" t="s">
        <v>25</v>
      </c>
      <c r="H781" s="3" t="s">
        <v>11</v>
      </c>
      <c r="I781" s="3">
        <v>104043</v>
      </c>
      <c r="J781" s="3">
        <v>24</v>
      </c>
      <c r="K781" s="3">
        <v>2</v>
      </c>
      <c r="L781" s="3">
        <v>1</v>
      </c>
      <c r="M781" s="3">
        <v>3</v>
      </c>
      <c r="N781" s="3" t="s">
        <v>14</v>
      </c>
      <c r="O781" s="3" t="s">
        <v>13</v>
      </c>
      <c r="P781" s="3">
        <v>3</v>
      </c>
      <c r="Q781" s="3">
        <v>6</v>
      </c>
      <c r="R781" s="4" t="s">
        <v>14</v>
      </c>
      <c r="S781" s="4" t="s">
        <v>14</v>
      </c>
      <c r="T781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782" spans="1:20" ht="18" x14ac:dyDescent="0.35">
      <c r="A782" s="3" t="s">
        <v>825</v>
      </c>
      <c r="B782" s="3" t="str">
        <f>IF(Table1[[#This Row],[Age]]&lt;25,"Under 25",IF(Table1[[#This Row],[Age]]&lt;35,"25-34",IF(Table1[[#This Row],[Age]]&lt;45,"35-44",IF(Table1[[#This Row],[Age]]&lt;55,"45-54","55+"))))</f>
        <v>45-54</v>
      </c>
      <c r="C782" s="3">
        <v>51</v>
      </c>
      <c r="D782" s="3" t="s">
        <v>7</v>
      </c>
      <c r="E782" s="3" t="s">
        <v>16</v>
      </c>
      <c r="F782" s="3" t="s">
        <v>17</v>
      </c>
      <c r="G782" s="3" t="s">
        <v>25</v>
      </c>
      <c r="H782" s="3" t="s">
        <v>19</v>
      </c>
      <c r="I782" s="3">
        <v>72601</v>
      </c>
      <c r="J782" s="3">
        <v>21</v>
      </c>
      <c r="K782" s="3">
        <v>11</v>
      </c>
      <c r="L782" s="3">
        <v>3</v>
      </c>
      <c r="M782" s="3">
        <v>3</v>
      </c>
      <c r="N782" s="3" t="s">
        <v>14</v>
      </c>
      <c r="O782" s="3" t="s">
        <v>26</v>
      </c>
      <c r="P782" s="3">
        <v>3</v>
      </c>
      <c r="Q782" s="3">
        <v>4</v>
      </c>
      <c r="R782" s="4" t="s">
        <v>14</v>
      </c>
      <c r="S782" s="4" t="s">
        <v>14</v>
      </c>
      <c r="T782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783" spans="1:20" ht="18" x14ac:dyDescent="0.35">
      <c r="A783" s="3" t="s">
        <v>826</v>
      </c>
      <c r="B783" s="3" t="str">
        <f>IF(Table1[[#This Row],[Age]]&lt;25,"Under 25",IF(Table1[[#This Row],[Age]]&lt;35,"25-34",IF(Table1[[#This Row],[Age]]&lt;45,"35-44",IF(Table1[[#This Row],[Age]]&lt;55,"45-54","55+"))))</f>
        <v>25-34</v>
      </c>
      <c r="C783" s="3">
        <v>31</v>
      </c>
      <c r="D783" s="3" t="s">
        <v>22</v>
      </c>
      <c r="E783" s="3" t="s">
        <v>34</v>
      </c>
      <c r="F783" s="3" t="s">
        <v>91</v>
      </c>
      <c r="G783" s="3" t="s">
        <v>25</v>
      </c>
      <c r="H783" s="3" t="s">
        <v>19</v>
      </c>
      <c r="I783" s="3">
        <v>71165</v>
      </c>
      <c r="J783" s="3">
        <v>3</v>
      </c>
      <c r="K783" s="3">
        <v>2</v>
      </c>
      <c r="L783" s="3">
        <v>3</v>
      </c>
      <c r="M783" s="3">
        <v>1</v>
      </c>
      <c r="N783" s="3" t="s">
        <v>14</v>
      </c>
      <c r="O783" s="3" t="s">
        <v>20</v>
      </c>
      <c r="P783" s="3">
        <v>2</v>
      </c>
      <c r="Q783" s="3">
        <v>4</v>
      </c>
      <c r="R783" s="4" t="s">
        <v>12</v>
      </c>
      <c r="S783" s="4" t="s">
        <v>14</v>
      </c>
      <c r="T783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784" spans="1:20" ht="18" x14ac:dyDescent="0.35">
      <c r="A784" s="3" t="s">
        <v>827</v>
      </c>
      <c r="B784" s="3" t="str">
        <f>IF(Table1[[#This Row],[Age]]&lt;25,"Under 25",IF(Table1[[#This Row],[Age]]&lt;35,"25-34",IF(Table1[[#This Row],[Age]]&lt;45,"35-44",IF(Table1[[#This Row],[Age]]&lt;55,"45-54","55+"))))</f>
        <v>35-44</v>
      </c>
      <c r="C784" s="3">
        <v>44</v>
      </c>
      <c r="D784" s="3" t="s">
        <v>22</v>
      </c>
      <c r="E784" s="3" t="s">
        <v>31</v>
      </c>
      <c r="F784" s="3" t="s">
        <v>74</v>
      </c>
      <c r="G784" s="3" t="s">
        <v>10</v>
      </c>
      <c r="H784" s="3" t="s">
        <v>19</v>
      </c>
      <c r="I784" s="3">
        <v>98274</v>
      </c>
      <c r="J784" s="3">
        <v>23</v>
      </c>
      <c r="K784" s="3">
        <v>10</v>
      </c>
      <c r="L784" s="3">
        <v>3</v>
      </c>
      <c r="M784" s="3">
        <v>4</v>
      </c>
      <c r="N784" s="3" t="s">
        <v>14</v>
      </c>
      <c r="O784" s="3" t="s">
        <v>13</v>
      </c>
      <c r="P784" s="3">
        <v>4</v>
      </c>
      <c r="Q784" s="3">
        <v>0</v>
      </c>
      <c r="R784" s="4" t="s">
        <v>14</v>
      </c>
      <c r="S784" s="4" t="s">
        <v>14</v>
      </c>
      <c r="T784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785" spans="1:20" ht="18" x14ac:dyDescent="0.35">
      <c r="A785" s="3" t="s">
        <v>828</v>
      </c>
      <c r="B785" s="3" t="str">
        <f>IF(Table1[[#This Row],[Age]]&lt;25,"Under 25",IF(Table1[[#This Row],[Age]]&lt;35,"25-34",IF(Table1[[#This Row],[Age]]&lt;45,"35-44",IF(Table1[[#This Row],[Age]]&lt;55,"45-54","55+"))))</f>
        <v>25-34</v>
      </c>
      <c r="C785" s="3">
        <v>34</v>
      </c>
      <c r="D785" s="3" t="s">
        <v>7</v>
      </c>
      <c r="E785" s="3" t="s">
        <v>31</v>
      </c>
      <c r="F785" s="3" t="s">
        <v>74</v>
      </c>
      <c r="G785" s="3" t="s">
        <v>25</v>
      </c>
      <c r="H785" s="3" t="s">
        <v>19</v>
      </c>
      <c r="I785" s="3">
        <v>46133</v>
      </c>
      <c r="J785" s="3">
        <v>4</v>
      </c>
      <c r="K785" s="3">
        <v>4</v>
      </c>
      <c r="L785" s="3">
        <v>1</v>
      </c>
      <c r="M785" s="3">
        <v>4</v>
      </c>
      <c r="N785" s="3" t="s">
        <v>14</v>
      </c>
      <c r="O785" s="3" t="s">
        <v>13</v>
      </c>
      <c r="P785" s="3">
        <v>3</v>
      </c>
      <c r="Q785" s="3">
        <v>2</v>
      </c>
      <c r="R785" s="4" t="s">
        <v>14</v>
      </c>
      <c r="S785" s="4" t="s">
        <v>14</v>
      </c>
      <c r="T785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786" spans="1:20" ht="18" x14ac:dyDescent="0.35">
      <c r="A786" s="3" t="s">
        <v>829</v>
      </c>
      <c r="B786" s="3" t="str">
        <f>IF(Table1[[#This Row],[Age]]&lt;25,"Under 25",IF(Table1[[#This Row],[Age]]&lt;35,"25-34",IF(Table1[[#This Row],[Age]]&lt;45,"35-44",IF(Table1[[#This Row],[Age]]&lt;55,"45-54","55+"))))</f>
        <v>25-34</v>
      </c>
      <c r="C786" s="3">
        <v>28</v>
      </c>
      <c r="D786" s="3" t="s">
        <v>22</v>
      </c>
      <c r="E786" s="3" t="s">
        <v>34</v>
      </c>
      <c r="F786" s="3" t="s">
        <v>150</v>
      </c>
      <c r="G786" s="3" t="s">
        <v>18</v>
      </c>
      <c r="H786" s="3" t="s">
        <v>42</v>
      </c>
      <c r="I786" s="3">
        <v>75288</v>
      </c>
      <c r="J786" s="3">
        <v>1</v>
      </c>
      <c r="K786" s="3">
        <v>1</v>
      </c>
      <c r="L786" s="3">
        <v>2</v>
      </c>
      <c r="M786" s="3">
        <v>3</v>
      </c>
      <c r="N786" s="3" t="s">
        <v>14</v>
      </c>
      <c r="O786" s="3" t="s">
        <v>13</v>
      </c>
      <c r="P786" s="3">
        <v>4</v>
      </c>
      <c r="Q786" s="3">
        <v>1</v>
      </c>
      <c r="R786" s="4" t="s">
        <v>14</v>
      </c>
      <c r="S786" s="4" t="s">
        <v>14</v>
      </c>
      <c r="T786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787" spans="1:20" ht="18" x14ac:dyDescent="0.35">
      <c r="A787" s="3" t="s">
        <v>830</v>
      </c>
      <c r="B787" s="3" t="str">
        <f>IF(Table1[[#This Row],[Age]]&lt;25,"Under 25",IF(Table1[[#This Row],[Age]]&lt;35,"25-34",IF(Table1[[#This Row],[Age]]&lt;45,"35-44",IF(Table1[[#This Row],[Age]]&lt;55,"45-54","55+"))))</f>
        <v>25-34</v>
      </c>
      <c r="C787" s="3">
        <v>32</v>
      </c>
      <c r="D787" s="3" t="s">
        <v>22</v>
      </c>
      <c r="E787" s="3" t="s">
        <v>8</v>
      </c>
      <c r="F787" s="3" t="s">
        <v>23</v>
      </c>
      <c r="G787" s="3" t="s">
        <v>10</v>
      </c>
      <c r="H787" s="3" t="s">
        <v>11</v>
      </c>
      <c r="I787" s="3">
        <v>74445</v>
      </c>
      <c r="J787" s="3">
        <v>11</v>
      </c>
      <c r="K787" s="3">
        <v>1</v>
      </c>
      <c r="L787" s="3">
        <v>3</v>
      </c>
      <c r="M787" s="3">
        <v>3</v>
      </c>
      <c r="N787" s="3" t="s">
        <v>14</v>
      </c>
      <c r="O787" s="3" t="s">
        <v>13</v>
      </c>
      <c r="P787" s="3">
        <v>3</v>
      </c>
      <c r="Q787" s="3">
        <v>0</v>
      </c>
      <c r="R787" s="4" t="s">
        <v>12</v>
      </c>
      <c r="S787" s="4" t="s">
        <v>14</v>
      </c>
      <c r="T787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788" spans="1:20" ht="18" x14ac:dyDescent="0.35">
      <c r="A788" s="3" t="s">
        <v>831</v>
      </c>
      <c r="B788" s="3" t="str">
        <f>IF(Table1[[#This Row],[Age]]&lt;25,"Under 25",IF(Table1[[#This Row],[Age]]&lt;35,"25-34",IF(Table1[[#This Row],[Age]]&lt;45,"35-44",IF(Table1[[#This Row],[Age]]&lt;55,"45-54","55+"))))</f>
        <v>35-44</v>
      </c>
      <c r="C788" s="3">
        <v>35</v>
      </c>
      <c r="D788" s="3" t="s">
        <v>22</v>
      </c>
      <c r="E788" s="3" t="s">
        <v>38</v>
      </c>
      <c r="F788" s="3" t="s">
        <v>39</v>
      </c>
      <c r="G788" s="3" t="s">
        <v>18</v>
      </c>
      <c r="H788" s="3" t="s">
        <v>19</v>
      </c>
      <c r="I788" s="3">
        <v>38530</v>
      </c>
      <c r="J788" s="3">
        <v>13</v>
      </c>
      <c r="K788" s="3">
        <v>8</v>
      </c>
      <c r="L788" s="3">
        <v>4</v>
      </c>
      <c r="M788" s="3">
        <v>3</v>
      </c>
      <c r="N788" s="3" t="s">
        <v>14</v>
      </c>
      <c r="O788" s="3" t="s">
        <v>13</v>
      </c>
      <c r="P788" s="3">
        <v>3</v>
      </c>
      <c r="Q788" s="3">
        <v>3</v>
      </c>
      <c r="R788" s="4" t="s">
        <v>12</v>
      </c>
      <c r="S788" s="4" t="s">
        <v>14</v>
      </c>
      <c r="T788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789" spans="1:20" ht="18" x14ac:dyDescent="0.35">
      <c r="A789" s="3" t="s">
        <v>832</v>
      </c>
      <c r="B789" s="3" t="str">
        <f>IF(Table1[[#This Row],[Age]]&lt;25,"Under 25",IF(Table1[[#This Row],[Age]]&lt;35,"25-34",IF(Table1[[#This Row],[Age]]&lt;45,"35-44",IF(Table1[[#This Row],[Age]]&lt;55,"45-54","55+"))))</f>
        <v>35-44</v>
      </c>
      <c r="C789" s="3">
        <v>35</v>
      </c>
      <c r="D789" s="3" t="s">
        <v>7</v>
      </c>
      <c r="E789" s="3" t="s">
        <v>38</v>
      </c>
      <c r="F789" s="3" t="s">
        <v>59</v>
      </c>
      <c r="G789" s="3" t="s">
        <v>25</v>
      </c>
      <c r="H789" s="3" t="s">
        <v>19</v>
      </c>
      <c r="I789" s="3">
        <v>89025</v>
      </c>
      <c r="J789" s="3">
        <v>3</v>
      </c>
      <c r="K789" s="3">
        <v>0</v>
      </c>
      <c r="L789" s="3">
        <v>4</v>
      </c>
      <c r="M789" s="3">
        <v>3</v>
      </c>
      <c r="N789" s="3" t="s">
        <v>14</v>
      </c>
      <c r="O789" s="3" t="s">
        <v>13</v>
      </c>
      <c r="P789" s="3">
        <v>3</v>
      </c>
      <c r="Q789" s="3">
        <v>2</v>
      </c>
      <c r="R789" s="4" t="s">
        <v>14</v>
      </c>
      <c r="S789" s="4" t="s">
        <v>14</v>
      </c>
      <c r="T789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790" spans="1:20" ht="18" x14ac:dyDescent="0.35">
      <c r="A790" s="3" t="s">
        <v>833</v>
      </c>
      <c r="B790" s="3" t="str">
        <f>IF(Table1[[#This Row],[Age]]&lt;25,"Under 25",IF(Table1[[#This Row],[Age]]&lt;35,"25-34",IF(Table1[[#This Row],[Age]]&lt;45,"35-44",IF(Table1[[#This Row],[Age]]&lt;55,"45-54","55+"))))</f>
        <v>25-34</v>
      </c>
      <c r="C790" s="3">
        <v>32</v>
      </c>
      <c r="D790" s="3" t="s">
        <v>22</v>
      </c>
      <c r="E790" s="3" t="s">
        <v>16</v>
      </c>
      <c r="F790" s="3" t="s">
        <v>17</v>
      </c>
      <c r="G790" s="3" t="s">
        <v>25</v>
      </c>
      <c r="H790" s="3" t="s">
        <v>19</v>
      </c>
      <c r="I790" s="3">
        <v>62934</v>
      </c>
      <c r="J790" s="3">
        <v>4</v>
      </c>
      <c r="K790" s="3">
        <v>2</v>
      </c>
      <c r="L790" s="3">
        <v>3</v>
      </c>
      <c r="M790" s="3">
        <v>3</v>
      </c>
      <c r="N790" s="3" t="s">
        <v>12</v>
      </c>
      <c r="O790" s="3" t="s">
        <v>20</v>
      </c>
      <c r="P790" s="3">
        <v>3</v>
      </c>
      <c r="Q790" s="3">
        <v>5</v>
      </c>
      <c r="R790" s="4" t="s">
        <v>12</v>
      </c>
      <c r="S790" s="4" t="s">
        <v>14</v>
      </c>
      <c r="T790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791" spans="1:20" ht="18" x14ac:dyDescent="0.35">
      <c r="A791" s="3" t="s">
        <v>834</v>
      </c>
      <c r="B791" s="3" t="str">
        <f>IF(Table1[[#This Row],[Age]]&lt;25,"Under 25",IF(Table1[[#This Row],[Age]]&lt;35,"25-34",IF(Table1[[#This Row],[Age]]&lt;45,"35-44",IF(Table1[[#This Row],[Age]]&lt;55,"45-54","55+"))))</f>
        <v>25-34</v>
      </c>
      <c r="C791" s="3">
        <v>34</v>
      </c>
      <c r="D791" s="3" t="s">
        <v>22</v>
      </c>
      <c r="E791" s="3" t="s">
        <v>38</v>
      </c>
      <c r="F791" s="3" t="s">
        <v>39</v>
      </c>
      <c r="G791" s="3" t="s">
        <v>25</v>
      </c>
      <c r="H791" s="3" t="s">
        <v>19</v>
      </c>
      <c r="I791" s="3">
        <v>56141</v>
      </c>
      <c r="J791" s="3">
        <v>1</v>
      </c>
      <c r="K791" s="3">
        <v>0</v>
      </c>
      <c r="L791" s="3">
        <v>3</v>
      </c>
      <c r="M791" s="3">
        <v>2</v>
      </c>
      <c r="N791" s="3" t="s">
        <v>12</v>
      </c>
      <c r="O791" s="3" t="s">
        <v>13</v>
      </c>
      <c r="P791" s="3">
        <v>3</v>
      </c>
      <c r="Q791" s="3">
        <v>5</v>
      </c>
      <c r="R791" s="4" t="s">
        <v>14</v>
      </c>
      <c r="S791" s="4" t="s">
        <v>14</v>
      </c>
      <c r="T791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792" spans="1:20" ht="18" x14ac:dyDescent="0.35">
      <c r="A792" s="3" t="s">
        <v>835</v>
      </c>
      <c r="B792" s="3" t="str">
        <f>IF(Table1[[#This Row],[Age]]&lt;25,"Under 25",IF(Table1[[#This Row],[Age]]&lt;35,"25-34",IF(Table1[[#This Row],[Age]]&lt;45,"35-44",IF(Table1[[#This Row],[Age]]&lt;55,"45-54","55+"))))</f>
        <v>35-44</v>
      </c>
      <c r="C792" s="3">
        <v>42</v>
      </c>
      <c r="D792" s="3" t="s">
        <v>7</v>
      </c>
      <c r="E792" s="3" t="s">
        <v>16</v>
      </c>
      <c r="F792" s="3" t="s">
        <v>28</v>
      </c>
      <c r="G792" s="3" t="s">
        <v>25</v>
      </c>
      <c r="H792" s="3" t="s">
        <v>42</v>
      </c>
      <c r="I792" s="3">
        <v>79015</v>
      </c>
      <c r="J792" s="3">
        <v>2</v>
      </c>
      <c r="K792" s="3">
        <v>1</v>
      </c>
      <c r="L792" s="3">
        <v>4</v>
      </c>
      <c r="M792" s="3">
        <v>4</v>
      </c>
      <c r="N792" s="3" t="s">
        <v>12</v>
      </c>
      <c r="O792" s="3" t="s">
        <v>13</v>
      </c>
      <c r="P792" s="3">
        <v>3</v>
      </c>
      <c r="Q792" s="3">
        <v>0</v>
      </c>
      <c r="R792" s="4" t="s">
        <v>12</v>
      </c>
      <c r="S792" s="4" t="s">
        <v>14</v>
      </c>
      <c r="T792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793" spans="1:20" ht="18" x14ac:dyDescent="0.35">
      <c r="A793" s="3" t="s">
        <v>836</v>
      </c>
      <c r="B793" s="3" t="str">
        <f>IF(Table1[[#This Row],[Age]]&lt;25,"Under 25",IF(Table1[[#This Row],[Age]]&lt;35,"25-34",IF(Table1[[#This Row],[Age]]&lt;45,"35-44",IF(Table1[[#This Row],[Age]]&lt;55,"45-54","55+"))))</f>
        <v>Under 25</v>
      </c>
      <c r="C793" s="3">
        <v>21</v>
      </c>
      <c r="D793" s="3" t="s">
        <v>22</v>
      </c>
      <c r="E793" s="3" t="s">
        <v>38</v>
      </c>
      <c r="F793" s="3" t="s">
        <v>39</v>
      </c>
      <c r="G793" s="3" t="s">
        <v>25</v>
      </c>
      <c r="H793" s="3" t="s">
        <v>11</v>
      </c>
      <c r="I793" s="3">
        <v>71872</v>
      </c>
      <c r="J793" s="3">
        <v>0</v>
      </c>
      <c r="K793" s="3">
        <v>0</v>
      </c>
      <c r="L793" s="3">
        <v>1</v>
      </c>
      <c r="M793" s="3">
        <v>1</v>
      </c>
      <c r="N793" s="3" t="s">
        <v>14</v>
      </c>
      <c r="O793" s="3" t="s">
        <v>13</v>
      </c>
      <c r="P793" s="3">
        <v>3</v>
      </c>
      <c r="Q793" s="3">
        <v>5</v>
      </c>
      <c r="R793" s="4" t="s">
        <v>12</v>
      </c>
      <c r="S793" s="4" t="s">
        <v>14</v>
      </c>
      <c r="T793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Less than 1 Year</v>
      </c>
    </row>
    <row r="794" spans="1:20" ht="18" x14ac:dyDescent="0.35">
      <c r="A794" s="3" t="s">
        <v>837</v>
      </c>
      <c r="B794" s="3" t="str">
        <f>IF(Table1[[#This Row],[Age]]&lt;25,"Under 25",IF(Table1[[#This Row],[Age]]&lt;35,"25-34",IF(Table1[[#This Row],[Age]]&lt;45,"35-44",IF(Table1[[#This Row],[Age]]&lt;55,"45-54","55+"))))</f>
        <v>25-34</v>
      </c>
      <c r="C794" s="3">
        <v>27</v>
      </c>
      <c r="D794" s="3" t="s">
        <v>22</v>
      </c>
      <c r="E794" s="3" t="s">
        <v>31</v>
      </c>
      <c r="F794" s="3" t="s">
        <v>74</v>
      </c>
      <c r="G794" s="3" t="s">
        <v>18</v>
      </c>
      <c r="H794" s="3" t="s">
        <v>19</v>
      </c>
      <c r="I794" s="3">
        <v>68184</v>
      </c>
      <c r="J794" s="3">
        <v>7</v>
      </c>
      <c r="K794" s="3">
        <v>4</v>
      </c>
      <c r="L794" s="3">
        <v>2</v>
      </c>
      <c r="M794" s="3">
        <v>3</v>
      </c>
      <c r="N794" s="3" t="s">
        <v>14</v>
      </c>
      <c r="O794" s="3" t="s">
        <v>20</v>
      </c>
      <c r="P794" s="3">
        <v>3</v>
      </c>
      <c r="Q794" s="3">
        <v>5</v>
      </c>
      <c r="R794" s="4" t="s">
        <v>14</v>
      </c>
      <c r="S794" s="4" t="s">
        <v>14</v>
      </c>
      <c r="T794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795" spans="1:20" ht="18" x14ac:dyDescent="0.35">
      <c r="A795" s="3" t="s">
        <v>838</v>
      </c>
      <c r="B795" s="3" t="str">
        <f>IF(Table1[[#This Row],[Age]]&lt;25,"Under 25",IF(Table1[[#This Row],[Age]]&lt;35,"25-34",IF(Table1[[#This Row],[Age]]&lt;45,"35-44",IF(Table1[[#This Row],[Age]]&lt;55,"45-54","55+"))))</f>
        <v>35-44</v>
      </c>
      <c r="C795" s="3">
        <v>44</v>
      </c>
      <c r="D795" s="3" t="s">
        <v>22</v>
      </c>
      <c r="E795" s="3" t="s">
        <v>34</v>
      </c>
      <c r="F795" s="3" t="s">
        <v>150</v>
      </c>
      <c r="G795" s="3" t="s">
        <v>10</v>
      </c>
      <c r="H795" s="3" t="s">
        <v>11</v>
      </c>
      <c r="I795" s="3">
        <v>89860</v>
      </c>
      <c r="J795" s="3">
        <v>25</v>
      </c>
      <c r="K795" s="3">
        <v>5</v>
      </c>
      <c r="L795" s="3">
        <v>3</v>
      </c>
      <c r="M795" s="3">
        <v>1</v>
      </c>
      <c r="N795" s="3" t="s">
        <v>12</v>
      </c>
      <c r="O795" s="3" t="s">
        <v>26</v>
      </c>
      <c r="P795" s="3">
        <v>4</v>
      </c>
      <c r="Q795" s="3">
        <v>1</v>
      </c>
      <c r="R795" s="4" t="s">
        <v>14</v>
      </c>
      <c r="S795" s="4" t="s">
        <v>12</v>
      </c>
      <c r="T795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796" spans="1:20" ht="18" x14ac:dyDescent="0.35">
      <c r="A796" s="3" t="s">
        <v>839</v>
      </c>
      <c r="B796" s="3" t="str">
        <f>IF(Table1[[#This Row],[Age]]&lt;25,"Under 25",IF(Table1[[#This Row],[Age]]&lt;35,"25-34",IF(Table1[[#This Row],[Age]]&lt;45,"35-44",IF(Table1[[#This Row],[Age]]&lt;55,"45-54","55+"))))</f>
        <v>35-44</v>
      </c>
      <c r="C796" s="3">
        <v>38</v>
      </c>
      <c r="D796" s="3" t="s">
        <v>7</v>
      </c>
      <c r="E796" s="3" t="s">
        <v>51</v>
      </c>
      <c r="F796" s="3" t="s">
        <v>80</v>
      </c>
      <c r="G796" s="3" t="s">
        <v>25</v>
      </c>
      <c r="H796" s="3" t="s">
        <v>11</v>
      </c>
      <c r="I796" s="3">
        <v>27492</v>
      </c>
      <c r="J796" s="3">
        <v>4</v>
      </c>
      <c r="K796" s="3">
        <v>0</v>
      </c>
      <c r="L796" s="3">
        <v>1</v>
      </c>
      <c r="M796" s="3">
        <v>2</v>
      </c>
      <c r="N796" s="3" t="s">
        <v>14</v>
      </c>
      <c r="O796" s="3" t="s">
        <v>13</v>
      </c>
      <c r="P796" s="3">
        <v>3</v>
      </c>
      <c r="Q796" s="3">
        <v>4</v>
      </c>
      <c r="R796" s="4" t="s">
        <v>14</v>
      </c>
      <c r="S796" s="4" t="s">
        <v>12</v>
      </c>
      <c r="T796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797" spans="1:20" ht="18" x14ac:dyDescent="0.35">
      <c r="A797" s="3" t="s">
        <v>840</v>
      </c>
      <c r="B797" s="3" t="str">
        <f>IF(Table1[[#This Row],[Age]]&lt;25,"Under 25",IF(Table1[[#This Row],[Age]]&lt;35,"25-34",IF(Table1[[#This Row],[Age]]&lt;45,"35-44",IF(Table1[[#This Row],[Age]]&lt;55,"45-54","55+"))))</f>
        <v>35-44</v>
      </c>
      <c r="C797" s="3">
        <v>37</v>
      </c>
      <c r="D797" s="3" t="s">
        <v>7</v>
      </c>
      <c r="E797" s="3" t="s">
        <v>34</v>
      </c>
      <c r="F797" s="3" t="s">
        <v>35</v>
      </c>
      <c r="G797" s="3" t="s">
        <v>45</v>
      </c>
      <c r="H797" s="3" t="s">
        <v>11</v>
      </c>
      <c r="I797" s="3">
        <v>59371</v>
      </c>
      <c r="J797" s="3">
        <v>13</v>
      </c>
      <c r="K797" s="3">
        <v>8</v>
      </c>
      <c r="L797" s="3">
        <v>3</v>
      </c>
      <c r="M797" s="3">
        <v>2</v>
      </c>
      <c r="N797" s="3" t="s">
        <v>12</v>
      </c>
      <c r="O797" s="3" t="s">
        <v>13</v>
      </c>
      <c r="P797" s="3">
        <v>2</v>
      </c>
      <c r="Q797" s="3">
        <v>2</v>
      </c>
      <c r="R797" s="4" t="s">
        <v>14</v>
      </c>
      <c r="S797" s="4" t="s">
        <v>14</v>
      </c>
      <c r="T797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798" spans="1:20" ht="18" x14ac:dyDescent="0.35">
      <c r="A798" s="3" t="s">
        <v>841</v>
      </c>
      <c r="B798" s="3" t="str">
        <f>IF(Table1[[#This Row],[Age]]&lt;25,"Under 25",IF(Table1[[#This Row],[Age]]&lt;35,"25-34",IF(Table1[[#This Row],[Age]]&lt;45,"35-44",IF(Table1[[#This Row],[Age]]&lt;55,"45-54","55+"))))</f>
        <v>25-34</v>
      </c>
      <c r="C798" s="3">
        <v>25</v>
      </c>
      <c r="D798" s="3" t="s">
        <v>22</v>
      </c>
      <c r="E798" s="3" t="s">
        <v>51</v>
      </c>
      <c r="F798" s="3" t="s">
        <v>52</v>
      </c>
      <c r="G798" s="3" t="s">
        <v>45</v>
      </c>
      <c r="H798" s="3" t="s">
        <v>19</v>
      </c>
      <c r="I798" s="3">
        <v>93769</v>
      </c>
      <c r="J798" s="3">
        <v>6</v>
      </c>
      <c r="K798" s="3">
        <v>3</v>
      </c>
      <c r="L798" s="3">
        <v>2</v>
      </c>
      <c r="M798" s="3">
        <v>2</v>
      </c>
      <c r="N798" s="3" t="s">
        <v>14</v>
      </c>
      <c r="O798" s="3" t="s">
        <v>13</v>
      </c>
      <c r="P798" s="3">
        <v>3</v>
      </c>
      <c r="Q798" s="3">
        <v>1</v>
      </c>
      <c r="R798" s="4" t="s">
        <v>14</v>
      </c>
      <c r="S798" s="4" t="s">
        <v>14</v>
      </c>
      <c r="T798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799" spans="1:20" ht="18" x14ac:dyDescent="0.35">
      <c r="A799" s="3" t="s">
        <v>842</v>
      </c>
      <c r="B799" s="3" t="str">
        <f>IF(Table1[[#This Row],[Age]]&lt;25,"Under 25",IF(Table1[[#This Row],[Age]]&lt;35,"25-34",IF(Table1[[#This Row],[Age]]&lt;45,"35-44",IF(Table1[[#This Row],[Age]]&lt;55,"45-54","55+"))))</f>
        <v>25-34</v>
      </c>
      <c r="C799" s="3">
        <v>30</v>
      </c>
      <c r="D799" s="3" t="s">
        <v>22</v>
      </c>
      <c r="E799" s="3" t="s">
        <v>38</v>
      </c>
      <c r="F799" s="3" t="s">
        <v>89</v>
      </c>
      <c r="G799" s="3" t="s">
        <v>10</v>
      </c>
      <c r="H799" s="3" t="s">
        <v>19</v>
      </c>
      <c r="I799" s="3">
        <v>85846</v>
      </c>
      <c r="J799" s="3">
        <v>10</v>
      </c>
      <c r="K799" s="3">
        <v>7</v>
      </c>
      <c r="L799" s="3">
        <v>3</v>
      </c>
      <c r="M799" s="3">
        <v>3</v>
      </c>
      <c r="N799" s="3" t="s">
        <v>14</v>
      </c>
      <c r="O799" s="3" t="s">
        <v>13</v>
      </c>
      <c r="P799" s="3">
        <v>3</v>
      </c>
      <c r="Q799" s="3">
        <v>2</v>
      </c>
      <c r="R799" s="4" t="s">
        <v>14</v>
      </c>
      <c r="S799" s="4" t="s">
        <v>14</v>
      </c>
      <c r="T799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800" spans="1:20" ht="18" x14ac:dyDescent="0.35">
      <c r="A800" s="3" t="s">
        <v>843</v>
      </c>
      <c r="B800" s="3" t="str">
        <f>IF(Table1[[#This Row],[Age]]&lt;25,"Under 25",IF(Table1[[#This Row],[Age]]&lt;35,"25-34",IF(Table1[[#This Row],[Age]]&lt;45,"35-44",IF(Table1[[#This Row],[Age]]&lt;55,"45-54","55+"))))</f>
        <v>25-34</v>
      </c>
      <c r="C800" s="3">
        <v>25</v>
      </c>
      <c r="D800" s="3" t="s">
        <v>22</v>
      </c>
      <c r="E800" s="3" t="s">
        <v>16</v>
      </c>
      <c r="F800" s="3" t="s">
        <v>47</v>
      </c>
      <c r="G800" s="3" t="s">
        <v>10</v>
      </c>
      <c r="H800" s="3" t="s">
        <v>19</v>
      </c>
      <c r="I800" s="3">
        <v>103927</v>
      </c>
      <c r="J800" s="3">
        <v>6</v>
      </c>
      <c r="K800" s="3">
        <v>2</v>
      </c>
      <c r="L800" s="3">
        <v>4</v>
      </c>
      <c r="M800" s="3">
        <v>3</v>
      </c>
      <c r="N800" s="3" t="s">
        <v>14</v>
      </c>
      <c r="O800" s="3" t="s">
        <v>13</v>
      </c>
      <c r="P800" s="3">
        <v>3</v>
      </c>
      <c r="Q800" s="3">
        <v>2</v>
      </c>
      <c r="R800" s="4" t="s">
        <v>14</v>
      </c>
      <c r="S800" s="4" t="s">
        <v>14</v>
      </c>
      <c r="T800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801" spans="1:20" ht="18" x14ac:dyDescent="0.35">
      <c r="A801" s="3" t="s">
        <v>844</v>
      </c>
      <c r="B801" s="3" t="str">
        <f>IF(Table1[[#This Row],[Age]]&lt;25,"Under 25",IF(Table1[[#This Row],[Age]]&lt;35,"25-34",IF(Table1[[#This Row],[Age]]&lt;45,"35-44",IF(Table1[[#This Row],[Age]]&lt;55,"45-54","55+"))))</f>
        <v>25-34</v>
      </c>
      <c r="C801" s="3">
        <v>27</v>
      </c>
      <c r="D801" s="3" t="s">
        <v>22</v>
      </c>
      <c r="E801" s="3" t="s">
        <v>34</v>
      </c>
      <c r="F801" s="3" t="s">
        <v>35</v>
      </c>
      <c r="G801" s="3" t="s">
        <v>18</v>
      </c>
      <c r="H801" s="3" t="s">
        <v>19</v>
      </c>
      <c r="I801" s="3">
        <v>60410</v>
      </c>
      <c r="J801" s="3">
        <v>9</v>
      </c>
      <c r="K801" s="3">
        <v>7</v>
      </c>
      <c r="L801" s="3">
        <v>3</v>
      </c>
      <c r="M801" s="3">
        <v>1</v>
      </c>
      <c r="N801" s="3" t="s">
        <v>14</v>
      </c>
      <c r="O801" s="3" t="s">
        <v>26</v>
      </c>
      <c r="P801" s="3">
        <v>3</v>
      </c>
      <c r="Q801" s="3">
        <v>0</v>
      </c>
      <c r="R801" s="4" t="s">
        <v>14</v>
      </c>
      <c r="S801" s="4" t="s">
        <v>14</v>
      </c>
      <c r="T801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802" spans="1:20" ht="18" x14ac:dyDescent="0.35">
      <c r="A802" s="3" t="s">
        <v>845</v>
      </c>
      <c r="B802" s="3" t="str">
        <f>IF(Table1[[#This Row],[Age]]&lt;25,"Under 25",IF(Table1[[#This Row],[Age]]&lt;35,"25-34",IF(Table1[[#This Row],[Age]]&lt;45,"35-44",IF(Table1[[#This Row],[Age]]&lt;55,"45-54","55+"))))</f>
        <v>25-34</v>
      </c>
      <c r="C802" s="3">
        <v>32</v>
      </c>
      <c r="D802" s="3" t="s">
        <v>22</v>
      </c>
      <c r="E802" s="3" t="s">
        <v>16</v>
      </c>
      <c r="F802" s="3" t="s">
        <v>47</v>
      </c>
      <c r="G802" s="3" t="s">
        <v>10</v>
      </c>
      <c r="H802" s="3" t="s">
        <v>11</v>
      </c>
      <c r="I802" s="3">
        <v>44078</v>
      </c>
      <c r="J802" s="3">
        <v>8</v>
      </c>
      <c r="K802" s="3">
        <v>2</v>
      </c>
      <c r="L802" s="3">
        <v>3</v>
      </c>
      <c r="M802" s="3">
        <v>3</v>
      </c>
      <c r="N802" s="3" t="s">
        <v>14</v>
      </c>
      <c r="O802" s="3" t="s">
        <v>20</v>
      </c>
      <c r="P802" s="3">
        <v>3</v>
      </c>
      <c r="Q802" s="3">
        <v>3</v>
      </c>
      <c r="R802" s="4" t="s">
        <v>14</v>
      </c>
      <c r="S802" s="4" t="s">
        <v>14</v>
      </c>
      <c r="T802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803" spans="1:20" ht="18" x14ac:dyDescent="0.35">
      <c r="A803" s="3" t="s">
        <v>846</v>
      </c>
      <c r="B803" s="3" t="str">
        <f>IF(Table1[[#This Row],[Age]]&lt;25,"Under 25",IF(Table1[[#This Row],[Age]]&lt;35,"25-34",IF(Table1[[#This Row],[Age]]&lt;45,"35-44",IF(Table1[[#This Row],[Age]]&lt;55,"45-54","55+"))))</f>
        <v>25-34</v>
      </c>
      <c r="C803" s="3">
        <v>33</v>
      </c>
      <c r="D803" s="3" t="s">
        <v>22</v>
      </c>
      <c r="E803" s="3" t="s">
        <v>31</v>
      </c>
      <c r="F803" s="3" t="s">
        <v>136</v>
      </c>
      <c r="G803" s="3" t="s">
        <v>25</v>
      </c>
      <c r="H803" s="3" t="s">
        <v>19</v>
      </c>
      <c r="I803" s="3">
        <v>63284</v>
      </c>
      <c r="J803" s="3">
        <v>3</v>
      </c>
      <c r="K803" s="3">
        <v>0</v>
      </c>
      <c r="L803" s="3">
        <v>4</v>
      </c>
      <c r="M803" s="3">
        <v>3</v>
      </c>
      <c r="N803" s="3" t="s">
        <v>12</v>
      </c>
      <c r="O803" s="3" t="s">
        <v>20</v>
      </c>
      <c r="P803" s="3">
        <v>3</v>
      </c>
      <c r="Q803" s="3">
        <v>3</v>
      </c>
      <c r="R803" s="4" t="s">
        <v>12</v>
      </c>
      <c r="S803" s="4" t="s">
        <v>14</v>
      </c>
      <c r="T803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804" spans="1:20" ht="18" x14ac:dyDescent="0.35">
      <c r="A804" s="3" t="s">
        <v>847</v>
      </c>
      <c r="B804" s="3" t="str">
        <f>IF(Table1[[#This Row],[Age]]&lt;25,"Under 25",IF(Table1[[#This Row],[Age]]&lt;35,"25-34",IF(Table1[[#This Row],[Age]]&lt;45,"35-44",IF(Table1[[#This Row],[Age]]&lt;55,"45-54","55+"))))</f>
        <v>45-54</v>
      </c>
      <c r="C804" s="3">
        <v>46</v>
      </c>
      <c r="D804" s="3" t="s">
        <v>7</v>
      </c>
      <c r="E804" s="3" t="s">
        <v>51</v>
      </c>
      <c r="F804" s="3" t="s">
        <v>72</v>
      </c>
      <c r="G804" s="3" t="s">
        <v>18</v>
      </c>
      <c r="H804" s="3" t="s">
        <v>42</v>
      </c>
      <c r="I804" s="3">
        <v>76074</v>
      </c>
      <c r="J804" s="3">
        <v>8</v>
      </c>
      <c r="K804" s="3">
        <v>3</v>
      </c>
      <c r="L804" s="3">
        <v>3</v>
      </c>
      <c r="M804" s="3">
        <v>3</v>
      </c>
      <c r="N804" s="3" t="s">
        <v>14</v>
      </c>
      <c r="O804" s="3" t="s">
        <v>13</v>
      </c>
      <c r="P804" s="3">
        <v>3</v>
      </c>
      <c r="Q804" s="3">
        <v>1</v>
      </c>
      <c r="R804" s="4" t="s">
        <v>14</v>
      </c>
      <c r="S804" s="4" t="s">
        <v>14</v>
      </c>
      <c r="T804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805" spans="1:20" ht="18" x14ac:dyDescent="0.35">
      <c r="A805" s="3" t="s">
        <v>848</v>
      </c>
      <c r="B805" s="3" t="str">
        <f>IF(Table1[[#This Row],[Age]]&lt;25,"Under 25",IF(Table1[[#This Row],[Age]]&lt;35,"25-34",IF(Table1[[#This Row],[Age]]&lt;45,"35-44",IF(Table1[[#This Row],[Age]]&lt;55,"45-54","55+"))))</f>
        <v>35-44</v>
      </c>
      <c r="C805" s="3">
        <v>36</v>
      </c>
      <c r="D805" s="3" t="s">
        <v>22</v>
      </c>
      <c r="E805" s="3" t="s">
        <v>8</v>
      </c>
      <c r="F805" s="3" t="s">
        <v>66</v>
      </c>
      <c r="G805" s="3" t="s">
        <v>10</v>
      </c>
      <c r="H805" s="3" t="s">
        <v>19</v>
      </c>
      <c r="I805" s="3">
        <v>75178</v>
      </c>
      <c r="J805" s="3">
        <v>7</v>
      </c>
      <c r="K805" s="3">
        <v>6</v>
      </c>
      <c r="L805" s="3">
        <v>3</v>
      </c>
      <c r="M805" s="3">
        <v>3</v>
      </c>
      <c r="N805" s="3" t="s">
        <v>12</v>
      </c>
      <c r="O805" s="3" t="s">
        <v>13</v>
      </c>
      <c r="P805" s="3">
        <v>3</v>
      </c>
      <c r="Q805" s="3">
        <v>2</v>
      </c>
      <c r="R805" s="4" t="s">
        <v>14</v>
      </c>
      <c r="S805" s="4" t="s">
        <v>14</v>
      </c>
      <c r="T805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806" spans="1:20" ht="18" x14ac:dyDescent="0.35">
      <c r="A806" s="3" t="s">
        <v>849</v>
      </c>
      <c r="B806" s="3" t="str">
        <f>IF(Table1[[#This Row],[Age]]&lt;25,"Under 25",IF(Table1[[#This Row],[Age]]&lt;35,"25-34",IF(Table1[[#This Row],[Age]]&lt;45,"35-44",IF(Table1[[#This Row],[Age]]&lt;55,"45-54","55+"))))</f>
        <v>25-34</v>
      </c>
      <c r="C806" s="3">
        <v>26</v>
      </c>
      <c r="D806" s="3" t="s">
        <v>7</v>
      </c>
      <c r="E806" s="3" t="s">
        <v>16</v>
      </c>
      <c r="F806" s="3" t="s">
        <v>17</v>
      </c>
      <c r="G806" s="3" t="s">
        <v>25</v>
      </c>
      <c r="H806" s="3" t="s">
        <v>11</v>
      </c>
      <c r="I806" s="3">
        <v>66845</v>
      </c>
      <c r="J806" s="3">
        <v>1</v>
      </c>
      <c r="K806" s="3">
        <v>1</v>
      </c>
      <c r="L806" s="3">
        <v>3</v>
      </c>
      <c r="M806" s="3">
        <v>3</v>
      </c>
      <c r="N806" s="3" t="s">
        <v>14</v>
      </c>
      <c r="O806" s="3" t="s">
        <v>20</v>
      </c>
      <c r="P806" s="3">
        <v>4</v>
      </c>
      <c r="Q806" s="3">
        <v>0</v>
      </c>
      <c r="R806" s="4" t="s">
        <v>14</v>
      </c>
      <c r="S806" s="4" t="s">
        <v>14</v>
      </c>
      <c r="T806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807" spans="1:20" ht="18" x14ac:dyDescent="0.35">
      <c r="A807" s="3" t="s">
        <v>850</v>
      </c>
      <c r="B807" s="3" t="str">
        <f>IF(Table1[[#This Row],[Age]]&lt;25,"Under 25",IF(Table1[[#This Row],[Age]]&lt;35,"25-34",IF(Table1[[#This Row],[Age]]&lt;45,"35-44",IF(Table1[[#This Row],[Age]]&lt;55,"45-54","55+"))))</f>
        <v>45-54</v>
      </c>
      <c r="C807" s="3">
        <v>47</v>
      </c>
      <c r="D807" s="3" t="s">
        <v>7</v>
      </c>
      <c r="E807" s="3" t="s">
        <v>8</v>
      </c>
      <c r="F807" s="3" t="s">
        <v>23</v>
      </c>
      <c r="G807" s="3" t="s">
        <v>25</v>
      </c>
      <c r="H807" s="3" t="s">
        <v>11</v>
      </c>
      <c r="I807" s="3">
        <v>70837</v>
      </c>
      <c r="J807" s="3">
        <v>5</v>
      </c>
      <c r="K807" s="3">
        <v>1</v>
      </c>
      <c r="L807" s="3">
        <v>2</v>
      </c>
      <c r="M807" s="3">
        <v>4</v>
      </c>
      <c r="N807" s="3" t="s">
        <v>12</v>
      </c>
      <c r="O807" s="3" t="s">
        <v>13</v>
      </c>
      <c r="P807" s="3">
        <v>3</v>
      </c>
      <c r="Q807" s="3">
        <v>1</v>
      </c>
      <c r="R807" s="4" t="s">
        <v>14</v>
      </c>
      <c r="S807" s="4" t="s">
        <v>14</v>
      </c>
      <c r="T807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808" spans="1:20" ht="18" x14ac:dyDescent="0.35">
      <c r="A808" s="3" t="s">
        <v>851</v>
      </c>
      <c r="B808" s="3" t="str">
        <f>IF(Table1[[#This Row],[Age]]&lt;25,"Under 25",IF(Table1[[#This Row],[Age]]&lt;35,"25-34",IF(Table1[[#This Row],[Age]]&lt;45,"35-44",IF(Table1[[#This Row],[Age]]&lt;55,"45-54","55+"))))</f>
        <v>35-44</v>
      </c>
      <c r="C808" s="3">
        <v>39</v>
      </c>
      <c r="D808" s="3" t="s">
        <v>22</v>
      </c>
      <c r="E808" s="3" t="s">
        <v>16</v>
      </c>
      <c r="F808" s="3" t="s">
        <v>47</v>
      </c>
      <c r="G808" s="3" t="s">
        <v>25</v>
      </c>
      <c r="H808" s="3" t="s">
        <v>11</v>
      </c>
      <c r="I808" s="3">
        <v>82328</v>
      </c>
      <c r="J808" s="3">
        <v>2</v>
      </c>
      <c r="K808" s="3">
        <v>1</v>
      </c>
      <c r="L808" s="3">
        <v>3</v>
      </c>
      <c r="M808" s="3">
        <v>3</v>
      </c>
      <c r="N808" s="3" t="s">
        <v>14</v>
      </c>
      <c r="O808" s="3" t="s">
        <v>26</v>
      </c>
      <c r="P808" s="3">
        <v>2</v>
      </c>
      <c r="Q808" s="3">
        <v>4</v>
      </c>
      <c r="R808" s="4" t="s">
        <v>14</v>
      </c>
      <c r="S808" s="4" t="s">
        <v>14</v>
      </c>
      <c r="T808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809" spans="1:20" ht="18" x14ac:dyDescent="0.35">
      <c r="A809" s="3" t="s">
        <v>852</v>
      </c>
      <c r="B809" s="3" t="str">
        <f>IF(Table1[[#This Row],[Age]]&lt;25,"Under 25",IF(Table1[[#This Row],[Age]]&lt;35,"25-34",IF(Table1[[#This Row],[Age]]&lt;45,"35-44",IF(Table1[[#This Row],[Age]]&lt;55,"45-54","55+"))))</f>
        <v>25-34</v>
      </c>
      <c r="C809" s="3">
        <v>28</v>
      </c>
      <c r="D809" s="3" t="s">
        <v>22</v>
      </c>
      <c r="E809" s="3" t="s">
        <v>51</v>
      </c>
      <c r="F809" s="3" t="s">
        <v>72</v>
      </c>
      <c r="G809" s="3" t="s">
        <v>25</v>
      </c>
      <c r="H809" s="3" t="s">
        <v>42</v>
      </c>
      <c r="I809" s="3">
        <v>43053</v>
      </c>
      <c r="J809" s="3">
        <v>10</v>
      </c>
      <c r="K809" s="3">
        <v>0</v>
      </c>
      <c r="L809" s="3">
        <v>2</v>
      </c>
      <c r="M809" s="3">
        <v>1</v>
      </c>
      <c r="N809" s="3" t="s">
        <v>14</v>
      </c>
      <c r="O809" s="3" t="s">
        <v>13</v>
      </c>
      <c r="P809" s="3">
        <v>3</v>
      </c>
      <c r="Q809" s="3">
        <v>3</v>
      </c>
      <c r="R809" s="4" t="s">
        <v>14</v>
      </c>
      <c r="S809" s="4" t="s">
        <v>14</v>
      </c>
      <c r="T809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810" spans="1:20" ht="18" x14ac:dyDescent="0.35">
      <c r="A810" s="3" t="s">
        <v>853</v>
      </c>
      <c r="B810" s="3" t="str">
        <f>IF(Table1[[#This Row],[Age]]&lt;25,"Under 25",IF(Table1[[#This Row],[Age]]&lt;35,"25-34",IF(Table1[[#This Row],[Age]]&lt;45,"35-44",IF(Table1[[#This Row],[Age]]&lt;55,"45-54","55+"))))</f>
        <v>25-34</v>
      </c>
      <c r="C810" s="3">
        <v>26</v>
      </c>
      <c r="D810" s="3" t="s">
        <v>22</v>
      </c>
      <c r="E810" s="3" t="s">
        <v>16</v>
      </c>
      <c r="F810" s="3" t="s">
        <v>47</v>
      </c>
      <c r="G810" s="3" t="s">
        <v>18</v>
      </c>
      <c r="H810" s="3" t="s">
        <v>19</v>
      </c>
      <c r="I810" s="3">
        <v>22000</v>
      </c>
      <c r="J810" s="3">
        <v>1</v>
      </c>
      <c r="K810" s="3">
        <v>1</v>
      </c>
      <c r="L810" s="3">
        <v>3</v>
      </c>
      <c r="M810" s="3">
        <v>3</v>
      </c>
      <c r="N810" s="3" t="s">
        <v>14</v>
      </c>
      <c r="O810" s="3" t="s">
        <v>20</v>
      </c>
      <c r="P810" s="3">
        <v>3</v>
      </c>
      <c r="Q810" s="3">
        <v>5</v>
      </c>
      <c r="R810" s="4" t="s">
        <v>14</v>
      </c>
      <c r="S810" s="4" t="s">
        <v>14</v>
      </c>
      <c r="T810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811" spans="1:20" ht="18" x14ac:dyDescent="0.35">
      <c r="A811" s="3" t="s">
        <v>854</v>
      </c>
      <c r="B811" s="3" t="str">
        <f>IF(Table1[[#This Row],[Age]]&lt;25,"Under 25",IF(Table1[[#This Row],[Age]]&lt;35,"25-34",IF(Table1[[#This Row],[Age]]&lt;45,"35-44",IF(Table1[[#This Row],[Age]]&lt;55,"45-54","55+"))))</f>
        <v>35-44</v>
      </c>
      <c r="C811" s="3">
        <v>42</v>
      </c>
      <c r="D811" s="3" t="s">
        <v>7</v>
      </c>
      <c r="E811" s="3" t="s">
        <v>8</v>
      </c>
      <c r="F811" s="3" t="s">
        <v>66</v>
      </c>
      <c r="G811" s="3" t="s">
        <v>18</v>
      </c>
      <c r="H811" s="3" t="s">
        <v>19</v>
      </c>
      <c r="I811" s="3">
        <v>73144</v>
      </c>
      <c r="J811" s="3">
        <v>21</v>
      </c>
      <c r="K811" s="3">
        <v>9</v>
      </c>
      <c r="L811" s="3">
        <v>3</v>
      </c>
      <c r="M811" s="3">
        <v>3</v>
      </c>
      <c r="N811" s="3" t="s">
        <v>12</v>
      </c>
      <c r="O811" s="3" t="s">
        <v>13</v>
      </c>
      <c r="P811" s="3">
        <v>3</v>
      </c>
      <c r="Q811" s="3">
        <v>4</v>
      </c>
      <c r="R811" s="4" t="s">
        <v>14</v>
      </c>
      <c r="S811" s="4" t="s">
        <v>14</v>
      </c>
      <c r="T811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812" spans="1:20" ht="18" x14ac:dyDescent="0.35">
      <c r="A812" s="3" t="s">
        <v>855</v>
      </c>
      <c r="B812" s="3" t="str">
        <f>IF(Table1[[#This Row],[Age]]&lt;25,"Under 25",IF(Table1[[#This Row],[Age]]&lt;35,"25-34",IF(Table1[[#This Row],[Age]]&lt;45,"35-44",IF(Table1[[#This Row],[Age]]&lt;55,"45-54","55+"))))</f>
        <v>35-44</v>
      </c>
      <c r="C812" s="3">
        <v>41</v>
      </c>
      <c r="D812" s="3" t="s">
        <v>7</v>
      </c>
      <c r="E812" s="3" t="s">
        <v>38</v>
      </c>
      <c r="F812" s="3" t="s">
        <v>89</v>
      </c>
      <c r="G812" s="3" t="s">
        <v>18</v>
      </c>
      <c r="H812" s="3" t="s">
        <v>19</v>
      </c>
      <c r="I812" s="3">
        <v>63611</v>
      </c>
      <c r="J812" s="3">
        <v>10</v>
      </c>
      <c r="K812" s="3">
        <v>6</v>
      </c>
      <c r="L812" s="3">
        <v>1</v>
      </c>
      <c r="M812" s="3">
        <v>2</v>
      </c>
      <c r="N812" s="3" t="s">
        <v>14</v>
      </c>
      <c r="O812" s="3" t="s">
        <v>13</v>
      </c>
      <c r="P812" s="3">
        <v>3</v>
      </c>
      <c r="Q812" s="3">
        <v>6</v>
      </c>
      <c r="R812" s="4" t="s">
        <v>14</v>
      </c>
      <c r="S812" s="4" t="s">
        <v>12</v>
      </c>
      <c r="T812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813" spans="1:20" ht="18" x14ac:dyDescent="0.35">
      <c r="A813" s="3" t="s">
        <v>856</v>
      </c>
      <c r="B813" s="3" t="str">
        <f>IF(Table1[[#This Row],[Age]]&lt;25,"Under 25",IF(Table1[[#This Row],[Age]]&lt;35,"25-34",IF(Table1[[#This Row],[Age]]&lt;45,"35-44",IF(Table1[[#This Row],[Age]]&lt;55,"45-54","55+"))))</f>
        <v>35-44</v>
      </c>
      <c r="C813" s="3">
        <v>40</v>
      </c>
      <c r="D813" s="3" t="s">
        <v>22</v>
      </c>
      <c r="E813" s="3" t="s">
        <v>34</v>
      </c>
      <c r="F813" s="3" t="s">
        <v>91</v>
      </c>
      <c r="G813" s="3" t="s">
        <v>10</v>
      </c>
      <c r="H813" s="3" t="s">
        <v>11</v>
      </c>
      <c r="I813" s="3">
        <v>93807</v>
      </c>
      <c r="J813" s="3">
        <v>21</v>
      </c>
      <c r="K813" s="3">
        <v>0</v>
      </c>
      <c r="L813" s="3">
        <v>3</v>
      </c>
      <c r="M813" s="3">
        <v>3</v>
      </c>
      <c r="N813" s="3" t="s">
        <v>14</v>
      </c>
      <c r="O813" s="3" t="s">
        <v>13</v>
      </c>
      <c r="P813" s="3">
        <v>3</v>
      </c>
      <c r="Q813" s="3">
        <v>3</v>
      </c>
      <c r="R813" s="4" t="s">
        <v>14</v>
      </c>
      <c r="S813" s="4" t="s">
        <v>14</v>
      </c>
      <c r="T813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814" spans="1:20" ht="18" x14ac:dyDescent="0.35">
      <c r="A814" s="3" t="s">
        <v>857</v>
      </c>
      <c r="B814" s="3" t="str">
        <f>IF(Table1[[#This Row],[Age]]&lt;25,"Under 25",IF(Table1[[#This Row],[Age]]&lt;35,"25-34",IF(Table1[[#This Row],[Age]]&lt;45,"35-44",IF(Table1[[#This Row],[Age]]&lt;55,"45-54","55+"))))</f>
        <v>25-34</v>
      </c>
      <c r="C814" s="3">
        <v>28</v>
      </c>
      <c r="D814" s="3" t="s">
        <v>7</v>
      </c>
      <c r="E814" s="3" t="s">
        <v>16</v>
      </c>
      <c r="F814" s="3" t="s">
        <v>47</v>
      </c>
      <c r="G814" s="3" t="s">
        <v>10</v>
      </c>
      <c r="H814" s="3" t="s">
        <v>11</v>
      </c>
      <c r="I814" s="3">
        <v>88822</v>
      </c>
      <c r="J814" s="3">
        <v>10</v>
      </c>
      <c r="K814" s="3">
        <v>8</v>
      </c>
      <c r="L814" s="3">
        <v>3</v>
      </c>
      <c r="M814" s="3">
        <v>2</v>
      </c>
      <c r="N814" s="3" t="s">
        <v>14</v>
      </c>
      <c r="O814" s="3" t="s">
        <v>13</v>
      </c>
      <c r="P814" s="3">
        <v>3</v>
      </c>
      <c r="Q814" s="3">
        <v>5</v>
      </c>
      <c r="R814" s="4" t="s">
        <v>14</v>
      </c>
      <c r="S814" s="4" t="s">
        <v>14</v>
      </c>
      <c r="T814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815" spans="1:20" ht="18" x14ac:dyDescent="0.35">
      <c r="A815" s="3" t="s">
        <v>858</v>
      </c>
      <c r="B815" s="3" t="str">
        <f>IF(Table1[[#This Row],[Age]]&lt;25,"Under 25",IF(Table1[[#This Row],[Age]]&lt;35,"25-34",IF(Table1[[#This Row],[Age]]&lt;45,"35-44",IF(Table1[[#This Row],[Age]]&lt;55,"45-54","55+"))))</f>
        <v>25-34</v>
      </c>
      <c r="C815" s="3">
        <v>28</v>
      </c>
      <c r="D815" s="3" t="s">
        <v>7</v>
      </c>
      <c r="E815" s="3" t="s">
        <v>31</v>
      </c>
      <c r="F815" s="3" t="s">
        <v>32</v>
      </c>
      <c r="G815" s="3" t="s">
        <v>10</v>
      </c>
      <c r="H815" s="3" t="s">
        <v>19</v>
      </c>
      <c r="I815" s="3">
        <v>105149</v>
      </c>
      <c r="J815" s="3">
        <v>2</v>
      </c>
      <c r="K815" s="3">
        <v>1</v>
      </c>
      <c r="L815" s="3">
        <v>4</v>
      </c>
      <c r="M815" s="3">
        <v>4</v>
      </c>
      <c r="N815" s="3" t="s">
        <v>14</v>
      </c>
      <c r="O815" s="3" t="s">
        <v>13</v>
      </c>
      <c r="P815" s="3">
        <v>3</v>
      </c>
      <c r="Q815" s="3">
        <v>6</v>
      </c>
      <c r="R815" s="4" t="s">
        <v>14</v>
      </c>
      <c r="S815" s="4" t="s">
        <v>12</v>
      </c>
      <c r="T815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816" spans="1:20" ht="18" x14ac:dyDescent="0.35">
      <c r="A816" s="3" t="s">
        <v>859</v>
      </c>
      <c r="B816" s="3" t="str">
        <f>IF(Table1[[#This Row],[Age]]&lt;25,"Under 25",IF(Table1[[#This Row],[Age]]&lt;35,"25-34",IF(Table1[[#This Row],[Age]]&lt;45,"35-44",IF(Table1[[#This Row],[Age]]&lt;55,"45-54","55+"))))</f>
        <v>25-34</v>
      </c>
      <c r="C816" s="3">
        <v>32</v>
      </c>
      <c r="D816" s="3" t="s">
        <v>22</v>
      </c>
      <c r="E816" s="3" t="s">
        <v>8</v>
      </c>
      <c r="F816" s="3" t="s">
        <v>9</v>
      </c>
      <c r="G816" s="3" t="s">
        <v>25</v>
      </c>
      <c r="H816" s="3" t="s">
        <v>11</v>
      </c>
      <c r="I816" s="3">
        <v>50707</v>
      </c>
      <c r="J816" s="3">
        <v>1</v>
      </c>
      <c r="K816" s="3">
        <v>1</v>
      </c>
      <c r="L816" s="3">
        <v>3</v>
      </c>
      <c r="M816" s="3">
        <v>2</v>
      </c>
      <c r="N816" s="3" t="s">
        <v>14</v>
      </c>
      <c r="O816" s="3" t="s">
        <v>26</v>
      </c>
      <c r="P816" s="3">
        <v>3</v>
      </c>
      <c r="Q816" s="3">
        <v>6</v>
      </c>
      <c r="R816" s="4" t="s">
        <v>14</v>
      </c>
      <c r="S816" s="4" t="s">
        <v>14</v>
      </c>
      <c r="T816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817" spans="1:20" ht="18" x14ac:dyDescent="0.35">
      <c r="A817" s="3" t="s">
        <v>860</v>
      </c>
      <c r="B817" s="3" t="str">
        <f>IF(Table1[[#This Row],[Age]]&lt;25,"Under 25",IF(Table1[[#This Row],[Age]]&lt;35,"25-34",IF(Table1[[#This Row],[Age]]&lt;45,"35-44",IF(Table1[[#This Row],[Age]]&lt;55,"45-54","55+"))))</f>
        <v>35-44</v>
      </c>
      <c r="C817" s="3">
        <v>36</v>
      </c>
      <c r="D817" s="3" t="s">
        <v>22</v>
      </c>
      <c r="E817" s="3" t="s">
        <v>31</v>
      </c>
      <c r="F817" s="3" t="s">
        <v>32</v>
      </c>
      <c r="G817" s="3" t="s">
        <v>18</v>
      </c>
      <c r="H817" s="3" t="s">
        <v>19</v>
      </c>
      <c r="I817" s="3">
        <v>69657</v>
      </c>
      <c r="J817" s="3">
        <v>17</v>
      </c>
      <c r="K817" s="3">
        <v>10</v>
      </c>
      <c r="L817" s="3">
        <v>4</v>
      </c>
      <c r="M817" s="3">
        <v>3</v>
      </c>
      <c r="N817" s="3" t="s">
        <v>14</v>
      </c>
      <c r="O817" s="3" t="s">
        <v>13</v>
      </c>
      <c r="P817" s="3">
        <v>3</v>
      </c>
      <c r="Q817" s="3">
        <v>0</v>
      </c>
      <c r="R817" s="4" t="s">
        <v>14</v>
      </c>
      <c r="S817" s="4" t="s">
        <v>14</v>
      </c>
      <c r="T817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818" spans="1:20" ht="18" x14ac:dyDescent="0.35">
      <c r="A818" s="3" t="s">
        <v>861</v>
      </c>
      <c r="B818" s="3" t="str">
        <f>IF(Table1[[#This Row],[Age]]&lt;25,"Under 25",IF(Table1[[#This Row],[Age]]&lt;35,"25-34",IF(Table1[[#This Row],[Age]]&lt;45,"35-44",IF(Table1[[#This Row],[Age]]&lt;55,"45-54","55+"))))</f>
        <v>25-34</v>
      </c>
      <c r="C818" s="3">
        <v>27</v>
      </c>
      <c r="D818" s="3" t="s">
        <v>7</v>
      </c>
      <c r="E818" s="3" t="s">
        <v>34</v>
      </c>
      <c r="F818" s="3" t="s">
        <v>91</v>
      </c>
      <c r="G818" s="3" t="s">
        <v>10</v>
      </c>
      <c r="H818" s="3" t="s">
        <v>19</v>
      </c>
      <c r="I818" s="3">
        <v>28717</v>
      </c>
      <c r="J818" s="3">
        <v>7</v>
      </c>
      <c r="K818" s="3">
        <v>7</v>
      </c>
      <c r="L818" s="3">
        <v>2</v>
      </c>
      <c r="M818" s="3">
        <v>2</v>
      </c>
      <c r="N818" s="3" t="s">
        <v>14</v>
      </c>
      <c r="O818" s="3" t="s">
        <v>13</v>
      </c>
      <c r="P818" s="3">
        <v>3</v>
      </c>
      <c r="Q818" s="3">
        <v>3</v>
      </c>
      <c r="R818" s="4" t="s">
        <v>14</v>
      </c>
      <c r="S818" s="4" t="s">
        <v>14</v>
      </c>
      <c r="T818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819" spans="1:20" ht="18" x14ac:dyDescent="0.35">
      <c r="A819" s="3" t="s">
        <v>862</v>
      </c>
      <c r="B819" s="3" t="str">
        <f>IF(Table1[[#This Row],[Age]]&lt;25,"Under 25",IF(Table1[[#This Row],[Age]]&lt;35,"25-34",IF(Table1[[#This Row],[Age]]&lt;45,"35-44",IF(Table1[[#This Row],[Age]]&lt;55,"45-54","55+"))))</f>
        <v>25-34</v>
      </c>
      <c r="C819" s="3">
        <v>28</v>
      </c>
      <c r="D819" s="3" t="s">
        <v>22</v>
      </c>
      <c r="E819" s="3" t="s">
        <v>51</v>
      </c>
      <c r="F819" s="3" t="s">
        <v>80</v>
      </c>
      <c r="G819" s="3" t="s">
        <v>18</v>
      </c>
      <c r="H819" s="3" t="s">
        <v>11</v>
      </c>
      <c r="I819" s="3">
        <v>40773</v>
      </c>
      <c r="J819" s="3">
        <v>3</v>
      </c>
      <c r="K819" s="3">
        <v>3</v>
      </c>
      <c r="L819" s="3">
        <v>1</v>
      </c>
      <c r="M819" s="3">
        <v>3</v>
      </c>
      <c r="N819" s="3" t="s">
        <v>14</v>
      </c>
      <c r="O819" s="3" t="s">
        <v>26</v>
      </c>
      <c r="P819" s="3">
        <v>3</v>
      </c>
      <c r="Q819" s="3">
        <v>1</v>
      </c>
      <c r="R819" s="4" t="s">
        <v>14</v>
      </c>
      <c r="S819" s="4" t="s">
        <v>14</v>
      </c>
      <c r="T819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820" spans="1:20" ht="18" x14ac:dyDescent="0.35">
      <c r="A820" s="3" t="s">
        <v>863</v>
      </c>
      <c r="B820" s="3" t="str">
        <f>IF(Table1[[#This Row],[Age]]&lt;25,"Under 25",IF(Table1[[#This Row],[Age]]&lt;35,"25-34",IF(Table1[[#This Row],[Age]]&lt;45,"35-44",IF(Table1[[#This Row],[Age]]&lt;55,"45-54","55+"))))</f>
        <v>25-34</v>
      </c>
      <c r="C820" s="3">
        <v>26</v>
      </c>
      <c r="D820" s="3" t="s">
        <v>22</v>
      </c>
      <c r="E820" s="3" t="s">
        <v>51</v>
      </c>
      <c r="F820" s="3" t="s">
        <v>52</v>
      </c>
      <c r="G820" s="3" t="s">
        <v>25</v>
      </c>
      <c r="H820" s="3" t="s">
        <v>11</v>
      </c>
      <c r="I820" s="3">
        <v>79541</v>
      </c>
      <c r="J820" s="3">
        <v>3</v>
      </c>
      <c r="K820" s="3">
        <v>2</v>
      </c>
      <c r="L820" s="3">
        <v>2</v>
      </c>
      <c r="M820" s="3">
        <v>3</v>
      </c>
      <c r="N820" s="3" t="s">
        <v>12</v>
      </c>
      <c r="O820" s="3" t="s">
        <v>26</v>
      </c>
      <c r="P820" s="3">
        <v>3</v>
      </c>
      <c r="Q820" s="3">
        <v>0</v>
      </c>
      <c r="R820" s="4" t="s">
        <v>14</v>
      </c>
      <c r="S820" s="4" t="s">
        <v>12</v>
      </c>
      <c r="T820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821" spans="1:20" ht="18" x14ac:dyDescent="0.35">
      <c r="A821" s="3" t="s">
        <v>864</v>
      </c>
      <c r="B821" s="3" t="str">
        <f>IF(Table1[[#This Row],[Age]]&lt;25,"Under 25",IF(Table1[[#This Row],[Age]]&lt;35,"25-34",IF(Table1[[#This Row],[Age]]&lt;45,"35-44",IF(Table1[[#This Row],[Age]]&lt;55,"45-54","55+"))))</f>
        <v>Under 25</v>
      </c>
      <c r="C821" s="3">
        <v>22</v>
      </c>
      <c r="D821" s="3" t="s">
        <v>22</v>
      </c>
      <c r="E821" s="3" t="s">
        <v>16</v>
      </c>
      <c r="F821" s="3" t="s">
        <v>47</v>
      </c>
      <c r="G821" s="3" t="s">
        <v>25</v>
      </c>
      <c r="H821" s="3" t="s">
        <v>11</v>
      </c>
      <c r="I821" s="3">
        <v>66790</v>
      </c>
      <c r="J821" s="3">
        <v>0</v>
      </c>
      <c r="K821" s="3">
        <v>0</v>
      </c>
      <c r="L821" s="3">
        <v>3</v>
      </c>
      <c r="M821" s="3">
        <v>4</v>
      </c>
      <c r="N821" s="3" t="s">
        <v>14</v>
      </c>
      <c r="O821" s="3" t="s">
        <v>13</v>
      </c>
      <c r="P821" s="3">
        <v>3</v>
      </c>
      <c r="Q821" s="3">
        <v>2</v>
      </c>
      <c r="R821" s="4" t="s">
        <v>14</v>
      </c>
      <c r="S821" s="4" t="s">
        <v>14</v>
      </c>
      <c r="T821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Less than 1 Year</v>
      </c>
    </row>
    <row r="822" spans="1:20" ht="18" x14ac:dyDescent="0.35">
      <c r="A822" s="3" t="s">
        <v>865</v>
      </c>
      <c r="B822" s="3" t="str">
        <f>IF(Table1[[#This Row],[Age]]&lt;25,"Under 25",IF(Table1[[#This Row],[Age]]&lt;35,"25-34",IF(Table1[[#This Row],[Age]]&lt;45,"35-44",IF(Table1[[#This Row],[Age]]&lt;55,"45-54","55+"))))</f>
        <v>35-44</v>
      </c>
      <c r="C822" s="3">
        <v>36</v>
      </c>
      <c r="D822" s="3" t="s">
        <v>7</v>
      </c>
      <c r="E822" s="3" t="s">
        <v>34</v>
      </c>
      <c r="F822" s="3" t="s">
        <v>91</v>
      </c>
      <c r="G822" s="3" t="s">
        <v>10</v>
      </c>
      <c r="H822" s="3" t="s">
        <v>11</v>
      </c>
      <c r="I822" s="3">
        <v>83526</v>
      </c>
      <c r="J822" s="3">
        <v>11</v>
      </c>
      <c r="K822" s="3">
        <v>2</v>
      </c>
      <c r="L822" s="3">
        <v>2</v>
      </c>
      <c r="M822" s="3">
        <v>4</v>
      </c>
      <c r="N822" s="3" t="s">
        <v>12</v>
      </c>
      <c r="O822" s="3" t="s">
        <v>20</v>
      </c>
      <c r="P822" s="3">
        <v>3</v>
      </c>
      <c r="Q822" s="3">
        <v>5</v>
      </c>
      <c r="R822" s="4" t="s">
        <v>14</v>
      </c>
      <c r="S822" s="4" t="s">
        <v>14</v>
      </c>
      <c r="T822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823" spans="1:20" ht="18" x14ac:dyDescent="0.35">
      <c r="A823" s="3" t="s">
        <v>866</v>
      </c>
      <c r="B823" s="3" t="str">
        <f>IF(Table1[[#This Row],[Age]]&lt;25,"Under 25",IF(Table1[[#This Row],[Age]]&lt;35,"25-34",IF(Table1[[#This Row],[Age]]&lt;45,"35-44",IF(Table1[[#This Row],[Age]]&lt;55,"45-54","55+"))))</f>
        <v>25-34</v>
      </c>
      <c r="C823" s="3">
        <v>25</v>
      </c>
      <c r="D823" s="3" t="s">
        <v>22</v>
      </c>
      <c r="E823" s="3" t="s">
        <v>8</v>
      </c>
      <c r="F823" s="3" t="s">
        <v>23</v>
      </c>
      <c r="G823" s="3" t="s">
        <v>10</v>
      </c>
      <c r="H823" s="3" t="s">
        <v>11</v>
      </c>
      <c r="I823" s="3">
        <v>57198</v>
      </c>
      <c r="J823" s="3">
        <v>7</v>
      </c>
      <c r="K823" s="3">
        <v>2</v>
      </c>
      <c r="L823" s="3">
        <v>4</v>
      </c>
      <c r="M823" s="3">
        <v>3</v>
      </c>
      <c r="N823" s="3" t="s">
        <v>12</v>
      </c>
      <c r="O823" s="3" t="s">
        <v>20</v>
      </c>
      <c r="P823" s="3">
        <v>3</v>
      </c>
      <c r="Q823" s="3">
        <v>4</v>
      </c>
      <c r="R823" s="4" t="s">
        <v>14</v>
      </c>
      <c r="S823" s="4" t="s">
        <v>14</v>
      </c>
      <c r="T823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824" spans="1:20" ht="18" x14ac:dyDescent="0.35">
      <c r="A824" s="3" t="s">
        <v>867</v>
      </c>
      <c r="B824" s="3" t="str">
        <f>IF(Table1[[#This Row],[Age]]&lt;25,"Under 25",IF(Table1[[#This Row],[Age]]&lt;35,"25-34",IF(Table1[[#This Row],[Age]]&lt;45,"35-44",IF(Table1[[#This Row],[Age]]&lt;55,"45-54","55+"))))</f>
        <v>25-34</v>
      </c>
      <c r="C824" s="3">
        <v>26</v>
      </c>
      <c r="D824" s="3" t="s">
        <v>7</v>
      </c>
      <c r="E824" s="3" t="s">
        <v>38</v>
      </c>
      <c r="F824" s="3" t="s">
        <v>89</v>
      </c>
      <c r="G824" s="3" t="s">
        <v>10</v>
      </c>
      <c r="H824" s="3" t="s">
        <v>11</v>
      </c>
      <c r="I824" s="3">
        <v>56317</v>
      </c>
      <c r="J824" s="3">
        <v>3</v>
      </c>
      <c r="K824" s="3">
        <v>0</v>
      </c>
      <c r="L824" s="3">
        <v>2</v>
      </c>
      <c r="M824" s="3">
        <v>2</v>
      </c>
      <c r="N824" s="3" t="s">
        <v>14</v>
      </c>
      <c r="O824" s="3" t="s">
        <v>13</v>
      </c>
      <c r="P824" s="3">
        <v>3</v>
      </c>
      <c r="Q824" s="3">
        <v>3</v>
      </c>
      <c r="R824" s="4" t="s">
        <v>14</v>
      </c>
      <c r="S824" s="4" t="s">
        <v>14</v>
      </c>
      <c r="T824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825" spans="1:20" ht="18" x14ac:dyDescent="0.35">
      <c r="A825" s="3" t="s">
        <v>868</v>
      </c>
      <c r="B825" s="3" t="str">
        <f>IF(Table1[[#This Row],[Age]]&lt;25,"Under 25",IF(Table1[[#This Row],[Age]]&lt;35,"25-34",IF(Table1[[#This Row],[Age]]&lt;45,"35-44",IF(Table1[[#This Row],[Age]]&lt;55,"45-54","55+"))))</f>
        <v>25-34</v>
      </c>
      <c r="C825" s="3">
        <v>33</v>
      </c>
      <c r="D825" s="3" t="s">
        <v>22</v>
      </c>
      <c r="E825" s="3" t="s">
        <v>16</v>
      </c>
      <c r="F825" s="3" t="s">
        <v>17</v>
      </c>
      <c r="G825" s="3" t="s">
        <v>10</v>
      </c>
      <c r="H825" s="3" t="s">
        <v>19</v>
      </c>
      <c r="I825" s="3">
        <v>66027</v>
      </c>
      <c r="J825" s="3">
        <v>9</v>
      </c>
      <c r="K825" s="3">
        <v>7</v>
      </c>
      <c r="L825" s="3">
        <v>4</v>
      </c>
      <c r="M825" s="3">
        <v>2</v>
      </c>
      <c r="N825" s="3" t="s">
        <v>14</v>
      </c>
      <c r="O825" s="3" t="s">
        <v>13</v>
      </c>
      <c r="P825" s="3">
        <v>3</v>
      </c>
      <c r="Q825" s="3">
        <v>5</v>
      </c>
      <c r="R825" s="4" t="s">
        <v>14</v>
      </c>
      <c r="S825" s="4" t="s">
        <v>14</v>
      </c>
      <c r="T825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826" spans="1:20" ht="18" x14ac:dyDescent="0.35">
      <c r="A826" s="3" t="s">
        <v>869</v>
      </c>
      <c r="B826" s="3" t="str">
        <f>IF(Table1[[#This Row],[Age]]&lt;25,"Under 25",IF(Table1[[#This Row],[Age]]&lt;35,"25-34",IF(Table1[[#This Row],[Age]]&lt;45,"35-44",IF(Table1[[#This Row],[Age]]&lt;55,"45-54","55+"))))</f>
        <v>35-44</v>
      </c>
      <c r="C826" s="3">
        <v>39</v>
      </c>
      <c r="D826" s="3" t="s">
        <v>7</v>
      </c>
      <c r="E826" s="3" t="s">
        <v>31</v>
      </c>
      <c r="F826" s="3" t="s">
        <v>136</v>
      </c>
      <c r="G826" s="3" t="s">
        <v>25</v>
      </c>
      <c r="H826" s="3" t="s">
        <v>11</v>
      </c>
      <c r="I826" s="3">
        <v>79194</v>
      </c>
      <c r="J826" s="3">
        <v>7</v>
      </c>
      <c r="K826" s="3">
        <v>5</v>
      </c>
      <c r="L826" s="3">
        <v>2</v>
      </c>
      <c r="M826" s="3">
        <v>2</v>
      </c>
      <c r="N826" s="3" t="s">
        <v>14</v>
      </c>
      <c r="O826" s="3" t="s">
        <v>26</v>
      </c>
      <c r="P826" s="3">
        <v>3</v>
      </c>
      <c r="Q826" s="3">
        <v>1</v>
      </c>
      <c r="R826" s="4" t="s">
        <v>14</v>
      </c>
      <c r="S826" s="4" t="s">
        <v>14</v>
      </c>
      <c r="T826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827" spans="1:20" ht="18" x14ac:dyDescent="0.35">
      <c r="A827" s="3" t="s">
        <v>870</v>
      </c>
      <c r="B827" s="3" t="str">
        <f>IF(Table1[[#This Row],[Age]]&lt;25,"Under 25",IF(Table1[[#This Row],[Age]]&lt;35,"25-34",IF(Table1[[#This Row],[Age]]&lt;45,"35-44",IF(Table1[[#This Row],[Age]]&lt;55,"45-54","55+"))))</f>
        <v>35-44</v>
      </c>
      <c r="C827" s="3">
        <v>40</v>
      </c>
      <c r="D827" s="3" t="s">
        <v>7</v>
      </c>
      <c r="E827" s="3" t="s">
        <v>16</v>
      </c>
      <c r="F827" s="3" t="s">
        <v>17</v>
      </c>
      <c r="G827" s="3" t="s">
        <v>10</v>
      </c>
      <c r="H827" s="3" t="s">
        <v>19</v>
      </c>
      <c r="I827" s="3">
        <v>30261</v>
      </c>
      <c r="J827" s="3">
        <v>12</v>
      </c>
      <c r="K827" s="3">
        <v>3</v>
      </c>
      <c r="L827" s="3">
        <v>2</v>
      </c>
      <c r="M827" s="3">
        <v>4</v>
      </c>
      <c r="N827" s="3" t="s">
        <v>14</v>
      </c>
      <c r="O827" s="3" t="s">
        <v>20</v>
      </c>
      <c r="P827" s="3">
        <v>3</v>
      </c>
      <c r="Q827" s="3">
        <v>3</v>
      </c>
      <c r="R827" s="4" t="s">
        <v>14</v>
      </c>
      <c r="S827" s="4" t="s">
        <v>14</v>
      </c>
      <c r="T827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828" spans="1:20" ht="18" x14ac:dyDescent="0.35">
      <c r="A828" s="3" t="s">
        <v>871</v>
      </c>
      <c r="B828" s="3" t="str">
        <f>IF(Table1[[#This Row],[Age]]&lt;25,"Under 25",IF(Table1[[#This Row],[Age]]&lt;35,"25-34",IF(Table1[[#This Row],[Age]]&lt;45,"35-44",IF(Table1[[#This Row],[Age]]&lt;55,"45-54","55+"))))</f>
        <v>Under 25</v>
      </c>
      <c r="C828" s="3">
        <v>21</v>
      </c>
      <c r="D828" s="3" t="s">
        <v>22</v>
      </c>
      <c r="E828" s="3" t="s">
        <v>34</v>
      </c>
      <c r="F828" s="3" t="s">
        <v>150</v>
      </c>
      <c r="G828" s="3" t="s">
        <v>45</v>
      </c>
      <c r="H828" s="3" t="s">
        <v>19</v>
      </c>
      <c r="I828" s="3">
        <v>38346</v>
      </c>
      <c r="J828" s="3">
        <v>3</v>
      </c>
      <c r="K828" s="3">
        <v>3</v>
      </c>
      <c r="L828" s="3">
        <v>1</v>
      </c>
      <c r="M828" s="3">
        <v>4</v>
      </c>
      <c r="N828" s="3" t="s">
        <v>14</v>
      </c>
      <c r="O828" s="3" t="s">
        <v>13</v>
      </c>
      <c r="P828" s="3">
        <v>3</v>
      </c>
      <c r="Q828" s="3">
        <v>3</v>
      </c>
      <c r="R828" s="4" t="s">
        <v>14</v>
      </c>
      <c r="S828" s="4" t="s">
        <v>14</v>
      </c>
      <c r="T828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829" spans="1:20" ht="18" x14ac:dyDescent="0.35">
      <c r="A829" s="3" t="s">
        <v>872</v>
      </c>
      <c r="B829" s="3" t="str">
        <f>IF(Table1[[#This Row],[Age]]&lt;25,"Under 25",IF(Table1[[#This Row],[Age]]&lt;35,"25-34",IF(Table1[[#This Row],[Age]]&lt;45,"35-44",IF(Table1[[#This Row],[Age]]&lt;55,"45-54","55+"))))</f>
        <v>25-34</v>
      </c>
      <c r="C829" s="3">
        <v>30</v>
      </c>
      <c r="D829" s="3" t="s">
        <v>22</v>
      </c>
      <c r="E829" s="3" t="s">
        <v>38</v>
      </c>
      <c r="F829" s="3" t="s">
        <v>89</v>
      </c>
      <c r="G829" s="3" t="s">
        <v>10</v>
      </c>
      <c r="H829" s="3" t="s">
        <v>11</v>
      </c>
      <c r="I829" s="3">
        <v>93779</v>
      </c>
      <c r="J829" s="3">
        <v>6</v>
      </c>
      <c r="K829" s="3">
        <v>2</v>
      </c>
      <c r="L829" s="3">
        <v>4</v>
      </c>
      <c r="M829" s="3">
        <v>4</v>
      </c>
      <c r="N829" s="3" t="s">
        <v>14</v>
      </c>
      <c r="O829" s="3" t="s">
        <v>13</v>
      </c>
      <c r="P829" s="3">
        <v>3</v>
      </c>
      <c r="Q829" s="3">
        <v>2</v>
      </c>
      <c r="R829" s="4" t="s">
        <v>14</v>
      </c>
      <c r="S829" s="4" t="s">
        <v>12</v>
      </c>
      <c r="T829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830" spans="1:20" ht="18" x14ac:dyDescent="0.35">
      <c r="A830" s="3" t="s">
        <v>873</v>
      </c>
      <c r="B830" s="3" t="str">
        <f>IF(Table1[[#This Row],[Age]]&lt;25,"Under 25",IF(Table1[[#This Row],[Age]]&lt;35,"25-34",IF(Table1[[#This Row],[Age]]&lt;45,"35-44",IF(Table1[[#This Row],[Age]]&lt;55,"45-54","55+"))))</f>
        <v>Under 25</v>
      </c>
      <c r="C830" s="3">
        <v>21</v>
      </c>
      <c r="D830" s="3" t="s">
        <v>7</v>
      </c>
      <c r="E830" s="3" t="s">
        <v>38</v>
      </c>
      <c r="F830" s="3" t="s">
        <v>39</v>
      </c>
      <c r="G830" s="3" t="s">
        <v>25</v>
      </c>
      <c r="H830" s="3" t="s">
        <v>19</v>
      </c>
      <c r="I830" s="3">
        <v>40490</v>
      </c>
      <c r="J830" s="3">
        <v>1</v>
      </c>
      <c r="K830" s="3">
        <v>1</v>
      </c>
      <c r="L830" s="3">
        <v>3</v>
      </c>
      <c r="M830" s="3">
        <v>4</v>
      </c>
      <c r="N830" s="3" t="s">
        <v>14</v>
      </c>
      <c r="O830" s="3" t="s">
        <v>13</v>
      </c>
      <c r="P830" s="3">
        <v>4</v>
      </c>
      <c r="Q830" s="3">
        <v>3</v>
      </c>
      <c r="R830" s="4" t="s">
        <v>14</v>
      </c>
      <c r="S830" s="4" t="s">
        <v>14</v>
      </c>
      <c r="T830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831" spans="1:20" ht="18" x14ac:dyDescent="0.35">
      <c r="A831" s="3" t="s">
        <v>874</v>
      </c>
      <c r="B831" s="3" t="str">
        <f>IF(Table1[[#This Row],[Age]]&lt;25,"Under 25",IF(Table1[[#This Row],[Age]]&lt;35,"25-34",IF(Table1[[#This Row],[Age]]&lt;45,"35-44",IF(Table1[[#This Row],[Age]]&lt;55,"45-54","55+"))))</f>
        <v>25-34</v>
      </c>
      <c r="C831" s="3">
        <v>28</v>
      </c>
      <c r="D831" s="3" t="s">
        <v>7</v>
      </c>
      <c r="E831" s="3" t="s">
        <v>8</v>
      </c>
      <c r="F831" s="3" t="s">
        <v>23</v>
      </c>
      <c r="G831" s="3" t="s">
        <v>25</v>
      </c>
      <c r="H831" s="3" t="s">
        <v>42</v>
      </c>
      <c r="I831" s="3">
        <v>43248</v>
      </c>
      <c r="J831" s="3">
        <v>3</v>
      </c>
      <c r="K831" s="3">
        <v>0</v>
      </c>
      <c r="L831" s="3">
        <v>3</v>
      </c>
      <c r="M831" s="3">
        <v>3</v>
      </c>
      <c r="N831" s="3" t="s">
        <v>14</v>
      </c>
      <c r="O831" s="3" t="s">
        <v>13</v>
      </c>
      <c r="P831" s="3">
        <v>3</v>
      </c>
      <c r="Q831" s="3">
        <v>2</v>
      </c>
      <c r="R831" s="4" t="s">
        <v>12</v>
      </c>
      <c r="S831" s="4" t="s">
        <v>14</v>
      </c>
      <c r="T831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832" spans="1:20" ht="18" x14ac:dyDescent="0.35">
      <c r="A832" s="3" t="s">
        <v>875</v>
      </c>
      <c r="B832" s="3" t="str">
        <f>IF(Table1[[#This Row],[Age]]&lt;25,"Under 25",IF(Table1[[#This Row],[Age]]&lt;35,"25-34",IF(Table1[[#This Row],[Age]]&lt;45,"35-44",IF(Table1[[#This Row],[Age]]&lt;55,"45-54","55+"))))</f>
        <v>35-44</v>
      </c>
      <c r="C832" s="3">
        <v>39</v>
      </c>
      <c r="D832" s="3" t="s">
        <v>7</v>
      </c>
      <c r="E832" s="3" t="s">
        <v>51</v>
      </c>
      <c r="F832" s="3" t="s">
        <v>52</v>
      </c>
      <c r="G832" s="3" t="s">
        <v>18</v>
      </c>
      <c r="H832" s="3" t="s">
        <v>11</v>
      </c>
      <c r="I832" s="3">
        <v>66205</v>
      </c>
      <c r="J832" s="3">
        <v>7</v>
      </c>
      <c r="K832" s="3">
        <v>7</v>
      </c>
      <c r="L832" s="3">
        <v>1</v>
      </c>
      <c r="M832" s="3">
        <v>3</v>
      </c>
      <c r="N832" s="3" t="s">
        <v>14</v>
      </c>
      <c r="O832" s="3" t="s">
        <v>20</v>
      </c>
      <c r="P832" s="3">
        <v>3</v>
      </c>
      <c r="Q832" s="3">
        <v>2</v>
      </c>
      <c r="R832" s="4" t="s">
        <v>14</v>
      </c>
      <c r="S832" s="4" t="s">
        <v>14</v>
      </c>
      <c r="T832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833" spans="1:20" ht="18" x14ac:dyDescent="0.35">
      <c r="A833" s="3" t="s">
        <v>876</v>
      </c>
      <c r="B833" s="3" t="str">
        <f>IF(Table1[[#This Row],[Age]]&lt;25,"Under 25",IF(Table1[[#This Row],[Age]]&lt;35,"25-34",IF(Table1[[#This Row],[Age]]&lt;45,"35-44",IF(Table1[[#This Row],[Age]]&lt;55,"45-54","55+"))))</f>
        <v>25-34</v>
      </c>
      <c r="C833" s="3">
        <v>30</v>
      </c>
      <c r="D833" s="3" t="s">
        <v>22</v>
      </c>
      <c r="E833" s="3" t="s">
        <v>8</v>
      </c>
      <c r="F833" s="3" t="s">
        <v>23</v>
      </c>
      <c r="G833" s="3" t="s">
        <v>25</v>
      </c>
      <c r="H833" s="3" t="s">
        <v>11</v>
      </c>
      <c r="I833" s="3">
        <v>58092</v>
      </c>
      <c r="J833" s="3">
        <v>6</v>
      </c>
      <c r="K833" s="3">
        <v>2</v>
      </c>
      <c r="L833" s="3">
        <v>3</v>
      </c>
      <c r="M833" s="3">
        <v>4</v>
      </c>
      <c r="N833" s="3" t="s">
        <v>14</v>
      </c>
      <c r="O833" s="3" t="s">
        <v>20</v>
      </c>
      <c r="P833" s="3">
        <v>3</v>
      </c>
      <c r="Q833" s="3">
        <v>3</v>
      </c>
      <c r="R833" s="4" t="s">
        <v>14</v>
      </c>
      <c r="S833" s="4" t="s">
        <v>14</v>
      </c>
      <c r="T833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834" spans="1:20" ht="18" x14ac:dyDescent="0.35">
      <c r="A834" s="3" t="s">
        <v>877</v>
      </c>
      <c r="B834" s="3" t="str">
        <f>IF(Table1[[#This Row],[Age]]&lt;25,"Under 25",IF(Table1[[#This Row],[Age]]&lt;35,"25-34",IF(Table1[[#This Row],[Age]]&lt;45,"35-44",IF(Table1[[#This Row],[Age]]&lt;55,"45-54","55+"))))</f>
        <v>35-44</v>
      </c>
      <c r="C834" s="3">
        <v>35</v>
      </c>
      <c r="D834" s="3" t="s">
        <v>7</v>
      </c>
      <c r="E834" s="3" t="s">
        <v>38</v>
      </c>
      <c r="F834" s="3" t="s">
        <v>39</v>
      </c>
      <c r="G834" s="3" t="s">
        <v>18</v>
      </c>
      <c r="H834" s="3" t="s">
        <v>11</v>
      </c>
      <c r="I834" s="3">
        <v>31453</v>
      </c>
      <c r="J834" s="3">
        <v>13</v>
      </c>
      <c r="K834" s="3">
        <v>9</v>
      </c>
      <c r="L834" s="3">
        <v>3</v>
      </c>
      <c r="M834" s="3">
        <v>3</v>
      </c>
      <c r="N834" s="3" t="s">
        <v>14</v>
      </c>
      <c r="O834" s="3" t="s">
        <v>13</v>
      </c>
      <c r="P834" s="3">
        <v>3</v>
      </c>
      <c r="Q834" s="3">
        <v>1</v>
      </c>
      <c r="R834" s="4" t="s">
        <v>14</v>
      </c>
      <c r="S834" s="4" t="s">
        <v>14</v>
      </c>
      <c r="T834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835" spans="1:20" ht="18" x14ac:dyDescent="0.35">
      <c r="A835" s="3" t="s">
        <v>878</v>
      </c>
      <c r="B835" s="3" t="str">
        <f>IF(Table1[[#This Row],[Age]]&lt;25,"Under 25",IF(Table1[[#This Row],[Age]]&lt;35,"25-34",IF(Table1[[#This Row],[Age]]&lt;45,"35-44",IF(Table1[[#This Row],[Age]]&lt;55,"45-54","55+"))))</f>
        <v>35-44</v>
      </c>
      <c r="C835" s="3">
        <v>38</v>
      </c>
      <c r="D835" s="3" t="s">
        <v>22</v>
      </c>
      <c r="E835" s="3" t="s">
        <v>51</v>
      </c>
      <c r="F835" s="3" t="s">
        <v>72</v>
      </c>
      <c r="G835" s="3" t="s">
        <v>25</v>
      </c>
      <c r="H835" s="3" t="s">
        <v>11</v>
      </c>
      <c r="I835" s="3">
        <v>60834</v>
      </c>
      <c r="J835" s="3">
        <v>20</v>
      </c>
      <c r="K835" s="3">
        <v>5</v>
      </c>
      <c r="L835" s="3">
        <v>3</v>
      </c>
      <c r="M835" s="3">
        <v>3</v>
      </c>
      <c r="N835" s="3" t="s">
        <v>14</v>
      </c>
      <c r="O835" s="3" t="s">
        <v>13</v>
      </c>
      <c r="P835" s="3">
        <v>2</v>
      </c>
      <c r="Q835" s="3">
        <v>1</v>
      </c>
      <c r="R835" s="4" t="s">
        <v>12</v>
      </c>
      <c r="S835" s="4" t="s">
        <v>14</v>
      </c>
      <c r="T835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836" spans="1:20" ht="18" x14ac:dyDescent="0.35">
      <c r="A836" s="3" t="s">
        <v>879</v>
      </c>
      <c r="B836" s="3" t="str">
        <f>IF(Table1[[#This Row],[Age]]&lt;25,"Under 25",IF(Table1[[#This Row],[Age]]&lt;35,"25-34",IF(Table1[[#This Row],[Age]]&lt;45,"35-44",IF(Table1[[#This Row],[Age]]&lt;55,"45-54","55+"))))</f>
        <v>25-34</v>
      </c>
      <c r="C836" s="3">
        <v>32</v>
      </c>
      <c r="D836" s="3" t="s">
        <v>22</v>
      </c>
      <c r="E836" s="3" t="s">
        <v>16</v>
      </c>
      <c r="F836" s="3" t="s">
        <v>47</v>
      </c>
      <c r="G836" s="3" t="s">
        <v>25</v>
      </c>
      <c r="H836" s="3" t="s">
        <v>11</v>
      </c>
      <c r="I836" s="3">
        <v>29579</v>
      </c>
      <c r="J836" s="3">
        <v>9</v>
      </c>
      <c r="K836" s="3">
        <v>1</v>
      </c>
      <c r="L836" s="3">
        <v>1</v>
      </c>
      <c r="M836" s="3">
        <v>2</v>
      </c>
      <c r="N836" s="3" t="s">
        <v>14</v>
      </c>
      <c r="O836" s="3" t="s">
        <v>13</v>
      </c>
      <c r="P836" s="3">
        <v>3</v>
      </c>
      <c r="Q836" s="3">
        <v>2</v>
      </c>
      <c r="R836" s="4" t="s">
        <v>14</v>
      </c>
      <c r="S836" s="4" t="s">
        <v>14</v>
      </c>
      <c r="T836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837" spans="1:20" ht="18" x14ac:dyDescent="0.35">
      <c r="A837" s="3" t="s">
        <v>880</v>
      </c>
      <c r="B837" s="3" t="str">
        <f>IF(Table1[[#This Row],[Age]]&lt;25,"Under 25",IF(Table1[[#This Row],[Age]]&lt;35,"25-34",IF(Table1[[#This Row],[Age]]&lt;45,"35-44",IF(Table1[[#This Row],[Age]]&lt;55,"45-54","55+"))))</f>
        <v>Under 25</v>
      </c>
      <c r="C837" s="3">
        <v>23</v>
      </c>
      <c r="D837" s="3" t="s">
        <v>7</v>
      </c>
      <c r="E837" s="3" t="s">
        <v>16</v>
      </c>
      <c r="F837" s="3" t="s">
        <v>47</v>
      </c>
      <c r="G837" s="3" t="s">
        <v>25</v>
      </c>
      <c r="H837" s="3" t="s">
        <v>11</v>
      </c>
      <c r="I837" s="3">
        <v>48779</v>
      </c>
      <c r="J837" s="3">
        <v>0</v>
      </c>
      <c r="K837" s="3">
        <v>0</v>
      </c>
      <c r="L837" s="3">
        <v>2</v>
      </c>
      <c r="M837" s="3">
        <v>4</v>
      </c>
      <c r="N837" s="3" t="s">
        <v>12</v>
      </c>
      <c r="O837" s="3" t="s">
        <v>13</v>
      </c>
      <c r="P837" s="3">
        <v>3</v>
      </c>
      <c r="Q837" s="3">
        <v>3</v>
      </c>
      <c r="R837" s="4" t="s">
        <v>14</v>
      </c>
      <c r="S837" s="4" t="s">
        <v>14</v>
      </c>
      <c r="T837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Less than 1 Year</v>
      </c>
    </row>
    <row r="838" spans="1:20" ht="18" x14ac:dyDescent="0.35">
      <c r="A838" s="3" t="s">
        <v>881</v>
      </c>
      <c r="B838" s="3" t="str">
        <f>IF(Table1[[#This Row],[Age]]&lt;25,"Under 25",IF(Table1[[#This Row],[Age]]&lt;35,"25-34",IF(Table1[[#This Row],[Age]]&lt;45,"35-44",IF(Table1[[#This Row],[Age]]&lt;55,"45-54","55+"))))</f>
        <v>35-44</v>
      </c>
      <c r="C838" s="3">
        <v>38</v>
      </c>
      <c r="D838" s="3" t="s">
        <v>7</v>
      </c>
      <c r="E838" s="3" t="s">
        <v>8</v>
      </c>
      <c r="F838" s="3" t="s">
        <v>23</v>
      </c>
      <c r="G838" s="3" t="s">
        <v>10</v>
      </c>
      <c r="H838" s="3" t="s">
        <v>19</v>
      </c>
      <c r="I838" s="3">
        <v>84643</v>
      </c>
      <c r="J838" s="3">
        <v>19</v>
      </c>
      <c r="K838" s="3">
        <v>5</v>
      </c>
      <c r="L838" s="3">
        <v>3</v>
      </c>
      <c r="M838" s="3">
        <v>4</v>
      </c>
      <c r="N838" s="3" t="s">
        <v>14</v>
      </c>
      <c r="O838" s="3" t="s">
        <v>13</v>
      </c>
      <c r="P838" s="3">
        <v>2</v>
      </c>
      <c r="Q838" s="3">
        <v>3</v>
      </c>
      <c r="R838" s="4" t="s">
        <v>14</v>
      </c>
      <c r="S838" s="4" t="s">
        <v>14</v>
      </c>
      <c r="T838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839" spans="1:20" ht="18" x14ac:dyDescent="0.35">
      <c r="A839" s="3" t="s">
        <v>882</v>
      </c>
      <c r="B839" s="3" t="str">
        <f>IF(Table1[[#This Row],[Age]]&lt;25,"Under 25",IF(Table1[[#This Row],[Age]]&lt;35,"25-34",IF(Table1[[#This Row],[Age]]&lt;45,"35-44",IF(Table1[[#This Row],[Age]]&lt;55,"45-54","55+"))))</f>
        <v>Under 25</v>
      </c>
      <c r="C839" s="3">
        <v>22</v>
      </c>
      <c r="D839" s="3" t="s">
        <v>7</v>
      </c>
      <c r="E839" s="3" t="s">
        <v>8</v>
      </c>
      <c r="F839" s="3" t="s">
        <v>66</v>
      </c>
      <c r="G839" s="3" t="s">
        <v>25</v>
      </c>
      <c r="H839" s="3" t="s">
        <v>11</v>
      </c>
      <c r="I839" s="3">
        <v>57925</v>
      </c>
      <c r="J839" s="3">
        <v>3</v>
      </c>
      <c r="K839" s="3">
        <v>0</v>
      </c>
      <c r="L839" s="3">
        <v>3</v>
      </c>
      <c r="M839" s="3">
        <v>2</v>
      </c>
      <c r="N839" s="3" t="s">
        <v>14</v>
      </c>
      <c r="O839" s="3" t="s">
        <v>26</v>
      </c>
      <c r="P839" s="3">
        <v>2</v>
      </c>
      <c r="Q839" s="3">
        <v>6</v>
      </c>
      <c r="R839" s="4" t="s">
        <v>14</v>
      </c>
      <c r="S839" s="4" t="s">
        <v>14</v>
      </c>
      <c r="T839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840" spans="1:20" ht="18" x14ac:dyDescent="0.35">
      <c r="A840" s="3" t="s">
        <v>883</v>
      </c>
      <c r="B840" s="3" t="str">
        <f>IF(Table1[[#This Row],[Age]]&lt;25,"Under 25",IF(Table1[[#This Row],[Age]]&lt;35,"25-34",IF(Table1[[#This Row],[Age]]&lt;45,"35-44",IF(Table1[[#This Row],[Age]]&lt;55,"45-54","55+"))))</f>
        <v>25-34</v>
      </c>
      <c r="C840" s="3">
        <v>32</v>
      </c>
      <c r="D840" s="3" t="s">
        <v>22</v>
      </c>
      <c r="E840" s="3" t="s">
        <v>8</v>
      </c>
      <c r="F840" s="3" t="s">
        <v>66</v>
      </c>
      <c r="G840" s="3" t="s">
        <v>10</v>
      </c>
      <c r="H840" s="3" t="s">
        <v>11</v>
      </c>
      <c r="I840" s="3">
        <v>89360</v>
      </c>
      <c r="J840" s="3">
        <v>3</v>
      </c>
      <c r="K840" s="3">
        <v>2</v>
      </c>
      <c r="L840" s="3">
        <v>2</v>
      </c>
      <c r="M840" s="3">
        <v>3</v>
      </c>
      <c r="N840" s="3" t="s">
        <v>12</v>
      </c>
      <c r="O840" s="3" t="s">
        <v>13</v>
      </c>
      <c r="P840" s="3">
        <v>3</v>
      </c>
      <c r="Q840" s="3">
        <v>1</v>
      </c>
      <c r="R840" s="4" t="s">
        <v>14</v>
      </c>
      <c r="S840" s="4" t="s">
        <v>14</v>
      </c>
      <c r="T840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841" spans="1:20" ht="18" x14ac:dyDescent="0.35">
      <c r="A841" s="3" t="s">
        <v>884</v>
      </c>
      <c r="B841" s="3" t="str">
        <f>IF(Table1[[#This Row],[Age]]&lt;25,"Under 25",IF(Table1[[#This Row],[Age]]&lt;35,"25-34",IF(Table1[[#This Row],[Age]]&lt;45,"35-44",IF(Table1[[#This Row],[Age]]&lt;55,"45-54","55+"))))</f>
        <v>35-44</v>
      </c>
      <c r="C841" s="3">
        <v>39</v>
      </c>
      <c r="D841" s="3" t="s">
        <v>22</v>
      </c>
      <c r="E841" s="3" t="s">
        <v>34</v>
      </c>
      <c r="F841" s="3" t="s">
        <v>91</v>
      </c>
      <c r="G841" s="3" t="s">
        <v>25</v>
      </c>
      <c r="H841" s="3" t="s">
        <v>11</v>
      </c>
      <c r="I841" s="3">
        <v>57582</v>
      </c>
      <c r="J841" s="3">
        <v>0</v>
      </c>
      <c r="K841" s="3">
        <v>0</v>
      </c>
      <c r="L841" s="3">
        <v>1</v>
      </c>
      <c r="M841" s="3">
        <v>3</v>
      </c>
      <c r="N841" s="3" t="s">
        <v>14</v>
      </c>
      <c r="O841" s="3" t="s">
        <v>26</v>
      </c>
      <c r="P841" s="3">
        <v>3</v>
      </c>
      <c r="Q841" s="3">
        <v>2</v>
      </c>
      <c r="R841" s="4" t="s">
        <v>12</v>
      </c>
      <c r="S841" s="4" t="s">
        <v>14</v>
      </c>
      <c r="T841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Less than 1 Year</v>
      </c>
    </row>
    <row r="842" spans="1:20" ht="18" x14ac:dyDescent="0.35">
      <c r="A842" s="3" t="s">
        <v>885</v>
      </c>
      <c r="B842" s="3" t="str">
        <f>IF(Table1[[#This Row],[Age]]&lt;25,"Under 25",IF(Table1[[#This Row],[Age]]&lt;35,"25-34",IF(Table1[[#This Row],[Age]]&lt;45,"35-44",IF(Table1[[#This Row],[Age]]&lt;55,"45-54","55+"))))</f>
        <v>35-44</v>
      </c>
      <c r="C842" s="3">
        <v>35</v>
      </c>
      <c r="D842" s="3" t="s">
        <v>22</v>
      </c>
      <c r="E842" s="3" t="s">
        <v>8</v>
      </c>
      <c r="F842" s="3" t="s">
        <v>9</v>
      </c>
      <c r="G842" s="3" t="s">
        <v>10</v>
      </c>
      <c r="H842" s="3" t="s">
        <v>11</v>
      </c>
      <c r="I842" s="3">
        <v>45194</v>
      </c>
      <c r="J842" s="3">
        <v>15</v>
      </c>
      <c r="K842" s="3">
        <v>4</v>
      </c>
      <c r="L842" s="3">
        <v>3</v>
      </c>
      <c r="M842" s="3">
        <v>3</v>
      </c>
      <c r="N842" s="3" t="s">
        <v>14</v>
      </c>
      <c r="O842" s="3" t="s">
        <v>13</v>
      </c>
      <c r="P842" s="3">
        <v>3</v>
      </c>
      <c r="Q842" s="3">
        <v>4</v>
      </c>
      <c r="R842" s="4" t="s">
        <v>12</v>
      </c>
      <c r="S842" s="4" t="s">
        <v>14</v>
      </c>
      <c r="T842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843" spans="1:20" ht="18" x14ac:dyDescent="0.35">
      <c r="A843" s="3" t="s">
        <v>886</v>
      </c>
      <c r="B843" s="3" t="str">
        <f>IF(Table1[[#This Row],[Age]]&lt;25,"Under 25",IF(Table1[[#This Row],[Age]]&lt;35,"25-34",IF(Table1[[#This Row],[Age]]&lt;45,"35-44",IF(Table1[[#This Row],[Age]]&lt;55,"45-54","55+"))))</f>
        <v>25-34</v>
      </c>
      <c r="C843" s="3">
        <v>30</v>
      </c>
      <c r="D843" s="3" t="s">
        <v>7</v>
      </c>
      <c r="E843" s="3" t="s">
        <v>31</v>
      </c>
      <c r="F843" s="3" t="s">
        <v>136</v>
      </c>
      <c r="G843" s="3" t="s">
        <v>18</v>
      </c>
      <c r="H843" s="3" t="s">
        <v>11</v>
      </c>
      <c r="I843" s="3">
        <v>43331</v>
      </c>
      <c r="J843" s="3">
        <v>9</v>
      </c>
      <c r="K843" s="3">
        <v>4</v>
      </c>
      <c r="L843" s="3">
        <v>4</v>
      </c>
      <c r="M843" s="3">
        <v>3</v>
      </c>
      <c r="N843" s="3" t="s">
        <v>12</v>
      </c>
      <c r="O843" s="3" t="s">
        <v>13</v>
      </c>
      <c r="P843" s="3">
        <v>3</v>
      </c>
      <c r="Q843" s="3">
        <v>0</v>
      </c>
      <c r="R843" s="4" t="s">
        <v>12</v>
      </c>
      <c r="S843" s="4" t="s">
        <v>14</v>
      </c>
      <c r="T843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844" spans="1:20" ht="18" x14ac:dyDescent="0.35">
      <c r="A844" s="3" t="s">
        <v>887</v>
      </c>
      <c r="B844" s="3" t="str">
        <f>IF(Table1[[#This Row],[Age]]&lt;25,"Under 25",IF(Table1[[#This Row],[Age]]&lt;35,"25-34",IF(Table1[[#This Row],[Age]]&lt;45,"35-44",IF(Table1[[#This Row],[Age]]&lt;55,"45-54","55+"))))</f>
        <v>35-44</v>
      </c>
      <c r="C844" s="3">
        <v>35</v>
      </c>
      <c r="D844" s="3" t="s">
        <v>22</v>
      </c>
      <c r="E844" s="3" t="s">
        <v>38</v>
      </c>
      <c r="F844" s="3" t="s">
        <v>89</v>
      </c>
      <c r="G844" s="3" t="s">
        <v>25</v>
      </c>
      <c r="H844" s="3" t="s">
        <v>11</v>
      </c>
      <c r="I844" s="3">
        <v>77928</v>
      </c>
      <c r="J844" s="3">
        <v>10</v>
      </c>
      <c r="K844" s="3">
        <v>7</v>
      </c>
      <c r="L844" s="3">
        <v>1</v>
      </c>
      <c r="M844" s="3">
        <v>4</v>
      </c>
      <c r="N844" s="3" t="s">
        <v>12</v>
      </c>
      <c r="O844" s="3" t="s">
        <v>13</v>
      </c>
      <c r="P844" s="3">
        <v>3</v>
      </c>
      <c r="Q844" s="3">
        <v>6</v>
      </c>
      <c r="R844" s="4" t="s">
        <v>14</v>
      </c>
      <c r="S844" s="4" t="s">
        <v>14</v>
      </c>
      <c r="T844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845" spans="1:20" ht="18" x14ac:dyDescent="0.35">
      <c r="A845" s="3" t="s">
        <v>888</v>
      </c>
      <c r="B845" s="3" t="str">
        <f>IF(Table1[[#This Row],[Age]]&lt;25,"Under 25",IF(Table1[[#This Row],[Age]]&lt;35,"25-34",IF(Table1[[#This Row],[Age]]&lt;45,"35-44",IF(Table1[[#This Row],[Age]]&lt;55,"45-54","55+"))))</f>
        <v>Under 25</v>
      </c>
      <c r="C845" s="3">
        <v>23</v>
      </c>
      <c r="D845" s="3" t="s">
        <v>7</v>
      </c>
      <c r="E845" s="3" t="s">
        <v>8</v>
      </c>
      <c r="F845" s="3" t="s">
        <v>23</v>
      </c>
      <c r="G845" s="3" t="s">
        <v>10</v>
      </c>
      <c r="H845" s="3" t="s">
        <v>11</v>
      </c>
      <c r="I845" s="3">
        <v>57299</v>
      </c>
      <c r="J845" s="3">
        <v>2</v>
      </c>
      <c r="K845" s="3">
        <v>1</v>
      </c>
      <c r="L845" s="3">
        <v>3</v>
      </c>
      <c r="M845" s="3">
        <v>3</v>
      </c>
      <c r="N845" s="3" t="s">
        <v>14</v>
      </c>
      <c r="O845" s="3" t="s">
        <v>26</v>
      </c>
      <c r="P845" s="3">
        <v>3</v>
      </c>
      <c r="Q845" s="3">
        <v>6</v>
      </c>
      <c r="R845" s="4" t="s">
        <v>12</v>
      </c>
      <c r="S845" s="4" t="s">
        <v>12</v>
      </c>
      <c r="T845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846" spans="1:20" ht="18" x14ac:dyDescent="0.35">
      <c r="A846" s="3" t="s">
        <v>889</v>
      </c>
      <c r="B846" s="3" t="str">
        <f>IF(Table1[[#This Row],[Age]]&lt;25,"Under 25",IF(Table1[[#This Row],[Age]]&lt;35,"25-34",IF(Table1[[#This Row],[Age]]&lt;45,"35-44",IF(Table1[[#This Row],[Age]]&lt;55,"45-54","55+"))))</f>
        <v>25-34</v>
      </c>
      <c r="C846" s="3">
        <v>33</v>
      </c>
      <c r="D846" s="3" t="s">
        <v>22</v>
      </c>
      <c r="E846" s="3" t="s">
        <v>16</v>
      </c>
      <c r="F846" s="3" t="s">
        <v>47</v>
      </c>
      <c r="G846" s="3" t="s">
        <v>10</v>
      </c>
      <c r="H846" s="3" t="s">
        <v>19</v>
      </c>
      <c r="I846" s="3">
        <v>25696</v>
      </c>
      <c r="J846" s="3">
        <v>4</v>
      </c>
      <c r="K846" s="3">
        <v>3</v>
      </c>
      <c r="L846" s="3">
        <v>3</v>
      </c>
      <c r="M846" s="3">
        <v>2</v>
      </c>
      <c r="N846" s="3" t="s">
        <v>12</v>
      </c>
      <c r="O846" s="3" t="s">
        <v>26</v>
      </c>
      <c r="P846" s="3">
        <v>3</v>
      </c>
      <c r="Q846" s="3">
        <v>2</v>
      </c>
      <c r="R846" s="4" t="s">
        <v>14</v>
      </c>
      <c r="S846" s="4" t="s">
        <v>12</v>
      </c>
      <c r="T846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847" spans="1:20" ht="18" x14ac:dyDescent="0.35">
      <c r="A847" s="3" t="s">
        <v>890</v>
      </c>
      <c r="B847" s="3" t="str">
        <f>IF(Table1[[#This Row],[Age]]&lt;25,"Under 25",IF(Table1[[#This Row],[Age]]&lt;35,"25-34",IF(Table1[[#This Row],[Age]]&lt;45,"35-44",IF(Table1[[#This Row],[Age]]&lt;55,"45-54","55+"))))</f>
        <v>25-34</v>
      </c>
      <c r="C847" s="3">
        <v>33</v>
      </c>
      <c r="D847" s="3" t="s">
        <v>7</v>
      </c>
      <c r="E847" s="3" t="s">
        <v>34</v>
      </c>
      <c r="F847" s="3" t="s">
        <v>91</v>
      </c>
      <c r="G847" s="3" t="s">
        <v>10</v>
      </c>
      <c r="H847" s="3" t="s">
        <v>19</v>
      </c>
      <c r="I847" s="3">
        <v>82372</v>
      </c>
      <c r="J847" s="3">
        <v>5</v>
      </c>
      <c r="K847" s="3">
        <v>4</v>
      </c>
      <c r="L847" s="3">
        <v>4</v>
      </c>
      <c r="M847" s="3">
        <v>3</v>
      </c>
      <c r="N847" s="3" t="s">
        <v>14</v>
      </c>
      <c r="O847" s="3" t="s">
        <v>13</v>
      </c>
      <c r="P847" s="3">
        <v>2</v>
      </c>
      <c r="Q847" s="3">
        <v>6</v>
      </c>
      <c r="R847" s="4" t="s">
        <v>14</v>
      </c>
      <c r="S847" s="4" t="s">
        <v>14</v>
      </c>
      <c r="T847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848" spans="1:20" ht="18" x14ac:dyDescent="0.35">
      <c r="A848" s="3" t="s">
        <v>891</v>
      </c>
      <c r="B848" s="3" t="str">
        <f>IF(Table1[[#This Row],[Age]]&lt;25,"Under 25",IF(Table1[[#This Row],[Age]]&lt;35,"25-34",IF(Table1[[#This Row],[Age]]&lt;45,"35-44",IF(Table1[[#This Row],[Age]]&lt;55,"45-54","55+"))))</f>
        <v>25-34</v>
      </c>
      <c r="C848" s="3">
        <v>28</v>
      </c>
      <c r="D848" s="3" t="s">
        <v>22</v>
      </c>
      <c r="E848" s="3" t="s">
        <v>51</v>
      </c>
      <c r="F848" s="3" t="s">
        <v>52</v>
      </c>
      <c r="G848" s="3" t="s">
        <v>18</v>
      </c>
      <c r="H848" s="3" t="s">
        <v>19</v>
      </c>
      <c r="I848" s="3">
        <v>86237</v>
      </c>
      <c r="J848" s="3">
        <v>8</v>
      </c>
      <c r="K848" s="3">
        <v>6</v>
      </c>
      <c r="L848" s="3">
        <v>3</v>
      </c>
      <c r="M848" s="3">
        <v>2</v>
      </c>
      <c r="N848" s="3" t="s">
        <v>14</v>
      </c>
      <c r="O848" s="3" t="s">
        <v>13</v>
      </c>
      <c r="P848" s="3">
        <v>3</v>
      </c>
      <c r="Q848" s="3">
        <v>2</v>
      </c>
      <c r="R848" s="4" t="s">
        <v>14</v>
      </c>
      <c r="S848" s="4" t="s">
        <v>12</v>
      </c>
      <c r="T848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849" spans="1:20" ht="18" x14ac:dyDescent="0.35">
      <c r="A849" s="3" t="s">
        <v>892</v>
      </c>
      <c r="B849" s="3" t="str">
        <f>IF(Table1[[#This Row],[Age]]&lt;25,"Under 25",IF(Table1[[#This Row],[Age]]&lt;35,"25-34",IF(Table1[[#This Row],[Age]]&lt;45,"35-44",IF(Table1[[#This Row],[Age]]&lt;55,"45-54","55+"))))</f>
        <v>25-34</v>
      </c>
      <c r="C849" s="3">
        <v>34</v>
      </c>
      <c r="D849" s="3" t="s">
        <v>7</v>
      </c>
      <c r="E849" s="3" t="s">
        <v>31</v>
      </c>
      <c r="F849" s="3" t="s">
        <v>136</v>
      </c>
      <c r="G849" s="3" t="s">
        <v>25</v>
      </c>
      <c r="H849" s="3" t="s">
        <v>11</v>
      </c>
      <c r="I849" s="3">
        <v>70161</v>
      </c>
      <c r="J849" s="3">
        <v>10</v>
      </c>
      <c r="K849" s="3">
        <v>4</v>
      </c>
      <c r="L849" s="3">
        <v>3</v>
      </c>
      <c r="M849" s="3">
        <v>2</v>
      </c>
      <c r="N849" s="3" t="s">
        <v>12</v>
      </c>
      <c r="O849" s="3" t="s">
        <v>13</v>
      </c>
      <c r="P849" s="3">
        <v>3</v>
      </c>
      <c r="Q849" s="3">
        <v>2</v>
      </c>
      <c r="R849" s="4" t="s">
        <v>14</v>
      </c>
      <c r="S849" s="4" t="s">
        <v>14</v>
      </c>
      <c r="T849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850" spans="1:20" ht="18" x14ac:dyDescent="0.35">
      <c r="A850" s="3" t="s">
        <v>893</v>
      </c>
      <c r="B850" s="3" t="str">
        <f>IF(Table1[[#This Row],[Age]]&lt;25,"Under 25",IF(Table1[[#This Row],[Age]]&lt;35,"25-34",IF(Table1[[#This Row],[Age]]&lt;45,"35-44",IF(Table1[[#This Row],[Age]]&lt;55,"45-54","55+"))))</f>
        <v>35-44</v>
      </c>
      <c r="C850" s="3">
        <v>38</v>
      </c>
      <c r="D850" s="3" t="s">
        <v>7</v>
      </c>
      <c r="E850" s="3" t="s">
        <v>34</v>
      </c>
      <c r="F850" s="3" t="s">
        <v>91</v>
      </c>
      <c r="G850" s="3" t="s">
        <v>25</v>
      </c>
      <c r="H850" s="3" t="s">
        <v>11</v>
      </c>
      <c r="I850" s="3">
        <v>22000</v>
      </c>
      <c r="J850" s="3">
        <v>17</v>
      </c>
      <c r="K850" s="3">
        <v>0</v>
      </c>
      <c r="L850" s="3">
        <v>3</v>
      </c>
      <c r="M850" s="3">
        <v>3</v>
      </c>
      <c r="N850" s="3" t="s">
        <v>14</v>
      </c>
      <c r="O850" s="3" t="s">
        <v>13</v>
      </c>
      <c r="P850" s="3">
        <v>3</v>
      </c>
      <c r="Q850" s="3">
        <v>3</v>
      </c>
      <c r="R850" s="4" t="s">
        <v>14</v>
      </c>
      <c r="S850" s="4" t="s">
        <v>14</v>
      </c>
      <c r="T850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851" spans="1:20" ht="18" x14ac:dyDescent="0.35">
      <c r="A851" s="3" t="s">
        <v>894</v>
      </c>
      <c r="B851" s="3" t="str">
        <f>IF(Table1[[#This Row],[Age]]&lt;25,"Under 25",IF(Table1[[#This Row],[Age]]&lt;35,"25-34",IF(Table1[[#This Row],[Age]]&lt;45,"35-44",IF(Table1[[#This Row],[Age]]&lt;55,"45-54","55+"))))</f>
        <v>25-34</v>
      </c>
      <c r="C851" s="3">
        <v>33</v>
      </c>
      <c r="D851" s="3" t="s">
        <v>7</v>
      </c>
      <c r="E851" s="3" t="s">
        <v>34</v>
      </c>
      <c r="F851" s="3" t="s">
        <v>91</v>
      </c>
      <c r="G851" s="3" t="s">
        <v>18</v>
      </c>
      <c r="H851" s="3" t="s">
        <v>11</v>
      </c>
      <c r="I851" s="3">
        <v>86764</v>
      </c>
      <c r="J851" s="3">
        <v>5</v>
      </c>
      <c r="K851" s="3">
        <v>4</v>
      </c>
      <c r="L851" s="3">
        <v>1</v>
      </c>
      <c r="M851" s="3">
        <v>3</v>
      </c>
      <c r="N851" s="3" t="s">
        <v>14</v>
      </c>
      <c r="O851" s="3" t="s">
        <v>13</v>
      </c>
      <c r="P851" s="3">
        <v>3</v>
      </c>
      <c r="Q851" s="3">
        <v>0</v>
      </c>
      <c r="R851" s="4" t="s">
        <v>14</v>
      </c>
      <c r="S851" s="4" t="s">
        <v>14</v>
      </c>
      <c r="T851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852" spans="1:20" ht="18" x14ac:dyDescent="0.35">
      <c r="A852" s="3" t="s">
        <v>895</v>
      </c>
      <c r="B852" s="3" t="str">
        <f>IF(Table1[[#This Row],[Age]]&lt;25,"Under 25",IF(Table1[[#This Row],[Age]]&lt;35,"25-34",IF(Table1[[#This Row],[Age]]&lt;45,"35-44",IF(Table1[[#This Row],[Age]]&lt;55,"45-54","55+"))))</f>
        <v>25-34</v>
      </c>
      <c r="C852" s="3">
        <v>31</v>
      </c>
      <c r="D852" s="3" t="s">
        <v>22</v>
      </c>
      <c r="E852" s="3" t="s">
        <v>8</v>
      </c>
      <c r="F852" s="3" t="s">
        <v>9</v>
      </c>
      <c r="G852" s="3" t="s">
        <v>25</v>
      </c>
      <c r="H852" s="3" t="s">
        <v>42</v>
      </c>
      <c r="I852" s="3">
        <v>77148</v>
      </c>
      <c r="J852" s="3">
        <v>5</v>
      </c>
      <c r="K852" s="3">
        <v>2</v>
      </c>
      <c r="L852" s="3">
        <v>2</v>
      </c>
      <c r="M852" s="3">
        <v>4</v>
      </c>
      <c r="N852" s="3" t="s">
        <v>14</v>
      </c>
      <c r="O852" s="3" t="s">
        <v>13</v>
      </c>
      <c r="P852" s="3">
        <v>3</v>
      </c>
      <c r="Q852" s="3">
        <v>1</v>
      </c>
      <c r="R852" s="4" t="s">
        <v>14</v>
      </c>
      <c r="S852" s="4" t="s">
        <v>14</v>
      </c>
      <c r="T852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853" spans="1:20" ht="18" x14ac:dyDescent="0.35">
      <c r="A853" s="3" t="s">
        <v>896</v>
      </c>
      <c r="B853" s="3" t="str">
        <f>IF(Table1[[#This Row],[Age]]&lt;25,"Under 25",IF(Table1[[#This Row],[Age]]&lt;35,"25-34",IF(Table1[[#This Row],[Age]]&lt;45,"35-44",IF(Table1[[#This Row],[Age]]&lt;55,"45-54","55+"))))</f>
        <v>25-34</v>
      </c>
      <c r="C853" s="3">
        <v>30</v>
      </c>
      <c r="D853" s="3" t="s">
        <v>7</v>
      </c>
      <c r="E853" s="3" t="s">
        <v>38</v>
      </c>
      <c r="F853" s="3" t="s">
        <v>59</v>
      </c>
      <c r="G853" s="3" t="s">
        <v>25</v>
      </c>
      <c r="H853" s="3" t="s">
        <v>19</v>
      </c>
      <c r="I853" s="3">
        <v>82249</v>
      </c>
      <c r="J853" s="3">
        <v>3</v>
      </c>
      <c r="K853" s="3">
        <v>2</v>
      </c>
      <c r="L853" s="3">
        <v>3</v>
      </c>
      <c r="M853" s="3">
        <v>4</v>
      </c>
      <c r="N853" s="3" t="s">
        <v>12</v>
      </c>
      <c r="O853" s="3" t="s">
        <v>20</v>
      </c>
      <c r="P853" s="3">
        <v>3</v>
      </c>
      <c r="Q853" s="3">
        <v>1</v>
      </c>
      <c r="R853" s="4" t="s">
        <v>14</v>
      </c>
      <c r="S853" s="4" t="s">
        <v>14</v>
      </c>
      <c r="T853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854" spans="1:20" ht="18" x14ac:dyDescent="0.35">
      <c r="A854" s="3" t="s">
        <v>897</v>
      </c>
      <c r="B854" s="3" t="str">
        <f>IF(Table1[[#This Row],[Age]]&lt;25,"Under 25",IF(Table1[[#This Row],[Age]]&lt;35,"25-34",IF(Table1[[#This Row],[Age]]&lt;45,"35-44",IF(Table1[[#This Row],[Age]]&lt;55,"45-54","55+"))))</f>
        <v>25-34</v>
      </c>
      <c r="C854" s="3">
        <v>31</v>
      </c>
      <c r="D854" s="3" t="s">
        <v>7</v>
      </c>
      <c r="E854" s="3" t="s">
        <v>16</v>
      </c>
      <c r="F854" s="3" t="s">
        <v>17</v>
      </c>
      <c r="G854" s="3" t="s">
        <v>25</v>
      </c>
      <c r="H854" s="3" t="s">
        <v>11</v>
      </c>
      <c r="I854" s="3">
        <v>29717</v>
      </c>
      <c r="J854" s="3">
        <v>2</v>
      </c>
      <c r="K854" s="3">
        <v>0</v>
      </c>
      <c r="L854" s="3">
        <v>4</v>
      </c>
      <c r="M854" s="3">
        <v>2</v>
      </c>
      <c r="N854" s="3" t="s">
        <v>12</v>
      </c>
      <c r="O854" s="3" t="s">
        <v>13</v>
      </c>
      <c r="P854" s="3">
        <v>3</v>
      </c>
      <c r="Q854" s="3">
        <v>0</v>
      </c>
      <c r="R854" s="4" t="s">
        <v>14</v>
      </c>
      <c r="S854" s="4" t="s">
        <v>14</v>
      </c>
      <c r="T854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855" spans="1:20" ht="18" x14ac:dyDescent="0.35">
      <c r="A855" s="3" t="s">
        <v>898</v>
      </c>
      <c r="B855" s="3" t="str">
        <f>IF(Table1[[#This Row],[Age]]&lt;25,"Under 25",IF(Table1[[#This Row],[Age]]&lt;35,"25-34",IF(Table1[[#This Row],[Age]]&lt;45,"35-44",IF(Table1[[#This Row],[Age]]&lt;55,"45-54","55+"))))</f>
        <v>25-34</v>
      </c>
      <c r="C855" s="3">
        <v>34</v>
      </c>
      <c r="D855" s="3" t="s">
        <v>22</v>
      </c>
      <c r="E855" s="3" t="s">
        <v>8</v>
      </c>
      <c r="F855" s="3" t="s">
        <v>9</v>
      </c>
      <c r="G855" s="3" t="s">
        <v>10</v>
      </c>
      <c r="H855" s="3" t="s">
        <v>11</v>
      </c>
      <c r="I855" s="3">
        <v>68706</v>
      </c>
      <c r="J855" s="3">
        <v>10</v>
      </c>
      <c r="K855" s="3">
        <v>3</v>
      </c>
      <c r="L855" s="3">
        <v>4</v>
      </c>
      <c r="M855" s="3">
        <v>1</v>
      </c>
      <c r="N855" s="3" t="s">
        <v>14</v>
      </c>
      <c r="O855" s="3" t="s">
        <v>13</v>
      </c>
      <c r="P855" s="3">
        <v>3</v>
      </c>
      <c r="Q855" s="3">
        <v>3</v>
      </c>
      <c r="R855" s="4" t="s">
        <v>12</v>
      </c>
      <c r="S855" s="4" t="s">
        <v>14</v>
      </c>
      <c r="T855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856" spans="1:20" ht="18" x14ac:dyDescent="0.35">
      <c r="A856" s="3" t="s">
        <v>899</v>
      </c>
      <c r="B856" s="3" t="str">
        <f>IF(Table1[[#This Row],[Age]]&lt;25,"Under 25",IF(Table1[[#This Row],[Age]]&lt;35,"25-34",IF(Table1[[#This Row],[Age]]&lt;45,"35-44",IF(Table1[[#This Row],[Age]]&lt;55,"45-54","55+"))))</f>
        <v>25-34</v>
      </c>
      <c r="C856" s="3">
        <v>28</v>
      </c>
      <c r="D856" s="3" t="s">
        <v>22</v>
      </c>
      <c r="E856" s="3" t="s">
        <v>8</v>
      </c>
      <c r="F856" s="3" t="s">
        <v>66</v>
      </c>
      <c r="G856" s="3" t="s">
        <v>45</v>
      </c>
      <c r="H856" s="3" t="s">
        <v>42</v>
      </c>
      <c r="I856" s="3">
        <v>57420</v>
      </c>
      <c r="J856" s="3">
        <v>4</v>
      </c>
      <c r="K856" s="3">
        <v>4</v>
      </c>
      <c r="L856" s="3">
        <v>2</v>
      </c>
      <c r="M856" s="3">
        <v>3</v>
      </c>
      <c r="N856" s="3" t="s">
        <v>14</v>
      </c>
      <c r="O856" s="3" t="s">
        <v>13</v>
      </c>
      <c r="P856" s="3">
        <v>3</v>
      </c>
      <c r="Q856" s="3">
        <v>5</v>
      </c>
      <c r="R856" s="4" t="s">
        <v>14</v>
      </c>
      <c r="S856" s="4" t="s">
        <v>14</v>
      </c>
      <c r="T856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857" spans="1:20" ht="18" x14ac:dyDescent="0.35">
      <c r="A857" s="3" t="s">
        <v>900</v>
      </c>
      <c r="B857" s="3" t="str">
        <f>IF(Table1[[#This Row],[Age]]&lt;25,"Under 25",IF(Table1[[#This Row],[Age]]&lt;35,"25-34",IF(Table1[[#This Row],[Age]]&lt;45,"35-44",IF(Table1[[#This Row],[Age]]&lt;55,"45-54","55+"))))</f>
        <v>35-44</v>
      </c>
      <c r="C857" s="3">
        <v>35</v>
      </c>
      <c r="D857" s="3" t="s">
        <v>7</v>
      </c>
      <c r="E857" s="3" t="s">
        <v>16</v>
      </c>
      <c r="F857" s="3" t="s">
        <v>17</v>
      </c>
      <c r="G857" s="3" t="s">
        <v>25</v>
      </c>
      <c r="H857" s="3" t="s">
        <v>19</v>
      </c>
      <c r="I857" s="3">
        <v>55422</v>
      </c>
      <c r="J857" s="3">
        <v>10</v>
      </c>
      <c r="K857" s="3">
        <v>1</v>
      </c>
      <c r="L857" s="3">
        <v>2</v>
      </c>
      <c r="M857" s="3">
        <v>3</v>
      </c>
      <c r="N857" s="3" t="s">
        <v>14</v>
      </c>
      <c r="O857" s="3" t="s">
        <v>13</v>
      </c>
      <c r="P857" s="3">
        <v>2</v>
      </c>
      <c r="Q857" s="3">
        <v>6</v>
      </c>
      <c r="R857" s="4" t="s">
        <v>14</v>
      </c>
      <c r="S857" s="4" t="s">
        <v>14</v>
      </c>
      <c r="T857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858" spans="1:20" ht="18" x14ac:dyDescent="0.35">
      <c r="A858" s="3" t="s">
        <v>901</v>
      </c>
      <c r="B858" s="3" t="str">
        <f>IF(Table1[[#This Row],[Age]]&lt;25,"Under 25",IF(Table1[[#This Row],[Age]]&lt;35,"25-34",IF(Table1[[#This Row],[Age]]&lt;45,"35-44",IF(Table1[[#This Row],[Age]]&lt;55,"45-54","55+"))))</f>
        <v>Under 25</v>
      </c>
      <c r="C858" s="3">
        <v>23</v>
      </c>
      <c r="D858" s="3" t="s">
        <v>7</v>
      </c>
      <c r="E858" s="3" t="s">
        <v>8</v>
      </c>
      <c r="F858" s="3" t="s">
        <v>66</v>
      </c>
      <c r="G858" s="3" t="s">
        <v>25</v>
      </c>
      <c r="H858" s="3" t="s">
        <v>11</v>
      </c>
      <c r="I858" s="3">
        <v>87998</v>
      </c>
      <c r="J858" s="3">
        <v>0</v>
      </c>
      <c r="K858" s="3">
        <v>0</v>
      </c>
      <c r="L858" s="3">
        <v>3</v>
      </c>
      <c r="M858" s="3">
        <v>1</v>
      </c>
      <c r="N858" s="3" t="s">
        <v>14</v>
      </c>
      <c r="O858" s="3" t="s">
        <v>13</v>
      </c>
      <c r="P858" s="3">
        <v>3</v>
      </c>
      <c r="Q858" s="3">
        <v>5</v>
      </c>
      <c r="R858" s="4" t="s">
        <v>14</v>
      </c>
      <c r="S858" s="4" t="s">
        <v>14</v>
      </c>
      <c r="T858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Less than 1 Year</v>
      </c>
    </row>
    <row r="859" spans="1:20" ht="18" x14ac:dyDescent="0.35">
      <c r="A859" s="3" t="s">
        <v>902</v>
      </c>
      <c r="B859" s="3" t="str">
        <f>IF(Table1[[#This Row],[Age]]&lt;25,"Under 25",IF(Table1[[#This Row],[Age]]&lt;35,"25-34",IF(Table1[[#This Row],[Age]]&lt;45,"35-44",IF(Table1[[#This Row],[Age]]&lt;55,"45-54","55+"))))</f>
        <v>25-34</v>
      </c>
      <c r="C859" s="3">
        <v>25</v>
      </c>
      <c r="D859" s="3" t="s">
        <v>7</v>
      </c>
      <c r="E859" s="3" t="s">
        <v>16</v>
      </c>
      <c r="F859" s="3" t="s">
        <v>17</v>
      </c>
      <c r="G859" s="3" t="s">
        <v>10</v>
      </c>
      <c r="H859" s="3" t="s">
        <v>19</v>
      </c>
      <c r="I859" s="3">
        <v>36434</v>
      </c>
      <c r="J859" s="3">
        <v>5</v>
      </c>
      <c r="K859" s="3">
        <v>3</v>
      </c>
      <c r="L859" s="3">
        <v>2</v>
      </c>
      <c r="M859" s="3">
        <v>4</v>
      </c>
      <c r="N859" s="3" t="s">
        <v>14</v>
      </c>
      <c r="O859" s="3" t="s">
        <v>13</v>
      </c>
      <c r="P859" s="3">
        <v>3</v>
      </c>
      <c r="Q859" s="3">
        <v>5</v>
      </c>
      <c r="R859" s="4" t="s">
        <v>14</v>
      </c>
      <c r="S859" s="4" t="s">
        <v>14</v>
      </c>
      <c r="T859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860" spans="1:20" ht="18" x14ac:dyDescent="0.35">
      <c r="A860" s="3" t="s">
        <v>903</v>
      </c>
      <c r="B860" s="3" t="str">
        <f>IF(Table1[[#This Row],[Age]]&lt;25,"Under 25",IF(Table1[[#This Row],[Age]]&lt;35,"25-34",IF(Table1[[#This Row],[Age]]&lt;45,"35-44",IF(Table1[[#This Row],[Age]]&lt;55,"45-54","55+"))))</f>
        <v>Under 25</v>
      </c>
      <c r="C860" s="3">
        <v>21</v>
      </c>
      <c r="D860" s="3" t="s">
        <v>22</v>
      </c>
      <c r="E860" s="3" t="s">
        <v>8</v>
      </c>
      <c r="F860" s="3" t="s">
        <v>9</v>
      </c>
      <c r="G860" s="3" t="s">
        <v>25</v>
      </c>
      <c r="H860" s="3" t="s">
        <v>19</v>
      </c>
      <c r="I860" s="3">
        <v>44082</v>
      </c>
      <c r="J860" s="3">
        <v>3</v>
      </c>
      <c r="K860" s="3">
        <v>0</v>
      </c>
      <c r="L860" s="3">
        <v>4</v>
      </c>
      <c r="M860" s="3">
        <v>4</v>
      </c>
      <c r="N860" s="3" t="s">
        <v>14</v>
      </c>
      <c r="O860" s="3" t="s">
        <v>26</v>
      </c>
      <c r="P860" s="3">
        <v>3</v>
      </c>
      <c r="Q860" s="3">
        <v>5</v>
      </c>
      <c r="R860" s="4" t="s">
        <v>14</v>
      </c>
      <c r="S860" s="4" t="s">
        <v>14</v>
      </c>
      <c r="T860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861" spans="1:20" ht="18" x14ac:dyDescent="0.35">
      <c r="A861" s="3" t="s">
        <v>904</v>
      </c>
      <c r="B861" s="3" t="str">
        <f>IF(Table1[[#This Row],[Age]]&lt;25,"Under 25",IF(Table1[[#This Row],[Age]]&lt;35,"25-34",IF(Table1[[#This Row],[Age]]&lt;45,"35-44",IF(Table1[[#This Row],[Age]]&lt;55,"45-54","55+"))))</f>
        <v>35-44</v>
      </c>
      <c r="C861" s="3">
        <v>37</v>
      </c>
      <c r="D861" s="3" t="s">
        <v>7</v>
      </c>
      <c r="E861" s="3" t="s">
        <v>51</v>
      </c>
      <c r="F861" s="3" t="s">
        <v>72</v>
      </c>
      <c r="G861" s="3" t="s">
        <v>25</v>
      </c>
      <c r="H861" s="3" t="s">
        <v>11</v>
      </c>
      <c r="I861" s="3">
        <v>75811</v>
      </c>
      <c r="J861" s="3">
        <v>13</v>
      </c>
      <c r="K861" s="3">
        <v>2</v>
      </c>
      <c r="L861" s="3">
        <v>3</v>
      </c>
      <c r="M861" s="3">
        <v>4</v>
      </c>
      <c r="N861" s="3" t="s">
        <v>14</v>
      </c>
      <c r="O861" s="3" t="s">
        <v>26</v>
      </c>
      <c r="P861" s="3">
        <v>3</v>
      </c>
      <c r="Q861" s="3">
        <v>3</v>
      </c>
      <c r="R861" s="4" t="s">
        <v>14</v>
      </c>
      <c r="S861" s="4" t="s">
        <v>14</v>
      </c>
      <c r="T861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862" spans="1:20" ht="18" x14ac:dyDescent="0.35">
      <c r="A862" s="3" t="s">
        <v>905</v>
      </c>
      <c r="B862" s="3" t="str">
        <f>IF(Table1[[#This Row],[Age]]&lt;25,"Under 25",IF(Table1[[#This Row],[Age]]&lt;35,"25-34",IF(Table1[[#This Row],[Age]]&lt;45,"35-44",IF(Table1[[#This Row],[Age]]&lt;55,"45-54","55+"))))</f>
        <v>25-34</v>
      </c>
      <c r="C862" s="3">
        <v>34</v>
      </c>
      <c r="D862" s="3" t="s">
        <v>22</v>
      </c>
      <c r="E862" s="3" t="s">
        <v>16</v>
      </c>
      <c r="F862" s="3" t="s">
        <v>28</v>
      </c>
      <c r="G862" s="3" t="s">
        <v>18</v>
      </c>
      <c r="H862" s="3" t="s">
        <v>19</v>
      </c>
      <c r="I862" s="3">
        <v>104577</v>
      </c>
      <c r="J862" s="3">
        <v>16</v>
      </c>
      <c r="K862" s="3">
        <v>3</v>
      </c>
      <c r="L862" s="3">
        <v>4</v>
      </c>
      <c r="M862" s="3">
        <v>3</v>
      </c>
      <c r="N862" s="3" t="s">
        <v>12</v>
      </c>
      <c r="O862" s="3" t="s">
        <v>13</v>
      </c>
      <c r="P862" s="3">
        <v>3</v>
      </c>
      <c r="Q862" s="3">
        <v>6</v>
      </c>
      <c r="R862" s="4" t="s">
        <v>14</v>
      </c>
      <c r="S862" s="4" t="s">
        <v>14</v>
      </c>
      <c r="T862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863" spans="1:20" ht="18" x14ac:dyDescent="0.35">
      <c r="A863" s="3" t="s">
        <v>906</v>
      </c>
      <c r="B863" s="3" t="str">
        <f>IF(Table1[[#This Row],[Age]]&lt;25,"Under 25",IF(Table1[[#This Row],[Age]]&lt;35,"25-34",IF(Table1[[#This Row],[Age]]&lt;45,"35-44",IF(Table1[[#This Row],[Age]]&lt;55,"45-54","55+"))))</f>
        <v>25-34</v>
      </c>
      <c r="C863" s="3">
        <v>31</v>
      </c>
      <c r="D863" s="3" t="s">
        <v>22</v>
      </c>
      <c r="E863" s="3" t="s">
        <v>38</v>
      </c>
      <c r="F863" s="3" t="s">
        <v>39</v>
      </c>
      <c r="G863" s="3" t="s">
        <v>25</v>
      </c>
      <c r="H863" s="3" t="s">
        <v>19</v>
      </c>
      <c r="I863" s="3">
        <v>63940</v>
      </c>
      <c r="J863" s="3">
        <v>8</v>
      </c>
      <c r="K863" s="3">
        <v>5</v>
      </c>
      <c r="L863" s="3">
        <v>4</v>
      </c>
      <c r="M863" s="3">
        <v>3</v>
      </c>
      <c r="N863" s="3" t="s">
        <v>14</v>
      </c>
      <c r="O863" s="3" t="s">
        <v>13</v>
      </c>
      <c r="P863" s="3">
        <v>3</v>
      </c>
      <c r="Q863" s="3">
        <v>4</v>
      </c>
      <c r="R863" s="4" t="s">
        <v>14</v>
      </c>
      <c r="S863" s="4" t="s">
        <v>14</v>
      </c>
      <c r="T863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864" spans="1:20" ht="18" x14ac:dyDescent="0.35">
      <c r="A864" s="3" t="s">
        <v>907</v>
      </c>
      <c r="B864" s="3" t="str">
        <f>IF(Table1[[#This Row],[Age]]&lt;25,"Under 25",IF(Table1[[#This Row],[Age]]&lt;35,"25-34",IF(Table1[[#This Row],[Age]]&lt;45,"35-44",IF(Table1[[#This Row],[Age]]&lt;55,"45-54","55+"))))</f>
        <v>25-34</v>
      </c>
      <c r="C864" s="3">
        <v>28</v>
      </c>
      <c r="D864" s="3" t="s">
        <v>22</v>
      </c>
      <c r="E864" s="3" t="s">
        <v>16</v>
      </c>
      <c r="F864" s="3" t="s">
        <v>47</v>
      </c>
      <c r="G864" s="3" t="s">
        <v>25</v>
      </c>
      <c r="H864" s="3" t="s">
        <v>11</v>
      </c>
      <c r="I864" s="3">
        <v>86834</v>
      </c>
      <c r="J864" s="3">
        <v>10</v>
      </c>
      <c r="K864" s="3">
        <v>4</v>
      </c>
      <c r="L864" s="3">
        <v>4</v>
      </c>
      <c r="M864" s="3">
        <v>2</v>
      </c>
      <c r="N864" s="3" t="s">
        <v>14</v>
      </c>
      <c r="O864" s="3" t="s">
        <v>13</v>
      </c>
      <c r="P864" s="3">
        <v>3</v>
      </c>
      <c r="Q864" s="3">
        <v>3</v>
      </c>
      <c r="R864" s="4" t="s">
        <v>14</v>
      </c>
      <c r="S864" s="4" t="s">
        <v>14</v>
      </c>
      <c r="T864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865" spans="1:20" ht="18" x14ac:dyDescent="0.35">
      <c r="A865" s="3" t="s">
        <v>908</v>
      </c>
      <c r="B865" s="3" t="str">
        <f>IF(Table1[[#This Row],[Age]]&lt;25,"Under 25",IF(Table1[[#This Row],[Age]]&lt;35,"25-34",IF(Table1[[#This Row],[Age]]&lt;45,"35-44",IF(Table1[[#This Row],[Age]]&lt;55,"45-54","55+"))))</f>
        <v>25-34</v>
      </c>
      <c r="C865" s="3">
        <v>33</v>
      </c>
      <c r="D865" s="3" t="s">
        <v>22</v>
      </c>
      <c r="E865" s="3" t="s">
        <v>34</v>
      </c>
      <c r="F865" s="3" t="s">
        <v>91</v>
      </c>
      <c r="G865" s="3" t="s">
        <v>10</v>
      </c>
      <c r="H865" s="3" t="s">
        <v>11</v>
      </c>
      <c r="I865" s="3">
        <v>55646</v>
      </c>
      <c r="J865" s="3">
        <v>7</v>
      </c>
      <c r="K865" s="3">
        <v>4</v>
      </c>
      <c r="L865" s="3">
        <v>3</v>
      </c>
      <c r="M865" s="3">
        <v>4</v>
      </c>
      <c r="N865" s="3" t="s">
        <v>14</v>
      </c>
      <c r="O865" s="3" t="s">
        <v>13</v>
      </c>
      <c r="P865" s="3">
        <v>3</v>
      </c>
      <c r="Q865" s="3">
        <v>6</v>
      </c>
      <c r="R865" s="4" t="s">
        <v>12</v>
      </c>
      <c r="S865" s="4" t="s">
        <v>14</v>
      </c>
      <c r="T865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866" spans="1:20" ht="18" x14ac:dyDescent="0.35">
      <c r="A866" s="3" t="s">
        <v>909</v>
      </c>
      <c r="B866" s="3" t="str">
        <f>IF(Table1[[#This Row],[Age]]&lt;25,"Under 25",IF(Table1[[#This Row],[Age]]&lt;35,"25-34",IF(Table1[[#This Row],[Age]]&lt;45,"35-44",IF(Table1[[#This Row],[Age]]&lt;55,"45-54","55+"))))</f>
        <v>45-54</v>
      </c>
      <c r="C866" s="3">
        <v>50</v>
      </c>
      <c r="D866" s="3" t="s">
        <v>22</v>
      </c>
      <c r="E866" s="3" t="s">
        <v>16</v>
      </c>
      <c r="F866" s="3" t="s">
        <v>17</v>
      </c>
      <c r="G866" s="3" t="s">
        <v>25</v>
      </c>
      <c r="H866" s="3" t="s">
        <v>19</v>
      </c>
      <c r="I866" s="3">
        <v>76743</v>
      </c>
      <c r="J866" s="3">
        <v>17</v>
      </c>
      <c r="K866" s="3">
        <v>5</v>
      </c>
      <c r="L866" s="3">
        <v>3</v>
      </c>
      <c r="M866" s="3">
        <v>3</v>
      </c>
      <c r="N866" s="3" t="s">
        <v>14</v>
      </c>
      <c r="O866" s="3" t="s">
        <v>20</v>
      </c>
      <c r="P866" s="3">
        <v>3</v>
      </c>
      <c r="Q866" s="3">
        <v>6</v>
      </c>
      <c r="R866" s="4" t="s">
        <v>14</v>
      </c>
      <c r="S866" s="4" t="s">
        <v>14</v>
      </c>
      <c r="T866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867" spans="1:20" ht="18" x14ac:dyDescent="0.35">
      <c r="A867" s="3" t="s">
        <v>910</v>
      </c>
      <c r="B867" s="3" t="str">
        <f>IF(Table1[[#This Row],[Age]]&lt;25,"Under 25",IF(Table1[[#This Row],[Age]]&lt;35,"25-34",IF(Table1[[#This Row],[Age]]&lt;45,"35-44",IF(Table1[[#This Row],[Age]]&lt;55,"45-54","55+"))))</f>
        <v>45-54</v>
      </c>
      <c r="C867" s="3">
        <v>45</v>
      </c>
      <c r="D867" s="3" t="s">
        <v>22</v>
      </c>
      <c r="E867" s="3" t="s">
        <v>34</v>
      </c>
      <c r="F867" s="3" t="s">
        <v>35</v>
      </c>
      <c r="G867" s="3" t="s">
        <v>25</v>
      </c>
      <c r="H867" s="3" t="s">
        <v>11</v>
      </c>
      <c r="I867" s="3">
        <v>69653</v>
      </c>
      <c r="J867" s="3">
        <v>19</v>
      </c>
      <c r="K867" s="3">
        <v>8</v>
      </c>
      <c r="L867" s="3">
        <v>3</v>
      </c>
      <c r="M867" s="3">
        <v>3</v>
      </c>
      <c r="N867" s="3" t="s">
        <v>12</v>
      </c>
      <c r="O867" s="3" t="s">
        <v>13</v>
      </c>
      <c r="P867" s="3">
        <v>3</v>
      </c>
      <c r="Q867" s="3">
        <v>2</v>
      </c>
      <c r="R867" s="4" t="s">
        <v>14</v>
      </c>
      <c r="S867" s="4" t="s">
        <v>14</v>
      </c>
      <c r="T867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868" spans="1:20" ht="18" x14ac:dyDescent="0.35">
      <c r="A868" s="3" t="s">
        <v>911</v>
      </c>
      <c r="B868" s="3" t="str">
        <f>IF(Table1[[#This Row],[Age]]&lt;25,"Under 25",IF(Table1[[#This Row],[Age]]&lt;35,"25-34",IF(Table1[[#This Row],[Age]]&lt;45,"35-44",IF(Table1[[#This Row],[Age]]&lt;55,"45-54","55+"))))</f>
        <v>Under 25</v>
      </c>
      <c r="C868" s="3">
        <v>21</v>
      </c>
      <c r="D868" s="3" t="s">
        <v>22</v>
      </c>
      <c r="E868" s="3" t="s">
        <v>34</v>
      </c>
      <c r="F868" s="3" t="s">
        <v>91</v>
      </c>
      <c r="G868" s="3" t="s">
        <v>25</v>
      </c>
      <c r="H868" s="3" t="s">
        <v>11</v>
      </c>
      <c r="I868" s="3">
        <v>105657</v>
      </c>
      <c r="J868" s="3">
        <v>1</v>
      </c>
      <c r="K868" s="3">
        <v>0</v>
      </c>
      <c r="L868" s="3">
        <v>2</v>
      </c>
      <c r="M868" s="3">
        <v>2</v>
      </c>
      <c r="N868" s="3" t="s">
        <v>14</v>
      </c>
      <c r="O868" s="3" t="s">
        <v>13</v>
      </c>
      <c r="P868" s="3">
        <v>3</v>
      </c>
      <c r="Q868" s="3">
        <v>0</v>
      </c>
      <c r="R868" s="4" t="s">
        <v>12</v>
      </c>
      <c r="S868" s="4" t="s">
        <v>14</v>
      </c>
      <c r="T868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869" spans="1:20" ht="18" x14ac:dyDescent="0.35">
      <c r="A869" s="3" t="s">
        <v>912</v>
      </c>
      <c r="B869" s="3" t="str">
        <f>IF(Table1[[#This Row],[Age]]&lt;25,"Under 25",IF(Table1[[#This Row],[Age]]&lt;35,"25-34",IF(Table1[[#This Row],[Age]]&lt;45,"35-44",IF(Table1[[#This Row],[Age]]&lt;55,"45-54","55+"))))</f>
        <v>25-34</v>
      </c>
      <c r="C869" s="3">
        <v>31</v>
      </c>
      <c r="D869" s="3" t="s">
        <v>22</v>
      </c>
      <c r="E869" s="3" t="s">
        <v>51</v>
      </c>
      <c r="F869" s="3" t="s">
        <v>80</v>
      </c>
      <c r="G869" s="3" t="s">
        <v>18</v>
      </c>
      <c r="H869" s="3" t="s">
        <v>19</v>
      </c>
      <c r="I869" s="3">
        <v>67937</v>
      </c>
      <c r="J869" s="3">
        <v>12</v>
      </c>
      <c r="K869" s="3">
        <v>10</v>
      </c>
      <c r="L869" s="3">
        <v>4</v>
      </c>
      <c r="M869" s="3">
        <v>4</v>
      </c>
      <c r="N869" s="3" t="s">
        <v>14</v>
      </c>
      <c r="O869" s="3" t="s">
        <v>13</v>
      </c>
      <c r="P869" s="3">
        <v>3</v>
      </c>
      <c r="Q869" s="3">
        <v>2</v>
      </c>
      <c r="R869" s="4" t="s">
        <v>14</v>
      </c>
      <c r="S869" s="4" t="s">
        <v>14</v>
      </c>
      <c r="T869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870" spans="1:20" ht="18" x14ac:dyDescent="0.35">
      <c r="A870" s="3" t="s">
        <v>913</v>
      </c>
      <c r="B870" s="3" t="str">
        <f>IF(Table1[[#This Row],[Age]]&lt;25,"Under 25",IF(Table1[[#This Row],[Age]]&lt;35,"25-34",IF(Table1[[#This Row],[Age]]&lt;45,"35-44",IF(Table1[[#This Row],[Age]]&lt;55,"45-54","55+"))))</f>
        <v>25-34</v>
      </c>
      <c r="C870" s="3">
        <v>34</v>
      </c>
      <c r="D870" s="3" t="s">
        <v>22</v>
      </c>
      <c r="E870" s="3" t="s">
        <v>8</v>
      </c>
      <c r="F870" s="3" t="s">
        <v>23</v>
      </c>
      <c r="G870" s="3" t="s">
        <v>25</v>
      </c>
      <c r="H870" s="3" t="s">
        <v>19</v>
      </c>
      <c r="I870" s="3">
        <v>43910</v>
      </c>
      <c r="J870" s="3">
        <v>7</v>
      </c>
      <c r="K870" s="3">
        <v>7</v>
      </c>
      <c r="L870" s="3">
        <v>4</v>
      </c>
      <c r="M870" s="3">
        <v>3</v>
      </c>
      <c r="N870" s="3" t="s">
        <v>14</v>
      </c>
      <c r="O870" s="3" t="s">
        <v>13</v>
      </c>
      <c r="P870" s="3">
        <v>3</v>
      </c>
      <c r="Q870" s="3">
        <v>5</v>
      </c>
      <c r="R870" s="4" t="s">
        <v>14</v>
      </c>
      <c r="S870" s="4" t="s">
        <v>14</v>
      </c>
      <c r="T870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871" spans="1:20" ht="18" x14ac:dyDescent="0.35">
      <c r="A871" s="3" t="s">
        <v>914</v>
      </c>
      <c r="B871" s="3" t="str">
        <f>IF(Table1[[#This Row],[Age]]&lt;25,"Under 25",IF(Table1[[#This Row],[Age]]&lt;35,"25-34",IF(Table1[[#This Row],[Age]]&lt;45,"35-44",IF(Table1[[#This Row],[Age]]&lt;55,"45-54","55+"))))</f>
        <v>35-44</v>
      </c>
      <c r="C871" s="3">
        <v>37</v>
      </c>
      <c r="D871" s="3" t="s">
        <v>7</v>
      </c>
      <c r="E871" s="3" t="s">
        <v>38</v>
      </c>
      <c r="F871" s="3" t="s">
        <v>89</v>
      </c>
      <c r="G871" s="3" t="s">
        <v>45</v>
      </c>
      <c r="H871" s="3" t="s">
        <v>11</v>
      </c>
      <c r="I871" s="3">
        <v>77040</v>
      </c>
      <c r="J871" s="3">
        <v>14</v>
      </c>
      <c r="K871" s="3">
        <v>5</v>
      </c>
      <c r="L871" s="3">
        <v>4</v>
      </c>
      <c r="M871" s="3">
        <v>3</v>
      </c>
      <c r="N871" s="3" t="s">
        <v>14</v>
      </c>
      <c r="O871" s="3" t="s">
        <v>13</v>
      </c>
      <c r="P871" s="3">
        <v>3</v>
      </c>
      <c r="Q871" s="3">
        <v>5</v>
      </c>
      <c r="R871" s="4" t="s">
        <v>14</v>
      </c>
      <c r="S871" s="4" t="s">
        <v>14</v>
      </c>
      <c r="T871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872" spans="1:20" ht="18" x14ac:dyDescent="0.35">
      <c r="A872" s="3" t="s">
        <v>915</v>
      </c>
      <c r="B872" s="3" t="str">
        <f>IF(Table1[[#This Row],[Age]]&lt;25,"Under 25",IF(Table1[[#This Row],[Age]]&lt;35,"25-34",IF(Table1[[#This Row],[Age]]&lt;45,"35-44",IF(Table1[[#This Row],[Age]]&lt;55,"45-54","55+"))))</f>
        <v>35-44</v>
      </c>
      <c r="C872" s="3">
        <v>42</v>
      </c>
      <c r="D872" s="3" t="s">
        <v>22</v>
      </c>
      <c r="E872" s="3" t="s">
        <v>16</v>
      </c>
      <c r="F872" s="3" t="s">
        <v>47</v>
      </c>
      <c r="G872" s="3" t="s">
        <v>18</v>
      </c>
      <c r="H872" s="3" t="s">
        <v>19</v>
      </c>
      <c r="I872" s="3">
        <v>75399</v>
      </c>
      <c r="J872" s="3">
        <v>17</v>
      </c>
      <c r="K872" s="3">
        <v>0</v>
      </c>
      <c r="L872" s="3">
        <v>3</v>
      </c>
      <c r="M872" s="3">
        <v>3</v>
      </c>
      <c r="N872" s="3" t="s">
        <v>14</v>
      </c>
      <c r="O872" s="3" t="s">
        <v>13</v>
      </c>
      <c r="P872" s="3">
        <v>3</v>
      </c>
      <c r="Q872" s="3">
        <v>4</v>
      </c>
      <c r="R872" s="4" t="s">
        <v>14</v>
      </c>
      <c r="S872" s="4" t="s">
        <v>14</v>
      </c>
      <c r="T872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873" spans="1:20" ht="18" x14ac:dyDescent="0.35">
      <c r="A873" s="3" t="s">
        <v>916</v>
      </c>
      <c r="B873" s="3" t="str">
        <f>IF(Table1[[#This Row],[Age]]&lt;25,"Under 25",IF(Table1[[#This Row],[Age]]&lt;35,"25-34",IF(Table1[[#This Row],[Age]]&lt;45,"35-44",IF(Table1[[#This Row],[Age]]&lt;55,"45-54","55+"))))</f>
        <v>35-44</v>
      </c>
      <c r="C873" s="3">
        <v>36</v>
      </c>
      <c r="D873" s="3" t="s">
        <v>22</v>
      </c>
      <c r="E873" s="3" t="s">
        <v>16</v>
      </c>
      <c r="F873" s="3" t="s">
        <v>47</v>
      </c>
      <c r="G873" s="3" t="s">
        <v>25</v>
      </c>
      <c r="H873" s="3" t="s">
        <v>11</v>
      </c>
      <c r="I873" s="3">
        <v>22000</v>
      </c>
      <c r="J873" s="3">
        <v>8</v>
      </c>
      <c r="K873" s="3">
        <v>5</v>
      </c>
      <c r="L873" s="3">
        <v>3</v>
      </c>
      <c r="M873" s="3">
        <v>2</v>
      </c>
      <c r="N873" s="3" t="s">
        <v>14</v>
      </c>
      <c r="O873" s="3" t="s">
        <v>13</v>
      </c>
      <c r="P873" s="3">
        <v>3</v>
      </c>
      <c r="Q873" s="3">
        <v>5</v>
      </c>
      <c r="R873" s="4" t="s">
        <v>14</v>
      </c>
      <c r="S873" s="4" t="s">
        <v>14</v>
      </c>
      <c r="T873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874" spans="1:20" ht="18" x14ac:dyDescent="0.35">
      <c r="A874" s="3" t="s">
        <v>917</v>
      </c>
      <c r="B874" s="3" t="str">
        <f>IF(Table1[[#This Row],[Age]]&lt;25,"Under 25",IF(Table1[[#This Row],[Age]]&lt;35,"25-34",IF(Table1[[#This Row],[Age]]&lt;45,"35-44",IF(Table1[[#This Row],[Age]]&lt;55,"45-54","55+"))))</f>
        <v>25-34</v>
      </c>
      <c r="C874" s="3">
        <v>27</v>
      </c>
      <c r="D874" s="3" t="s">
        <v>22</v>
      </c>
      <c r="E874" s="3" t="s">
        <v>8</v>
      </c>
      <c r="F874" s="3" t="s">
        <v>23</v>
      </c>
      <c r="G874" s="3" t="s">
        <v>25</v>
      </c>
      <c r="H874" s="3" t="s">
        <v>19</v>
      </c>
      <c r="I874" s="3">
        <v>85849</v>
      </c>
      <c r="J874" s="3">
        <v>7</v>
      </c>
      <c r="K874" s="3">
        <v>3</v>
      </c>
      <c r="L874" s="3">
        <v>3</v>
      </c>
      <c r="M874" s="3">
        <v>3</v>
      </c>
      <c r="N874" s="3" t="s">
        <v>12</v>
      </c>
      <c r="O874" s="3" t="s">
        <v>13</v>
      </c>
      <c r="P874" s="3">
        <v>4</v>
      </c>
      <c r="Q874" s="3">
        <v>2</v>
      </c>
      <c r="R874" s="4" t="s">
        <v>14</v>
      </c>
      <c r="S874" s="4" t="s">
        <v>14</v>
      </c>
      <c r="T874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875" spans="1:20" ht="18" x14ac:dyDescent="0.35">
      <c r="A875" s="3" t="s">
        <v>918</v>
      </c>
      <c r="B875" s="3" t="str">
        <f>IF(Table1[[#This Row],[Age]]&lt;25,"Under 25",IF(Table1[[#This Row],[Age]]&lt;35,"25-34",IF(Table1[[#This Row],[Age]]&lt;45,"35-44",IF(Table1[[#This Row],[Age]]&lt;55,"45-54","55+"))))</f>
        <v>25-34</v>
      </c>
      <c r="C875" s="3">
        <v>29</v>
      </c>
      <c r="D875" s="3" t="s">
        <v>7</v>
      </c>
      <c r="E875" s="3" t="s">
        <v>8</v>
      </c>
      <c r="F875" s="3" t="s">
        <v>23</v>
      </c>
      <c r="G875" s="3" t="s">
        <v>25</v>
      </c>
      <c r="H875" s="3" t="s">
        <v>11</v>
      </c>
      <c r="I875" s="3">
        <v>80721</v>
      </c>
      <c r="J875" s="3">
        <v>2</v>
      </c>
      <c r="K875" s="3">
        <v>2</v>
      </c>
      <c r="L875" s="3">
        <v>1</v>
      </c>
      <c r="M875" s="3">
        <v>2</v>
      </c>
      <c r="N875" s="3" t="s">
        <v>14</v>
      </c>
      <c r="O875" s="3" t="s">
        <v>13</v>
      </c>
      <c r="P875" s="3">
        <v>3</v>
      </c>
      <c r="Q875" s="3">
        <v>6</v>
      </c>
      <c r="R875" s="4" t="s">
        <v>14</v>
      </c>
      <c r="S875" s="4" t="s">
        <v>12</v>
      </c>
      <c r="T875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876" spans="1:20" ht="18" x14ac:dyDescent="0.35">
      <c r="A876" s="3" t="s">
        <v>919</v>
      </c>
      <c r="B876" s="3" t="str">
        <f>IF(Table1[[#This Row],[Age]]&lt;25,"Under 25",IF(Table1[[#This Row],[Age]]&lt;35,"25-34",IF(Table1[[#This Row],[Age]]&lt;45,"35-44",IF(Table1[[#This Row],[Age]]&lt;55,"45-54","55+"))))</f>
        <v>35-44</v>
      </c>
      <c r="C876" s="3">
        <v>39</v>
      </c>
      <c r="D876" s="3" t="s">
        <v>7</v>
      </c>
      <c r="E876" s="3" t="s">
        <v>38</v>
      </c>
      <c r="F876" s="3" t="s">
        <v>89</v>
      </c>
      <c r="G876" s="3" t="s">
        <v>10</v>
      </c>
      <c r="H876" s="3" t="s">
        <v>19</v>
      </c>
      <c r="I876" s="3">
        <v>62847</v>
      </c>
      <c r="J876" s="3">
        <v>15</v>
      </c>
      <c r="K876" s="3">
        <v>6</v>
      </c>
      <c r="L876" s="3">
        <v>4</v>
      </c>
      <c r="M876" s="3">
        <v>4</v>
      </c>
      <c r="N876" s="3" t="s">
        <v>14</v>
      </c>
      <c r="O876" s="3" t="s">
        <v>13</v>
      </c>
      <c r="P876" s="3">
        <v>3</v>
      </c>
      <c r="Q876" s="3">
        <v>1</v>
      </c>
      <c r="R876" s="4" t="s">
        <v>14</v>
      </c>
      <c r="S876" s="4" t="s">
        <v>14</v>
      </c>
      <c r="T876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877" spans="1:20" ht="18" x14ac:dyDescent="0.35">
      <c r="A877" s="3" t="s">
        <v>920</v>
      </c>
      <c r="B877" s="3" t="str">
        <f>IF(Table1[[#This Row],[Age]]&lt;25,"Under 25",IF(Table1[[#This Row],[Age]]&lt;35,"25-34",IF(Table1[[#This Row],[Age]]&lt;45,"35-44",IF(Table1[[#This Row],[Age]]&lt;55,"45-54","55+"))))</f>
        <v>25-34</v>
      </c>
      <c r="C877" s="3">
        <v>34</v>
      </c>
      <c r="D877" s="3" t="s">
        <v>7</v>
      </c>
      <c r="E877" s="3" t="s">
        <v>16</v>
      </c>
      <c r="F877" s="3" t="s">
        <v>47</v>
      </c>
      <c r="G877" s="3" t="s">
        <v>25</v>
      </c>
      <c r="H877" s="3" t="s">
        <v>19</v>
      </c>
      <c r="I877" s="3">
        <v>22000</v>
      </c>
      <c r="J877" s="3">
        <v>5</v>
      </c>
      <c r="K877" s="3">
        <v>1</v>
      </c>
      <c r="L877" s="3">
        <v>3</v>
      </c>
      <c r="M877" s="3">
        <v>3</v>
      </c>
      <c r="N877" s="3" t="s">
        <v>14</v>
      </c>
      <c r="O877" s="3" t="s">
        <v>13</v>
      </c>
      <c r="P877" s="3">
        <v>3</v>
      </c>
      <c r="Q877" s="3">
        <v>4</v>
      </c>
      <c r="R877" s="4" t="s">
        <v>14</v>
      </c>
      <c r="S877" s="4" t="s">
        <v>14</v>
      </c>
      <c r="T877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878" spans="1:20" ht="18" x14ac:dyDescent="0.35">
      <c r="A878" s="3" t="s">
        <v>921</v>
      </c>
      <c r="B878" s="3" t="str">
        <f>IF(Table1[[#This Row],[Age]]&lt;25,"Under 25",IF(Table1[[#This Row],[Age]]&lt;35,"25-34",IF(Table1[[#This Row],[Age]]&lt;45,"35-44",IF(Table1[[#This Row],[Age]]&lt;55,"45-54","55+"))))</f>
        <v>35-44</v>
      </c>
      <c r="C878" s="3">
        <v>41</v>
      </c>
      <c r="D878" s="3" t="s">
        <v>7</v>
      </c>
      <c r="E878" s="3" t="s">
        <v>16</v>
      </c>
      <c r="F878" s="3" t="s">
        <v>28</v>
      </c>
      <c r="G878" s="3" t="s">
        <v>25</v>
      </c>
      <c r="H878" s="3" t="s">
        <v>42</v>
      </c>
      <c r="I878" s="3">
        <v>77728</v>
      </c>
      <c r="J878" s="3">
        <v>2</v>
      </c>
      <c r="K878" s="3">
        <v>0</v>
      </c>
      <c r="L878" s="3">
        <v>3</v>
      </c>
      <c r="M878" s="3">
        <v>3</v>
      </c>
      <c r="N878" s="3" t="s">
        <v>12</v>
      </c>
      <c r="O878" s="3" t="s">
        <v>26</v>
      </c>
      <c r="P878" s="3">
        <v>3</v>
      </c>
      <c r="Q878" s="3">
        <v>4</v>
      </c>
      <c r="R878" s="4" t="s">
        <v>14</v>
      </c>
      <c r="S878" s="4" t="s">
        <v>14</v>
      </c>
      <c r="T878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879" spans="1:20" ht="18" x14ac:dyDescent="0.35">
      <c r="A879" s="3" t="s">
        <v>922</v>
      </c>
      <c r="B879" s="3" t="str">
        <f>IF(Table1[[#This Row],[Age]]&lt;25,"Under 25",IF(Table1[[#This Row],[Age]]&lt;35,"25-34",IF(Table1[[#This Row],[Age]]&lt;45,"35-44",IF(Table1[[#This Row],[Age]]&lt;55,"45-54","55+"))))</f>
        <v>35-44</v>
      </c>
      <c r="C879" s="3">
        <v>36</v>
      </c>
      <c r="D879" s="3" t="s">
        <v>22</v>
      </c>
      <c r="E879" s="3" t="s">
        <v>34</v>
      </c>
      <c r="F879" s="3" t="s">
        <v>54</v>
      </c>
      <c r="G879" s="3" t="s">
        <v>18</v>
      </c>
      <c r="H879" s="3" t="s">
        <v>11</v>
      </c>
      <c r="I879" s="3">
        <v>37022</v>
      </c>
      <c r="J879" s="3">
        <v>13</v>
      </c>
      <c r="K879" s="3">
        <v>11</v>
      </c>
      <c r="L879" s="3">
        <v>3</v>
      </c>
      <c r="M879" s="3">
        <v>4</v>
      </c>
      <c r="N879" s="3" t="s">
        <v>14</v>
      </c>
      <c r="O879" s="3" t="s">
        <v>20</v>
      </c>
      <c r="P879" s="3">
        <v>3</v>
      </c>
      <c r="Q879" s="3">
        <v>1</v>
      </c>
      <c r="R879" s="4" t="s">
        <v>14</v>
      </c>
      <c r="S879" s="4" t="s">
        <v>14</v>
      </c>
      <c r="T879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880" spans="1:20" ht="18" x14ac:dyDescent="0.35">
      <c r="A880" s="3" t="s">
        <v>923</v>
      </c>
      <c r="B880" s="3" t="str">
        <f>IF(Table1[[#This Row],[Age]]&lt;25,"Under 25",IF(Table1[[#This Row],[Age]]&lt;35,"25-34",IF(Table1[[#This Row],[Age]]&lt;45,"35-44",IF(Table1[[#This Row],[Age]]&lt;55,"45-54","55+"))))</f>
        <v>25-34</v>
      </c>
      <c r="C880" s="3">
        <v>28</v>
      </c>
      <c r="D880" s="3" t="s">
        <v>7</v>
      </c>
      <c r="E880" s="3" t="s">
        <v>16</v>
      </c>
      <c r="F880" s="3" t="s">
        <v>47</v>
      </c>
      <c r="G880" s="3" t="s">
        <v>18</v>
      </c>
      <c r="H880" s="3" t="s">
        <v>19</v>
      </c>
      <c r="I880" s="3">
        <v>124056</v>
      </c>
      <c r="J880" s="3">
        <v>0</v>
      </c>
      <c r="K880" s="3">
        <v>0</v>
      </c>
      <c r="L880" s="3">
        <v>2</v>
      </c>
      <c r="M880" s="3">
        <v>3</v>
      </c>
      <c r="N880" s="3" t="s">
        <v>14</v>
      </c>
      <c r="O880" s="3" t="s">
        <v>20</v>
      </c>
      <c r="P880" s="3">
        <v>3</v>
      </c>
      <c r="Q880" s="3">
        <v>5</v>
      </c>
      <c r="R880" s="4" t="s">
        <v>14</v>
      </c>
      <c r="S880" s="4" t="s">
        <v>14</v>
      </c>
      <c r="T880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Less than 1 Year</v>
      </c>
    </row>
    <row r="881" spans="1:20" ht="18" x14ac:dyDescent="0.35">
      <c r="A881" s="3" t="s">
        <v>924</v>
      </c>
      <c r="B881" s="3" t="str">
        <f>IF(Table1[[#This Row],[Age]]&lt;25,"Under 25",IF(Table1[[#This Row],[Age]]&lt;35,"25-34",IF(Table1[[#This Row],[Age]]&lt;45,"35-44",IF(Table1[[#This Row],[Age]]&lt;55,"45-54","55+"))))</f>
        <v>25-34</v>
      </c>
      <c r="C881" s="3">
        <v>33</v>
      </c>
      <c r="D881" s="3" t="s">
        <v>22</v>
      </c>
      <c r="E881" s="3" t="s">
        <v>34</v>
      </c>
      <c r="F881" s="3" t="s">
        <v>150</v>
      </c>
      <c r="G881" s="3" t="s">
        <v>18</v>
      </c>
      <c r="H881" s="3" t="s">
        <v>11</v>
      </c>
      <c r="I881" s="3">
        <v>61798</v>
      </c>
      <c r="J881" s="3">
        <v>8</v>
      </c>
      <c r="K881" s="3">
        <v>4</v>
      </c>
      <c r="L881" s="3">
        <v>3</v>
      </c>
      <c r="M881" s="3">
        <v>1</v>
      </c>
      <c r="N881" s="3" t="s">
        <v>14</v>
      </c>
      <c r="O881" s="3" t="s">
        <v>26</v>
      </c>
      <c r="P881" s="3">
        <v>3</v>
      </c>
      <c r="Q881" s="3">
        <v>2</v>
      </c>
      <c r="R881" s="4" t="s">
        <v>14</v>
      </c>
      <c r="S881" s="4" t="s">
        <v>14</v>
      </c>
      <c r="T881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882" spans="1:20" ht="18" x14ac:dyDescent="0.35">
      <c r="A882" s="3" t="s">
        <v>925</v>
      </c>
      <c r="B882" s="3" t="str">
        <f>IF(Table1[[#This Row],[Age]]&lt;25,"Under 25",IF(Table1[[#This Row],[Age]]&lt;35,"25-34",IF(Table1[[#This Row],[Age]]&lt;45,"35-44",IF(Table1[[#This Row],[Age]]&lt;55,"45-54","55+"))))</f>
        <v>45-54</v>
      </c>
      <c r="C882" s="3">
        <v>52</v>
      </c>
      <c r="D882" s="3" t="s">
        <v>7</v>
      </c>
      <c r="E882" s="3" t="s">
        <v>51</v>
      </c>
      <c r="F882" s="3" t="s">
        <v>72</v>
      </c>
      <c r="G882" s="3" t="s">
        <v>10</v>
      </c>
      <c r="H882" s="3" t="s">
        <v>11</v>
      </c>
      <c r="I882" s="3">
        <v>75896</v>
      </c>
      <c r="J882" s="3">
        <v>13</v>
      </c>
      <c r="K882" s="3">
        <v>7</v>
      </c>
      <c r="L882" s="3">
        <v>4</v>
      </c>
      <c r="M882" s="3">
        <v>4</v>
      </c>
      <c r="N882" s="3" t="s">
        <v>14</v>
      </c>
      <c r="O882" s="3" t="s">
        <v>13</v>
      </c>
      <c r="P882" s="3">
        <v>3</v>
      </c>
      <c r="Q882" s="3">
        <v>2</v>
      </c>
      <c r="R882" s="4" t="s">
        <v>14</v>
      </c>
      <c r="S882" s="4" t="s">
        <v>12</v>
      </c>
      <c r="T882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883" spans="1:20" ht="18" x14ac:dyDescent="0.35">
      <c r="A883" s="3" t="s">
        <v>926</v>
      </c>
      <c r="B883" s="3" t="str">
        <f>IF(Table1[[#This Row],[Age]]&lt;25,"Under 25",IF(Table1[[#This Row],[Age]]&lt;35,"25-34",IF(Table1[[#This Row],[Age]]&lt;45,"35-44",IF(Table1[[#This Row],[Age]]&lt;55,"45-54","55+"))))</f>
        <v>35-44</v>
      </c>
      <c r="C883" s="3">
        <v>39</v>
      </c>
      <c r="D883" s="3" t="s">
        <v>7</v>
      </c>
      <c r="E883" s="3" t="s">
        <v>16</v>
      </c>
      <c r="F883" s="3" t="s">
        <v>28</v>
      </c>
      <c r="G883" s="3" t="s">
        <v>25</v>
      </c>
      <c r="H883" s="3" t="s">
        <v>11</v>
      </c>
      <c r="I883" s="3">
        <v>51185</v>
      </c>
      <c r="J883" s="3">
        <v>5</v>
      </c>
      <c r="K883" s="3">
        <v>3</v>
      </c>
      <c r="L883" s="3">
        <v>3</v>
      </c>
      <c r="M883" s="3">
        <v>2</v>
      </c>
      <c r="N883" s="3" t="s">
        <v>14</v>
      </c>
      <c r="O883" s="3" t="s">
        <v>13</v>
      </c>
      <c r="P883" s="3">
        <v>3</v>
      </c>
      <c r="Q883" s="3">
        <v>2</v>
      </c>
      <c r="R883" s="4" t="s">
        <v>14</v>
      </c>
      <c r="S883" s="4" t="s">
        <v>14</v>
      </c>
      <c r="T883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884" spans="1:20" ht="18" x14ac:dyDescent="0.35">
      <c r="A884" s="3" t="s">
        <v>927</v>
      </c>
      <c r="B884" s="3" t="str">
        <f>IF(Table1[[#This Row],[Age]]&lt;25,"Under 25",IF(Table1[[#This Row],[Age]]&lt;35,"25-34",IF(Table1[[#This Row],[Age]]&lt;45,"35-44",IF(Table1[[#This Row],[Age]]&lt;55,"45-54","55+"))))</f>
        <v>25-34</v>
      </c>
      <c r="C884" s="3">
        <v>33</v>
      </c>
      <c r="D884" s="3" t="s">
        <v>22</v>
      </c>
      <c r="E884" s="3" t="s">
        <v>8</v>
      </c>
      <c r="F884" s="3" t="s">
        <v>9</v>
      </c>
      <c r="G884" s="3" t="s">
        <v>10</v>
      </c>
      <c r="H884" s="3" t="s">
        <v>11</v>
      </c>
      <c r="I884" s="3">
        <v>80774</v>
      </c>
      <c r="J884" s="3">
        <v>0</v>
      </c>
      <c r="K884" s="3">
        <v>0</v>
      </c>
      <c r="L884" s="3">
        <v>3</v>
      </c>
      <c r="M884" s="3">
        <v>4</v>
      </c>
      <c r="N884" s="3" t="s">
        <v>12</v>
      </c>
      <c r="O884" s="3" t="s">
        <v>13</v>
      </c>
      <c r="P884" s="3">
        <v>3</v>
      </c>
      <c r="Q884" s="3">
        <v>2</v>
      </c>
      <c r="R884" s="4" t="s">
        <v>14</v>
      </c>
      <c r="S884" s="4" t="s">
        <v>12</v>
      </c>
      <c r="T884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Less than 1 Year</v>
      </c>
    </row>
    <row r="885" spans="1:20" ht="18" x14ac:dyDescent="0.35">
      <c r="A885" s="3" t="s">
        <v>928</v>
      </c>
      <c r="B885" s="3" t="str">
        <f>IF(Table1[[#This Row],[Age]]&lt;25,"Under 25",IF(Table1[[#This Row],[Age]]&lt;35,"25-34",IF(Table1[[#This Row],[Age]]&lt;45,"35-44",IF(Table1[[#This Row],[Age]]&lt;55,"45-54","55+"))))</f>
        <v>35-44</v>
      </c>
      <c r="C885" s="3">
        <v>37</v>
      </c>
      <c r="D885" s="3" t="s">
        <v>7</v>
      </c>
      <c r="E885" s="3" t="s">
        <v>8</v>
      </c>
      <c r="F885" s="3" t="s">
        <v>9</v>
      </c>
      <c r="G885" s="3" t="s">
        <v>25</v>
      </c>
      <c r="H885" s="3" t="s">
        <v>42</v>
      </c>
      <c r="I885" s="3">
        <v>67045</v>
      </c>
      <c r="J885" s="3">
        <v>17</v>
      </c>
      <c r="K885" s="3">
        <v>4</v>
      </c>
      <c r="L885" s="3">
        <v>3</v>
      </c>
      <c r="M885" s="3">
        <v>3</v>
      </c>
      <c r="N885" s="3" t="s">
        <v>14</v>
      </c>
      <c r="O885" s="3" t="s">
        <v>13</v>
      </c>
      <c r="P885" s="3">
        <v>3</v>
      </c>
      <c r="Q885" s="3">
        <v>5</v>
      </c>
      <c r="R885" s="4" t="s">
        <v>12</v>
      </c>
      <c r="S885" s="4" t="s">
        <v>14</v>
      </c>
      <c r="T885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886" spans="1:20" ht="18" x14ac:dyDescent="0.35">
      <c r="A886" s="3" t="s">
        <v>929</v>
      </c>
      <c r="B886" s="3" t="str">
        <f>IF(Table1[[#This Row],[Age]]&lt;25,"Under 25",IF(Table1[[#This Row],[Age]]&lt;35,"25-34",IF(Table1[[#This Row],[Age]]&lt;45,"35-44",IF(Table1[[#This Row],[Age]]&lt;55,"45-54","55+"))))</f>
        <v>25-34</v>
      </c>
      <c r="C886" s="3">
        <v>32</v>
      </c>
      <c r="D886" s="3" t="s">
        <v>7</v>
      </c>
      <c r="E886" s="3" t="s">
        <v>51</v>
      </c>
      <c r="F886" s="3" t="s">
        <v>52</v>
      </c>
      <c r="G886" s="3" t="s">
        <v>18</v>
      </c>
      <c r="H886" s="3" t="s">
        <v>19</v>
      </c>
      <c r="I886" s="3">
        <v>40269</v>
      </c>
      <c r="J886" s="3">
        <v>7</v>
      </c>
      <c r="K886" s="3">
        <v>7</v>
      </c>
      <c r="L886" s="3">
        <v>2</v>
      </c>
      <c r="M886" s="3">
        <v>3</v>
      </c>
      <c r="N886" s="3" t="s">
        <v>14</v>
      </c>
      <c r="O886" s="3" t="s">
        <v>20</v>
      </c>
      <c r="P886" s="3">
        <v>2</v>
      </c>
      <c r="Q886" s="3">
        <v>5</v>
      </c>
      <c r="R886" s="4" t="s">
        <v>14</v>
      </c>
      <c r="S886" s="4" t="s">
        <v>14</v>
      </c>
      <c r="T886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887" spans="1:20" ht="18" x14ac:dyDescent="0.35">
      <c r="A887" s="3" t="s">
        <v>930</v>
      </c>
      <c r="B887" s="3" t="str">
        <f>IF(Table1[[#This Row],[Age]]&lt;25,"Under 25",IF(Table1[[#This Row],[Age]]&lt;35,"25-34",IF(Table1[[#This Row],[Age]]&lt;45,"35-44",IF(Table1[[#This Row],[Age]]&lt;55,"45-54","55+"))))</f>
        <v>35-44</v>
      </c>
      <c r="C887" s="3">
        <v>38</v>
      </c>
      <c r="D887" s="3" t="s">
        <v>22</v>
      </c>
      <c r="E887" s="3" t="s">
        <v>38</v>
      </c>
      <c r="F887" s="3" t="s">
        <v>39</v>
      </c>
      <c r="G887" s="3" t="s">
        <v>10</v>
      </c>
      <c r="H887" s="3" t="s">
        <v>19</v>
      </c>
      <c r="I887" s="3">
        <v>55633</v>
      </c>
      <c r="J887" s="3">
        <v>13</v>
      </c>
      <c r="K887" s="3">
        <v>2</v>
      </c>
      <c r="L887" s="3">
        <v>3</v>
      </c>
      <c r="M887" s="3">
        <v>3</v>
      </c>
      <c r="N887" s="3" t="s">
        <v>12</v>
      </c>
      <c r="O887" s="3" t="s">
        <v>13</v>
      </c>
      <c r="P887" s="3">
        <v>3</v>
      </c>
      <c r="Q887" s="3">
        <v>0</v>
      </c>
      <c r="R887" s="4" t="s">
        <v>14</v>
      </c>
      <c r="S887" s="4" t="s">
        <v>14</v>
      </c>
      <c r="T887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888" spans="1:20" ht="18" x14ac:dyDescent="0.35">
      <c r="A888" s="3" t="s">
        <v>931</v>
      </c>
      <c r="B888" s="3" t="str">
        <f>IF(Table1[[#This Row],[Age]]&lt;25,"Under 25",IF(Table1[[#This Row],[Age]]&lt;35,"25-34",IF(Table1[[#This Row],[Age]]&lt;45,"35-44",IF(Table1[[#This Row],[Age]]&lt;55,"45-54","55+"))))</f>
        <v>35-44</v>
      </c>
      <c r="C888" s="3">
        <v>37</v>
      </c>
      <c r="D888" s="3" t="s">
        <v>7</v>
      </c>
      <c r="E888" s="3" t="s">
        <v>16</v>
      </c>
      <c r="F888" s="3" t="s">
        <v>28</v>
      </c>
      <c r="G888" s="3" t="s">
        <v>10</v>
      </c>
      <c r="H888" s="3" t="s">
        <v>19</v>
      </c>
      <c r="I888" s="3">
        <v>59428</v>
      </c>
      <c r="J888" s="3">
        <v>3</v>
      </c>
      <c r="K888" s="3">
        <v>0</v>
      </c>
      <c r="L888" s="3">
        <v>4</v>
      </c>
      <c r="M888" s="3">
        <v>3</v>
      </c>
      <c r="N888" s="3" t="s">
        <v>14</v>
      </c>
      <c r="O888" s="3" t="s">
        <v>20</v>
      </c>
      <c r="P888" s="3">
        <v>3</v>
      </c>
      <c r="Q888" s="3">
        <v>3</v>
      </c>
      <c r="R888" s="4" t="s">
        <v>14</v>
      </c>
      <c r="S888" s="4" t="s">
        <v>14</v>
      </c>
      <c r="T888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889" spans="1:20" ht="18" x14ac:dyDescent="0.35">
      <c r="A889" s="3" t="s">
        <v>932</v>
      </c>
      <c r="B889" s="3" t="str">
        <f>IF(Table1[[#This Row],[Age]]&lt;25,"Under 25",IF(Table1[[#This Row],[Age]]&lt;35,"25-34",IF(Table1[[#This Row],[Age]]&lt;45,"35-44",IF(Table1[[#This Row],[Age]]&lt;55,"45-54","55+"))))</f>
        <v>45-54</v>
      </c>
      <c r="C889" s="3">
        <v>51</v>
      </c>
      <c r="D889" s="3" t="s">
        <v>7</v>
      </c>
      <c r="E889" s="3" t="s">
        <v>38</v>
      </c>
      <c r="F889" s="3" t="s">
        <v>89</v>
      </c>
      <c r="G889" s="3" t="s">
        <v>25</v>
      </c>
      <c r="H889" s="3" t="s">
        <v>11</v>
      </c>
      <c r="I889" s="3">
        <v>94488</v>
      </c>
      <c r="J889" s="3">
        <v>23</v>
      </c>
      <c r="K889" s="3">
        <v>0</v>
      </c>
      <c r="L889" s="3">
        <v>4</v>
      </c>
      <c r="M889" s="3">
        <v>3</v>
      </c>
      <c r="N889" s="3" t="s">
        <v>14</v>
      </c>
      <c r="O889" s="3" t="s">
        <v>20</v>
      </c>
      <c r="P889" s="3">
        <v>3</v>
      </c>
      <c r="Q889" s="3">
        <v>2</v>
      </c>
      <c r="R889" s="4" t="s">
        <v>12</v>
      </c>
      <c r="S889" s="4" t="s">
        <v>14</v>
      </c>
      <c r="T889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890" spans="1:20" ht="18" x14ac:dyDescent="0.35">
      <c r="A890" s="3" t="s">
        <v>933</v>
      </c>
      <c r="B890" s="3" t="str">
        <f>IF(Table1[[#This Row],[Age]]&lt;25,"Under 25",IF(Table1[[#This Row],[Age]]&lt;35,"25-34",IF(Table1[[#This Row],[Age]]&lt;45,"35-44",IF(Table1[[#This Row],[Age]]&lt;55,"45-54","55+"))))</f>
        <v>55+</v>
      </c>
      <c r="C890" s="3">
        <v>58</v>
      </c>
      <c r="D890" s="3" t="s">
        <v>7</v>
      </c>
      <c r="E890" s="3" t="s">
        <v>8</v>
      </c>
      <c r="F890" s="3" t="s">
        <v>9</v>
      </c>
      <c r="G890" s="3" t="s">
        <v>25</v>
      </c>
      <c r="H890" s="3" t="s">
        <v>19</v>
      </c>
      <c r="I890" s="3">
        <v>33332</v>
      </c>
      <c r="J890" s="3">
        <v>0</v>
      </c>
      <c r="K890" s="3">
        <v>0</v>
      </c>
      <c r="L890" s="3">
        <v>4</v>
      </c>
      <c r="M890" s="3">
        <v>4</v>
      </c>
      <c r="N890" s="3" t="s">
        <v>14</v>
      </c>
      <c r="O890" s="3" t="s">
        <v>20</v>
      </c>
      <c r="P890" s="3">
        <v>3</v>
      </c>
      <c r="Q890" s="3">
        <v>1</v>
      </c>
      <c r="R890" s="4" t="s">
        <v>14</v>
      </c>
      <c r="S890" s="4" t="s">
        <v>14</v>
      </c>
      <c r="T890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Less than 1 Year</v>
      </c>
    </row>
    <row r="891" spans="1:20" ht="18" x14ac:dyDescent="0.35">
      <c r="A891" s="3" t="s">
        <v>934</v>
      </c>
      <c r="B891" s="3" t="str">
        <f>IF(Table1[[#This Row],[Age]]&lt;25,"Under 25",IF(Table1[[#This Row],[Age]]&lt;35,"25-34",IF(Table1[[#This Row],[Age]]&lt;45,"35-44",IF(Table1[[#This Row],[Age]]&lt;55,"45-54","55+"))))</f>
        <v>25-34</v>
      </c>
      <c r="C891" s="3">
        <v>34</v>
      </c>
      <c r="D891" s="3" t="s">
        <v>22</v>
      </c>
      <c r="E891" s="3" t="s">
        <v>34</v>
      </c>
      <c r="F891" s="3" t="s">
        <v>91</v>
      </c>
      <c r="G891" s="3" t="s">
        <v>18</v>
      </c>
      <c r="H891" s="3" t="s">
        <v>11</v>
      </c>
      <c r="I891" s="3">
        <v>63317</v>
      </c>
      <c r="J891" s="3">
        <v>3</v>
      </c>
      <c r="K891" s="3">
        <v>3</v>
      </c>
      <c r="L891" s="3">
        <v>4</v>
      </c>
      <c r="M891" s="3">
        <v>2</v>
      </c>
      <c r="N891" s="3" t="s">
        <v>14</v>
      </c>
      <c r="O891" s="3" t="s">
        <v>13</v>
      </c>
      <c r="P891" s="3">
        <v>4</v>
      </c>
      <c r="Q891" s="3">
        <v>3</v>
      </c>
      <c r="R891" s="4" t="s">
        <v>14</v>
      </c>
      <c r="S891" s="4" t="s">
        <v>14</v>
      </c>
      <c r="T891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892" spans="1:20" ht="18" x14ac:dyDescent="0.35">
      <c r="A892" s="3" t="s">
        <v>935</v>
      </c>
      <c r="B892" s="3" t="str">
        <f>IF(Table1[[#This Row],[Age]]&lt;25,"Under 25",IF(Table1[[#This Row],[Age]]&lt;35,"25-34",IF(Table1[[#This Row],[Age]]&lt;45,"35-44",IF(Table1[[#This Row],[Age]]&lt;55,"45-54","55+"))))</f>
        <v>35-44</v>
      </c>
      <c r="C892" s="3">
        <v>41</v>
      </c>
      <c r="D892" s="3" t="s">
        <v>7</v>
      </c>
      <c r="E892" s="3" t="s">
        <v>16</v>
      </c>
      <c r="F892" s="3" t="s">
        <v>47</v>
      </c>
      <c r="G892" s="3" t="s">
        <v>10</v>
      </c>
      <c r="H892" s="3" t="s">
        <v>11</v>
      </c>
      <c r="I892" s="3">
        <v>78201</v>
      </c>
      <c r="J892" s="3">
        <v>1</v>
      </c>
      <c r="K892" s="3">
        <v>1</v>
      </c>
      <c r="L892" s="3">
        <v>3</v>
      </c>
      <c r="M892" s="3">
        <v>3</v>
      </c>
      <c r="N892" s="3" t="s">
        <v>12</v>
      </c>
      <c r="O892" s="3" t="s">
        <v>13</v>
      </c>
      <c r="P892" s="3">
        <v>3</v>
      </c>
      <c r="Q892" s="3">
        <v>3</v>
      </c>
      <c r="R892" s="4" t="s">
        <v>14</v>
      </c>
      <c r="S892" s="4" t="s">
        <v>14</v>
      </c>
      <c r="T892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893" spans="1:20" ht="18" x14ac:dyDescent="0.35">
      <c r="A893" s="3" t="s">
        <v>936</v>
      </c>
      <c r="B893" s="3" t="str">
        <f>IF(Table1[[#This Row],[Age]]&lt;25,"Under 25",IF(Table1[[#This Row],[Age]]&lt;35,"25-34",IF(Table1[[#This Row],[Age]]&lt;45,"35-44",IF(Table1[[#This Row],[Age]]&lt;55,"45-54","55+"))))</f>
        <v>35-44</v>
      </c>
      <c r="C893" s="3">
        <v>40</v>
      </c>
      <c r="D893" s="3" t="s">
        <v>22</v>
      </c>
      <c r="E893" s="3" t="s">
        <v>51</v>
      </c>
      <c r="F893" s="3" t="s">
        <v>72</v>
      </c>
      <c r="G893" s="3" t="s">
        <v>10</v>
      </c>
      <c r="H893" s="3" t="s">
        <v>19</v>
      </c>
      <c r="I893" s="3">
        <v>51012</v>
      </c>
      <c r="J893" s="3">
        <v>6</v>
      </c>
      <c r="K893" s="3">
        <v>3</v>
      </c>
      <c r="L893" s="3">
        <v>2</v>
      </c>
      <c r="M893" s="3">
        <v>3</v>
      </c>
      <c r="N893" s="3" t="s">
        <v>14</v>
      </c>
      <c r="O893" s="3" t="s">
        <v>20</v>
      </c>
      <c r="P893" s="3">
        <v>3</v>
      </c>
      <c r="Q893" s="3">
        <v>2</v>
      </c>
      <c r="R893" s="4" t="s">
        <v>14</v>
      </c>
      <c r="S893" s="4" t="s">
        <v>14</v>
      </c>
      <c r="T893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894" spans="1:20" ht="18" x14ac:dyDescent="0.35">
      <c r="A894" s="3" t="s">
        <v>937</v>
      </c>
      <c r="B894" s="3" t="str">
        <f>IF(Table1[[#This Row],[Age]]&lt;25,"Under 25",IF(Table1[[#This Row],[Age]]&lt;35,"25-34",IF(Table1[[#This Row],[Age]]&lt;45,"35-44",IF(Table1[[#This Row],[Age]]&lt;55,"45-54","55+"))))</f>
        <v>25-34</v>
      </c>
      <c r="C894" s="3">
        <v>27</v>
      </c>
      <c r="D894" s="3" t="s">
        <v>22</v>
      </c>
      <c r="E894" s="3" t="s">
        <v>34</v>
      </c>
      <c r="F894" s="3" t="s">
        <v>150</v>
      </c>
      <c r="G894" s="3" t="s">
        <v>25</v>
      </c>
      <c r="H894" s="3" t="s">
        <v>19</v>
      </c>
      <c r="I894" s="3">
        <v>59472</v>
      </c>
      <c r="J894" s="3">
        <v>4</v>
      </c>
      <c r="K894" s="3">
        <v>3</v>
      </c>
      <c r="L894" s="3">
        <v>3</v>
      </c>
      <c r="M894" s="3">
        <v>4</v>
      </c>
      <c r="N894" s="3" t="s">
        <v>12</v>
      </c>
      <c r="O894" s="3" t="s">
        <v>13</v>
      </c>
      <c r="P894" s="3">
        <v>3</v>
      </c>
      <c r="Q894" s="3">
        <v>5</v>
      </c>
      <c r="R894" s="4" t="s">
        <v>14</v>
      </c>
      <c r="S894" s="4" t="s">
        <v>14</v>
      </c>
      <c r="T894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895" spans="1:20" ht="18" x14ac:dyDescent="0.35">
      <c r="A895" s="3" t="s">
        <v>938</v>
      </c>
      <c r="B895" s="3" t="str">
        <f>IF(Table1[[#This Row],[Age]]&lt;25,"Under 25",IF(Table1[[#This Row],[Age]]&lt;35,"25-34",IF(Table1[[#This Row],[Age]]&lt;45,"35-44",IF(Table1[[#This Row],[Age]]&lt;55,"45-54","55+"))))</f>
        <v>25-34</v>
      </c>
      <c r="C895" s="3">
        <v>28</v>
      </c>
      <c r="D895" s="3" t="s">
        <v>22</v>
      </c>
      <c r="E895" s="3" t="s">
        <v>34</v>
      </c>
      <c r="F895" s="3" t="s">
        <v>91</v>
      </c>
      <c r="G895" s="3" t="s">
        <v>25</v>
      </c>
      <c r="H895" s="3" t="s">
        <v>11</v>
      </c>
      <c r="I895" s="3">
        <v>72009</v>
      </c>
      <c r="J895" s="3">
        <v>6</v>
      </c>
      <c r="K895" s="3">
        <v>5</v>
      </c>
      <c r="L895" s="3">
        <v>1</v>
      </c>
      <c r="M895" s="3">
        <v>3</v>
      </c>
      <c r="N895" s="3" t="s">
        <v>14</v>
      </c>
      <c r="O895" s="3" t="s">
        <v>13</v>
      </c>
      <c r="P895" s="3">
        <v>3</v>
      </c>
      <c r="Q895" s="3">
        <v>3</v>
      </c>
      <c r="R895" s="4" t="s">
        <v>12</v>
      </c>
      <c r="S895" s="4" t="s">
        <v>14</v>
      </c>
      <c r="T895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896" spans="1:20" ht="18" x14ac:dyDescent="0.35">
      <c r="A896" s="3" t="s">
        <v>939</v>
      </c>
      <c r="B896" s="3" t="str">
        <f>IF(Table1[[#This Row],[Age]]&lt;25,"Under 25",IF(Table1[[#This Row],[Age]]&lt;35,"25-34",IF(Table1[[#This Row],[Age]]&lt;45,"35-44",IF(Table1[[#This Row],[Age]]&lt;55,"45-54","55+"))))</f>
        <v>35-44</v>
      </c>
      <c r="C896" s="3">
        <v>38</v>
      </c>
      <c r="D896" s="3" t="s">
        <v>22</v>
      </c>
      <c r="E896" s="3" t="s">
        <v>8</v>
      </c>
      <c r="F896" s="3" t="s">
        <v>66</v>
      </c>
      <c r="G896" s="3" t="s">
        <v>10</v>
      </c>
      <c r="H896" s="3" t="s">
        <v>11</v>
      </c>
      <c r="I896" s="3">
        <v>93517</v>
      </c>
      <c r="J896" s="3">
        <v>19</v>
      </c>
      <c r="K896" s="3">
        <v>2</v>
      </c>
      <c r="L896" s="3">
        <v>3</v>
      </c>
      <c r="M896" s="3">
        <v>3</v>
      </c>
      <c r="N896" s="3" t="s">
        <v>14</v>
      </c>
      <c r="O896" s="3" t="s">
        <v>13</v>
      </c>
      <c r="P896" s="3">
        <v>3</v>
      </c>
      <c r="Q896" s="3">
        <v>4</v>
      </c>
      <c r="R896" s="4" t="s">
        <v>14</v>
      </c>
      <c r="S896" s="4" t="s">
        <v>14</v>
      </c>
      <c r="T896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897" spans="1:20" ht="18" x14ac:dyDescent="0.35">
      <c r="A897" s="3" t="s">
        <v>940</v>
      </c>
      <c r="B897" s="3" t="str">
        <f>IF(Table1[[#This Row],[Age]]&lt;25,"Under 25",IF(Table1[[#This Row],[Age]]&lt;35,"25-34",IF(Table1[[#This Row],[Age]]&lt;45,"35-44",IF(Table1[[#This Row],[Age]]&lt;55,"45-54","55+"))))</f>
        <v>25-34</v>
      </c>
      <c r="C897" s="3">
        <v>28</v>
      </c>
      <c r="D897" s="3" t="s">
        <v>22</v>
      </c>
      <c r="E897" s="3" t="s">
        <v>34</v>
      </c>
      <c r="F897" s="3" t="s">
        <v>150</v>
      </c>
      <c r="G897" s="3" t="s">
        <v>45</v>
      </c>
      <c r="H897" s="3" t="s">
        <v>19</v>
      </c>
      <c r="I897" s="3">
        <v>23512</v>
      </c>
      <c r="J897" s="3">
        <v>10</v>
      </c>
      <c r="K897" s="3">
        <v>8</v>
      </c>
      <c r="L897" s="3">
        <v>3</v>
      </c>
      <c r="M897" s="3">
        <v>3</v>
      </c>
      <c r="N897" s="3" t="s">
        <v>14</v>
      </c>
      <c r="O897" s="3" t="s">
        <v>13</v>
      </c>
      <c r="P897" s="3">
        <v>3</v>
      </c>
      <c r="Q897" s="3">
        <v>4</v>
      </c>
      <c r="R897" s="4" t="s">
        <v>14</v>
      </c>
      <c r="S897" s="4" t="s">
        <v>14</v>
      </c>
      <c r="T897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898" spans="1:20" ht="18" x14ac:dyDescent="0.35">
      <c r="A898" s="3" t="s">
        <v>941</v>
      </c>
      <c r="B898" s="3" t="str">
        <f>IF(Table1[[#This Row],[Age]]&lt;25,"Under 25",IF(Table1[[#This Row],[Age]]&lt;35,"25-34",IF(Table1[[#This Row],[Age]]&lt;45,"35-44",IF(Table1[[#This Row],[Age]]&lt;55,"45-54","55+"))))</f>
        <v>Under 25</v>
      </c>
      <c r="C898" s="3">
        <v>24</v>
      </c>
      <c r="D898" s="3" t="s">
        <v>7</v>
      </c>
      <c r="E898" s="3" t="s">
        <v>16</v>
      </c>
      <c r="F898" s="3" t="s">
        <v>47</v>
      </c>
      <c r="G898" s="3" t="s">
        <v>25</v>
      </c>
      <c r="H898" s="3" t="s">
        <v>19</v>
      </c>
      <c r="I898" s="3">
        <v>60171</v>
      </c>
      <c r="J898" s="3">
        <v>1</v>
      </c>
      <c r="K898" s="3">
        <v>1</v>
      </c>
      <c r="L898" s="3">
        <v>2</v>
      </c>
      <c r="M898" s="3">
        <v>4</v>
      </c>
      <c r="N898" s="3" t="s">
        <v>14</v>
      </c>
      <c r="O898" s="3" t="s">
        <v>13</v>
      </c>
      <c r="P898" s="3">
        <v>2</v>
      </c>
      <c r="Q898" s="3">
        <v>3</v>
      </c>
      <c r="R898" s="4" t="s">
        <v>12</v>
      </c>
      <c r="S898" s="4" t="s">
        <v>12</v>
      </c>
      <c r="T898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899" spans="1:20" ht="18" x14ac:dyDescent="0.35">
      <c r="A899" s="3" t="s">
        <v>942</v>
      </c>
      <c r="B899" s="3" t="str">
        <f>IF(Table1[[#This Row],[Age]]&lt;25,"Under 25",IF(Table1[[#This Row],[Age]]&lt;35,"25-34",IF(Table1[[#This Row],[Age]]&lt;45,"35-44",IF(Table1[[#This Row],[Age]]&lt;55,"45-54","55+"))))</f>
        <v>35-44</v>
      </c>
      <c r="C899" s="3">
        <v>35</v>
      </c>
      <c r="D899" s="3" t="s">
        <v>22</v>
      </c>
      <c r="E899" s="3" t="s">
        <v>34</v>
      </c>
      <c r="F899" s="3" t="s">
        <v>150</v>
      </c>
      <c r="G899" s="3" t="s">
        <v>25</v>
      </c>
      <c r="H899" s="3" t="s">
        <v>19</v>
      </c>
      <c r="I899" s="3">
        <v>108083</v>
      </c>
      <c r="J899" s="3">
        <v>5</v>
      </c>
      <c r="K899" s="3">
        <v>2</v>
      </c>
      <c r="L899" s="3">
        <v>2</v>
      </c>
      <c r="M899" s="3">
        <v>1</v>
      </c>
      <c r="N899" s="3" t="s">
        <v>14</v>
      </c>
      <c r="O899" s="3" t="s">
        <v>20</v>
      </c>
      <c r="P899" s="3">
        <v>3</v>
      </c>
      <c r="Q899" s="3">
        <v>5</v>
      </c>
      <c r="R899" s="4" t="s">
        <v>14</v>
      </c>
      <c r="S899" s="4" t="s">
        <v>14</v>
      </c>
      <c r="T899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900" spans="1:20" ht="18" x14ac:dyDescent="0.35">
      <c r="A900" s="3" t="s">
        <v>943</v>
      </c>
      <c r="B900" s="3" t="str">
        <f>IF(Table1[[#This Row],[Age]]&lt;25,"Under 25",IF(Table1[[#This Row],[Age]]&lt;35,"25-34",IF(Table1[[#This Row],[Age]]&lt;45,"35-44",IF(Table1[[#This Row],[Age]]&lt;55,"45-54","55+"))))</f>
        <v>25-34</v>
      </c>
      <c r="C900" s="3">
        <v>32</v>
      </c>
      <c r="D900" s="3" t="s">
        <v>22</v>
      </c>
      <c r="E900" s="3" t="s">
        <v>8</v>
      </c>
      <c r="F900" s="3" t="s">
        <v>9</v>
      </c>
      <c r="G900" s="3" t="s">
        <v>18</v>
      </c>
      <c r="H900" s="3" t="s">
        <v>11</v>
      </c>
      <c r="I900" s="3">
        <v>93243</v>
      </c>
      <c r="J900" s="3">
        <v>14</v>
      </c>
      <c r="K900" s="3">
        <v>5</v>
      </c>
      <c r="L900" s="3">
        <v>4</v>
      </c>
      <c r="M900" s="3">
        <v>1</v>
      </c>
      <c r="N900" s="3" t="s">
        <v>14</v>
      </c>
      <c r="O900" s="3" t="s">
        <v>20</v>
      </c>
      <c r="P900" s="3">
        <v>3</v>
      </c>
      <c r="Q900" s="3">
        <v>4</v>
      </c>
      <c r="R900" s="4" t="s">
        <v>14</v>
      </c>
      <c r="S900" s="4" t="s">
        <v>14</v>
      </c>
      <c r="T900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901" spans="1:20" ht="18" x14ac:dyDescent="0.35">
      <c r="A901" s="3" t="s">
        <v>944</v>
      </c>
      <c r="B901" s="3" t="str">
        <f>IF(Table1[[#This Row],[Age]]&lt;25,"Under 25",IF(Table1[[#This Row],[Age]]&lt;35,"25-34",IF(Table1[[#This Row],[Age]]&lt;45,"35-44",IF(Table1[[#This Row],[Age]]&lt;55,"45-54","55+"))))</f>
        <v>25-34</v>
      </c>
      <c r="C901" s="3">
        <v>32</v>
      </c>
      <c r="D901" s="3" t="s">
        <v>7</v>
      </c>
      <c r="E901" s="3" t="s">
        <v>34</v>
      </c>
      <c r="F901" s="3" t="s">
        <v>91</v>
      </c>
      <c r="G901" s="3" t="s">
        <v>10</v>
      </c>
      <c r="H901" s="3" t="s">
        <v>19</v>
      </c>
      <c r="I901" s="3">
        <v>51578</v>
      </c>
      <c r="J901" s="3">
        <v>4</v>
      </c>
      <c r="K901" s="3">
        <v>1</v>
      </c>
      <c r="L901" s="3">
        <v>3</v>
      </c>
      <c r="M901" s="3">
        <v>4</v>
      </c>
      <c r="N901" s="3" t="s">
        <v>14</v>
      </c>
      <c r="O901" s="3" t="s">
        <v>26</v>
      </c>
      <c r="P901" s="3">
        <v>3</v>
      </c>
      <c r="Q901" s="3">
        <v>5</v>
      </c>
      <c r="R901" s="4" t="s">
        <v>12</v>
      </c>
      <c r="S901" s="4" t="s">
        <v>14</v>
      </c>
      <c r="T901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902" spans="1:20" ht="18" x14ac:dyDescent="0.35">
      <c r="A902" s="3" t="s">
        <v>945</v>
      </c>
      <c r="B902" s="3" t="str">
        <f>IF(Table1[[#This Row],[Age]]&lt;25,"Under 25",IF(Table1[[#This Row],[Age]]&lt;35,"25-34",IF(Table1[[#This Row],[Age]]&lt;45,"35-44",IF(Table1[[#This Row],[Age]]&lt;55,"45-54","55+"))))</f>
        <v>35-44</v>
      </c>
      <c r="C902" s="3">
        <v>37</v>
      </c>
      <c r="D902" s="3" t="s">
        <v>22</v>
      </c>
      <c r="E902" s="3" t="s">
        <v>51</v>
      </c>
      <c r="F902" s="3" t="s">
        <v>80</v>
      </c>
      <c r="G902" s="3" t="s">
        <v>10</v>
      </c>
      <c r="H902" s="3" t="s">
        <v>19</v>
      </c>
      <c r="I902" s="3">
        <v>90586</v>
      </c>
      <c r="J902" s="3">
        <v>4</v>
      </c>
      <c r="K902" s="3">
        <v>3</v>
      </c>
      <c r="L902" s="3">
        <v>4</v>
      </c>
      <c r="M902" s="3">
        <v>3</v>
      </c>
      <c r="N902" s="3" t="s">
        <v>12</v>
      </c>
      <c r="O902" s="3" t="s">
        <v>13</v>
      </c>
      <c r="P902" s="3">
        <v>3</v>
      </c>
      <c r="Q902" s="3">
        <v>6</v>
      </c>
      <c r="R902" s="4" t="s">
        <v>14</v>
      </c>
      <c r="S902" s="4" t="s">
        <v>14</v>
      </c>
      <c r="T902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903" spans="1:20" ht="18" x14ac:dyDescent="0.35">
      <c r="A903" s="3" t="s">
        <v>946</v>
      </c>
      <c r="B903" s="3" t="str">
        <f>IF(Table1[[#This Row],[Age]]&lt;25,"Under 25",IF(Table1[[#This Row],[Age]]&lt;35,"25-34",IF(Table1[[#This Row],[Age]]&lt;45,"35-44",IF(Table1[[#This Row],[Age]]&lt;55,"45-54","55+"))))</f>
        <v>45-54</v>
      </c>
      <c r="C903" s="3">
        <v>54</v>
      </c>
      <c r="D903" s="3" t="s">
        <v>22</v>
      </c>
      <c r="E903" s="3" t="s">
        <v>16</v>
      </c>
      <c r="F903" s="3" t="s">
        <v>17</v>
      </c>
      <c r="G903" s="3" t="s">
        <v>25</v>
      </c>
      <c r="H903" s="3" t="s">
        <v>19</v>
      </c>
      <c r="I903" s="3">
        <v>29641</v>
      </c>
      <c r="J903" s="3">
        <v>7</v>
      </c>
      <c r="K903" s="3">
        <v>6</v>
      </c>
      <c r="L903" s="3">
        <v>3</v>
      </c>
      <c r="M903" s="3">
        <v>3</v>
      </c>
      <c r="N903" s="3" t="s">
        <v>12</v>
      </c>
      <c r="O903" s="3" t="s">
        <v>13</v>
      </c>
      <c r="P903" s="3">
        <v>3</v>
      </c>
      <c r="Q903" s="3">
        <v>0</v>
      </c>
      <c r="R903" s="4" t="s">
        <v>14</v>
      </c>
      <c r="S903" s="4" t="s">
        <v>14</v>
      </c>
      <c r="T903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904" spans="1:20" ht="18" x14ac:dyDescent="0.35">
      <c r="A904" s="3" t="s">
        <v>947</v>
      </c>
      <c r="B904" s="3" t="str">
        <f>IF(Table1[[#This Row],[Age]]&lt;25,"Under 25",IF(Table1[[#This Row],[Age]]&lt;35,"25-34",IF(Table1[[#This Row],[Age]]&lt;45,"35-44",IF(Table1[[#This Row],[Age]]&lt;55,"45-54","55+"))))</f>
        <v>Under 25</v>
      </c>
      <c r="C904" s="3">
        <v>23</v>
      </c>
      <c r="D904" s="3" t="s">
        <v>7</v>
      </c>
      <c r="E904" s="3" t="s">
        <v>16</v>
      </c>
      <c r="F904" s="3" t="s">
        <v>47</v>
      </c>
      <c r="G904" s="3" t="s">
        <v>18</v>
      </c>
      <c r="H904" s="3" t="s">
        <v>11</v>
      </c>
      <c r="I904" s="3">
        <v>131586</v>
      </c>
      <c r="J904" s="3">
        <v>2</v>
      </c>
      <c r="K904" s="3">
        <v>0</v>
      </c>
      <c r="L904" s="3">
        <v>4</v>
      </c>
      <c r="M904" s="3">
        <v>2</v>
      </c>
      <c r="N904" s="3" t="s">
        <v>12</v>
      </c>
      <c r="O904" s="3" t="s">
        <v>13</v>
      </c>
      <c r="P904" s="3">
        <v>3</v>
      </c>
      <c r="Q904" s="3">
        <v>2</v>
      </c>
      <c r="R904" s="4" t="s">
        <v>12</v>
      </c>
      <c r="S904" s="4" t="s">
        <v>12</v>
      </c>
      <c r="T904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905" spans="1:20" ht="18" x14ac:dyDescent="0.35">
      <c r="A905" s="3" t="s">
        <v>948</v>
      </c>
      <c r="B905" s="3" t="str">
        <f>IF(Table1[[#This Row],[Age]]&lt;25,"Under 25",IF(Table1[[#This Row],[Age]]&lt;35,"25-34",IF(Table1[[#This Row],[Age]]&lt;45,"35-44",IF(Table1[[#This Row],[Age]]&lt;55,"45-54","55+"))))</f>
        <v>35-44</v>
      </c>
      <c r="C905" s="3">
        <v>40</v>
      </c>
      <c r="D905" s="3" t="s">
        <v>22</v>
      </c>
      <c r="E905" s="3" t="s">
        <v>51</v>
      </c>
      <c r="F905" s="3" t="s">
        <v>52</v>
      </c>
      <c r="G905" s="3" t="s">
        <v>25</v>
      </c>
      <c r="H905" s="3" t="s">
        <v>19</v>
      </c>
      <c r="I905" s="3">
        <v>66750</v>
      </c>
      <c r="J905" s="3">
        <v>8</v>
      </c>
      <c r="K905" s="3">
        <v>4</v>
      </c>
      <c r="L905" s="3">
        <v>2</v>
      </c>
      <c r="M905" s="3">
        <v>3</v>
      </c>
      <c r="N905" s="3" t="s">
        <v>14</v>
      </c>
      <c r="O905" s="3" t="s">
        <v>20</v>
      </c>
      <c r="P905" s="3">
        <v>4</v>
      </c>
      <c r="Q905" s="3">
        <v>6</v>
      </c>
      <c r="R905" s="4" t="s">
        <v>14</v>
      </c>
      <c r="S905" s="4" t="s">
        <v>14</v>
      </c>
      <c r="T905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906" spans="1:20" ht="18" x14ac:dyDescent="0.35">
      <c r="A906" s="3" t="s">
        <v>949</v>
      </c>
      <c r="B906" s="3" t="str">
        <f>IF(Table1[[#This Row],[Age]]&lt;25,"Under 25",IF(Table1[[#This Row],[Age]]&lt;35,"25-34",IF(Table1[[#This Row],[Age]]&lt;45,"35-44",IF(Table1[[#This Row],[Age]]&lt;55,"45-54","55+"))))</f>
        <v>Under 25</v>
      </c>
      <c r="C906" s="3">
        <v>21</v>
      </c>
      <c r="D906" s="3" t="s">
        <v>7</v>
      </c>
      <c r="E906" s="3" t="s">
        <v>8</v>
      </c>
      <c r="F906" s="3" t="s">
        <v>9</v>
      </c>
      <c r="G906" s="3" t="s">
        <v>10</v>
      </c>
      <c r="H906" s="3" t="s">
        <v>11</v>
      </c>
      <c r="I906" s="3">
        <v>101216</v>
      </c>
      <c r="J906" s="3">
        <v>3</v>
      </c>
      <c r="K906" s="3">
        <v>3</v>
      </c>
      <c r="L906" s="3">
        <v>4</v>
      </c>
      <c r="M906" s="3">
        <v>2</v>
      </c>
      <c r="N906" s="3" t="s">
        <v>14</v>
      </c>
      <c r="O906" s="3" t="s">
        <v>13</v>
      </c>
      <c r="P906" s="3">
        <v>3</v>
      </c>
      <c r="Q906" s="3">
        <v>3</v>
      </c>
      <c r="R906" s="4" t="s">
        <v>14</v>
      </c>
      <c r="S906" s="4" t="s">
        <v>12</v>
      </c>
      <c r="T906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907" spans="1:20" ht="18" x14ac:dyDescent="0.35">
      <c r="A907" s="3" t="s">
        <v>950</v>
      </c>
      <c r="B907" s="3" t="str">
        <f>IF(Table1[[#This Row],[Age]]&lt;25,"Under 25",IF(Table1[[#This Row],[Age]]&lt;35,"25-34",IF(Table1[[#This Row],[Age]]&lt;45,"35-44",IF(Table1[[#This Row],[Age]]&lt;55,"45-54","55+"))))</f>
        <v>25-34</v>
      </c>
      <c r="C907" s="3">
        <v>25</v>
      </c>
      <c r="D907" s="3" t="s">
        <v>7</v>
      </c>
      <c r="E907" s="3" t="s">
        <v>16</v>
      </c>
      <c r="F907" s="3" t="s">
        <v>28</v>
      </c>
      <c r="G907" s="3" t="s">
        <v>25</v>
      </c>
      <c r="H907" s="3" t="s">
        <v>11</v>
      </c>
      <c r="I907" s="3">
        <v>68856</v>
      </c>
      <c r="J907" s="3">
        <v>1</v>
      </c>
      <c r="K907" s="3">
        <v>0</v>
      </c>
      <c r="L907" s="3">
        <v>2</v>
      </c>
      <c r="M907" s="3">
        <v>3</v>
      </c>
      <c r="N907" s="3" t="s">
        <v>12</v>
      </c>
      <c r="O907" s="3" t="s">
        <v>13</v>
      </c>
      <c r="P907" s="3">
        <v>3</v>
      </c>
      <c r="Q907" s="3">
        <v>1</v>
      </c>
      <c r="R907" s="4" t="s">
        <v>14</v>
      </c>
      <c r="S907" s="4" t="s">
        <v>14</v>
      </c>
      <c r="T907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908" spans="1:20" ht="18" x14ac:dyDescent="0.35">
      <c r="A908" s="3" t="s">
        <v>951</v>
      </c>
      <c r="B908" s="3" t="str">
        <f>IF(Table1[[#This Row],[Age]]&lt;25,"Under 25",IF(Table1[[#This Row],[Age]]&lt;35,"25-34",IF(Table1[[#This Row],[Age]]&lt;45,"35-44",IF(Table1[[#This Row],[Age]]&lt;55,"45-54","55+"))))</f>
        <v>35-44</v>
      </c>
      <c r="C908" s="3">
        <v>44</v>
      </c>
      <c r="D908" s="3" t="s">
        <v>22</v>
      </c>
      <c r="E908" s="3" t="s">
        <v>16</v>
      </c>
      <c r="F908" s="3" t="s">
        <v>28</v>
      </c>
      <c r="G908" s="3" t="s">
        <v>18</v>
      </c>
      <c r="H908" s="3" t="s">
        <v>11</v>
      </c>
      <c r="I908" s="3">
        <v>80871</v>
      </c>
      <c r="J908" s="3">
        <v>0</v>
      </c>
      <c r="K908" s="3">
        <v>0</v>
      </c>
      <c r="L908" s="3">
        <v>2</v>
      </c>
      <c r="M908" s="3">
        <v>2</v>
      </c>
      <c r="N908" s="3" t="s">
        <v>14</v>
      </c>
      <c r="O908" s="3" t="s">
        <v>13</v>
      </c>
      <c r="P908" s="3">
        <v>3</v>
      </c>
      <c r="Q908" s="3">
        <v>0</v>
      </c>
      <c r="R908" s="4" t="s">
        <v>14</v>
      </c>
      <c r="S908" s="4" t="s">
        <v>14</v>
      </c>
      <c r="T908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Less than 1 Year</v>
      </c>
    </row>
    <row r="909" spans="1:20" ht="18" x14ac:dyDescent="0.35">
      <c r="A909" s="3" t="s">
        <v>952</v>
      </c>
      <c r="B909" s="3" t="str">
        <f>IF(Table1[[#This Row],[Age]]&lt;25,"Under 25",IF(Table1[[#This Row],[Age]]&lt;35,"25-34",IF(Table1[[#This Row],[Age]]&lt;45,"35-44",IF(Table1[[#This Row],[Age]]&lt;55,"45-54","55+"))))</f>
        <v>Under 25</v>
      </c>
      <c r="C909" s="3">
        <v>22</v>
      </c>
      <c r="D909" s="3" t="s">
        <v>22</v>
      </c>
      <c r="E909" s="3" t="s">
        <v>31</v>
      </c>
      <c r="F909" s="3" t="s">
        <v>74</v>
      </c>
      <c r="G909" s="3" t="s">
        <v>25</v>
      </c>
      <c r="H909" s="3" t="s">
        <v>19</v>
      </c>
      <c r="I909" s="3">
        <v>65102</v>
      </c>
      <c r="J909" s="3">
        <v>0</v>
      </c>
      <c r="K909" s="3">
        <v>0</v>
      </c>
      <c r="L909" s="3">
        <v>3</v>
      </c>
      <c r="M909" s="3">
        <v>2</v>
      </c>
      <c r="N909" s="3" t="s">
        <v>12</v>
      </c>
      <c r="O909" s="3" t="s">
        <v>13</v>
      </c>
      <c r="P909" s="3">
        <v>4</v>
      </c>
      <c r="Q909" s="3">
        <v>0</v>
      </c>
      <c r="R909" s="4" t="s">
        <v>14</v>
      </c>
      <c r="S909" s="4" t="s">
        <v>14</v>
      </c>
      <c r="T909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Less than 1 Year</v>
      </c>
    </row>
    <row r="910" spans="1:20" ht="18" x14ac:dyDescent="0.35">
      <c r="A910" s="3" t="s">
        <v>953</v>
      </c>
      <c r="B910" s="3" t="str">
        <f>IF(Table1[[#This Row],[Age]]&lt;25,"Under 25",IF(Table1[[#This Row],[Age]]&lt;35,"25-34",IF(Table1[[#This Row],[Age]]&lt;45,"35-44",IF(Table1[[#This Row],[Age]]&lt;55,"45-54","55+"))))</f>
        <v>35-44</v>
      </c>
      <c r="C910" s="3">
        <v>35</v>
      </c>
      <c r="D910" s="3" t="s">
        <v>22</v>
      </c>
      <c r="E910" s="3" t="s">
        <v>16</v>
      </c>
      <c r="F910" s="3" t="s">
        <v>17</v>
      </c>
      <c r="G910" s="3" t="s">
        <v>10</v>
      </c>
      <c r="H910" s="3" t="s">
        <v>19</v>
      </c>
      <c r="I910" s="3">
        <v>46018</v>
      </c>
      <c r="J910" s="3">
        <v>1</v>
      </c>
      <c r="K910" s="3">
        <v>1</v>
      </c>
      <c r="L910" s="3">
        <v>2</v>
      </c>
      <c r="M910" s="3">
        <v>3</v>
      </c>
      <c r="N910" s="3" t="s">
        <v>14</v>
      </c>
      <c r="O910" s="3" t="s">
        <v>13</v>
      </c>
      <c r="P910" s="3">
        <v>4</v>
      </c>
      <c r="Q910" s="3">
        <v>1</v>
      </c>
      <c r="R910" s="4" t="s">
        <v>14</v>
      </c>
      <c r="S910" s="4" t="s">
        <v>12</v>
      </c>
      <c r="T910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911" spans="1:20" ht="18" x14ac:dyDescent="0.35">
      <c r="A911" s="3" t="s">
        <v>954</v>
      </c>
      <c r="B911" s="3" t="str">
        <f>IF(Table1[[#This Row],[Age]]&lt;25,"Under 25",IF(Table1[[#This Row],[Age]]&lt;35,"25-34",IF(Table1[[#This Row],[Age]]&lt;45,"35-44",IF(Table1[[#This Row],[Age]]&lt;55,"45-54","55+"))))</f>
        <v>25-34</v>
      </c>
      <c r="C911" s="3">
        <v>34</v>
      </c>
      <c r="D911" s="3" t="s">
        <v>22</v>
      </c>
      <c r="E911" s="3" t="s">
        <v>51</v>
      </c>
      <c r="F911" s="3" t="s">
        <v>72</v>
      </c>
      <c r="G911" s="3" t="s">
        <v>10</v>
      </c>
      <c r="H911" s="3" t="s">
        <v>19</v>
      </c>
      <c r="I911" s="3">
        <v>56083</v>
      </c>
      <c r="J911" s="3">
        <v>13</v>
      </c>
      <c r="K911" s="3">
        <v>5</v>
      </c>
      <c r="L911" s="3">
        <v>3</v>
      </c>
      <c r="M911" s="3">
        <v>4</v>
      </c>
      <c r="N911" s="3" t="s">
        <v>14</v>
      </c>
      <c r="O911" s="3" t="s">
        <v>20</v>
      </c>
      <c r="P911" s="3">
        <v>3</v>
      </c>
      <c r="Q911" s="3">
        <v>5</v>
      </c>
      <c r="R911" s="4" t="s">
        <v>14</v>
      </c>
      <c r="S911" s="4" t="s">
        <v>14</v>
      </c>
      <c r="T911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912" spans="1:20" ht="18" x14ac:dyDescent="0.35">
      <c r="A912" s="3" t="s">
        <v>955</v>
      </c>
      <c r="B912" s="3" t="str">
        <f>IF(Table1[[#This Row],[Age]]&lt;25,"Under 25",IF(Table1[[#This Row],[Age]]&lt;35,"25-34",IF(Table1[[#This Row],[Age]]&lt;45,"35-44",IF(Table1[[#This Row],[Age]]&lt;55,"45-54","55+"))))</f>
        <v>25-34</v>
      </c>
      <c r="C912" s="3">
        <v>26</v>
      </c>
      <c r="D912" s="3" t="s">
        <v>22</v>
      </c>
      <c r="E912" s="3" t="s">
        <v>38</v>
      </c>
      <c r="F912" s="3" t="s">
        <v>89</v>
      </c>
      <c r="G912" s="3" t="s">
        <v>10</v>
      </c>
      <c r="H912" s="3" t="s">
        <v>11</v>
      </c>
      <c r="I912" s="3">
        <v>80382</v>
      </c>
      <c r="J912" s="3">
        <v>5</v>
      </c>
      <c r="K912" s="3">
        <v>3</v>
      </c>
      <c r="L912" s="3">
        <v>3</v>
      </c>
      <c r="M912" s="3">
        <v>3</v>
      </c>
      <c r="N912" s="3" t="s">
        <v>14</v>
      </c>
      <c r="O912" s="3" t="s">
        <v>13</v>
      </c>
      <c r="P912" s="3">
        <v>3</v>
      </c>
      <c r="Q912" s="3">
        <v>3</v>
      </c>
      <c r="R912" s="4" t="s">
        <v>14</v>
      </c>
      <c r="S912" s="4" t="s">
        <v>14</v>
      </c>
      <c r="T912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913" spans="1:20" ht="18" x14ac:dyDescent="0.35">
      <c r="A913" s="3" t="s">
        <v>956</v>
      </c>
      <c r="B913" s="3" t="str">
        <f>IF(Table1[[#This Row],[Age]]&lt;25,"Under 25",IF(Table1[[#This Row],[Age]]&lt;35,"25-34",IF(Table1[[#This Row],[Age]]&lt;45,"35-44",IF(Table1[[#This Row],[Age]]&lt;55,"45-54","55+"))))</f>
        <v>25-34</v>
      </c>
      <c r="C913" s="3">
        <v>30</v>
      </c>
      <c r="D913" s="3" t="s">
        <v>22</v>
      </c>
      <c r="E913" s="3" t="s">
        <v>51</v>
      </c>
      <c r="F913" s="3" t="s">
        <v>52</v>
      </c>
      <c r="G913" s="3" t="s">
        <v>1245</v>
      </c>
      <c r="H913" s="3" t="s">
        <v>19</v>
      </c>
      <c r="I913" s="3">
        <v>22000</v>
      </c>
      <c r="J913" s="3">
        <v>5</v>
      </c>
      <c r="K913" s="3">
        <v>3</v>
      </c>
      <c r="L913" s="3">
        <v>2</v>
      </c>
      <c r="M913" s="3">
        <v>2</v>
      </c>
      <c r="N913" s="3" t="s">
        <v>14</v>
      </c>
      <c r="O913" s="3" t="s">
        <v>13</v>
      </c>
      <c r="P913" s="3">
        <v>2</v>
      </c>
      <c r="Q913" s="3">
        <v>4</v>
      </c>
      <c r="R913" s="4" t="s">
        <v>14</v>
      </c>
      <c r="S913" s="4" t="s">
        <v>14</v>
      </c>
      <c r="T913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914" spans="1:20" ht="18" x14ac:dyDescent="0.35">
      <c r="A914" s="3" t="s">
        <v>957</v>
      </c>
      <c r="B914" s="3" t="str">
        <f>IF(Table1[[#This Row],[Age]]&lt;25,"Under 25",IF(Table1[[#This Row],[Age]]&lt;35,"25-34",IF(Table1[[#This Row],[Age]]&lt;45,"35-44",IF(Table1[[#This Row],[Age]]&lt;55,"45-54","55+"))))</f>
        <v>Under 25</v>
      </c>
      <c r="C914" s="3">
        <v>22</v>
      </c>
      <c r="D914" s="3" t="s">
        <v>22</v>
      </c>
      <c r="E914" s="3" t="s">
        <v>38</v>
      </c>
      <c r="F914" s="3" t="s">
        <v>39</v>
      </c>
      <c r="G914" s="3" t="s">
        <v>18</v>
      </c>
      <c r="H914" s="3" t="s">
        <v>11</v>
      </c>
      <c r="I914" s="3">
        <v>59094</v>
      </c>
      <c r="J914" s="3">
        <v>4</v>
      </c>
      <c r="K914" s="3">
        <v>2</v>
      </c>
      <c r="L914" s="3">
        <v>4</v>
      </c>
      <c r="M914" s="3">
        <v>1</v>
      </c>
      <c r="N914" s="3" t="s">
        <v>14</v>
      </c>
      <c r="O914" s="3" t="s">
        <v>13</v>
      </c>
      <c r="P914" s="3">
        <v>3</v>
      </c>
      <c r="Q914" s="3">
        <v>6</v>
      </c>
      <c r="R914" s="4" t="s">
        <v>12</v>
      </c>
      <c r="S914" s="4" t="s">
        <v>14</v>
      </c>
      <c r="T914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915" spans="1:20" ht="18" x14ac:dyDescent="0.35">
      <c r="A915" s="3" t="s">
        <v>958</v>
      </c>
      <c r="B915" s="3" t="str">
        <f>IF(Table1[[#This Row],[Age]]&lt;25,"Under 25",IF(Table1[[#This Row],[Age]]&lt;35,"25-34",IF(Table1[[#This Row],[Age]]&lt;45,"35-44",IF(Table1[[#This Row],[Age]]&lt;55,"45-54","55+"))))</f>
        <v>35-44</v>
      </c>
      <c r="C915" s="3">
        <v>39</v>
      </c>
      <c r="D915" s="3" t="s">
        <v>7</v>
      </c>
      <c r="E915" s="3" t="s">
        <v>34</v>
      </c>
      <c r="F915" s="3" t="s">
        <v>54</v>
      </c>
      <c r="G915" s="3" t="s">
        <v>10</v>
      </c>
      <c r="H915" s="3" t="s">
        <v>19</v>
      </c>
      <c r="I915" s="3">
        <v>40869</v>
      </c>
      <c r="J915" s="3">
        <v>18</v>
      </c>
      <c r="K915" s="3">
        <v>2</v>
      </c>
      <c r="L915" s="3">
        <v>2</v>
      </c>
      <c r="M915" s="3">
        <v>3</v>
      </c>
      <c r="N915" s="3" t="s">
        <v>14</v>
      </c>
      <c r="O915" s="3" t="s">
        <v>13</v>
      </c>
      <c r="P915" s="3">
        <v>3</v>
      </c>
      <c r="Q915" s="3">
        <v>6</v>
      </c>
      <c r="R915" s="4" t="s">
        <v>14</v>
      </c>
      <c r="S915" s="4" t="s">
        <v>14</v>
      </c>
      <c r="T915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916" spans="1:20" ht="18" x14ac:dyDescent="0.35">
      <c r="A916" s="3" t="s">
        <v>959</v>
      </c>
      <c r="B916" s="3" t="str">
        <f>IF(Table1[[#This Row],[Age]]&lt;25,"Under 25",IF(Table1[[#This Row],[Age]]&lt;35,"25-34",IF(Table1[[#This Row],[Age]]&lt;45,"35-44",IF(Table1[[#This Row],[Age]]&lt;55,"45-54","55+"))))</f>
        <v>35-44</v>
      </c>
      <c r="C916" s="3">
        <v>38</v>
      </c>
      <c r="D916" s="3" t="s">
        <v>22</v>
      </c>
      <c r="E916" s="3" t="s">
        <v>51</v>
      </c>
      <c r="F916" s="3" t="s">
        <v>80</v>
      </c>
      <c r="G916" s="3" t="s">
        <v>25</v>
      </c>
      <c r="H916" s="3" t="s">
        <v>42</v>
      </c>
      <c r="I916" s="3">
        <v>62725</v>
      </c>
      <c r="J916" s="3">
        <v>19</v>
      </c>
      <c r="K916" s="3">
        <v>10</v>
      </c>
      <c r="L916" s="3">
        <v>2</v>
      </c>
      <c r="M916" s="3">
        <v>1</v>
      </c>
      <c r="N916" s="3" t="s">
        <v>12</v>
      </c>
      <c r="O916" s="3" t="s">
        <v>13</v>
      </c>
      <c r="P916" s="3">
        <v>4</v>
      </c>
      <c r="Q916" s="3">
        <v>6</v>
      </c>
      <c r="R916" s="4" t="s">
        <v>14</v>
      </c>
      <c r="S916" s="4" t="s">
        <v>14</v>
      </c>
      <c r="T916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917" spans="1:20" ht="18" x14ac:dyDescent="0.35">
      <c r="A917" s="3" t="s">
        <v>960</v>
      </c>
      <c r="B917" s="3" t="str">
        <f>IF(Table1[[#This Row],[Age]]&lt;25,"Under 25",IF(Table1[[#This Row],[Age]]&lt;35,"25-34",IF(Table1[[#This Row],[Age]]&lt;45,"35-44",IF(Table1[[#This Row],[Age]]&lt;55,"45-54","55+"))))</f>
        <v>35-44</v>
      </c>
      <c r="C917" s="3">
        <v>36</v>
      </c>
      <c r="D917" s="3" t="s">
        <v>7</v>
      </c>
      <c r="E917" s="3" t="s">
        <v>8</v>
      </c>
      <c r="F917" s="3" t="s">
        <v>23</v>
      </c>
      <c r="G917" s="3" t="s">
        <v>45</v>
      </c>
      <c r="H917" s="3" t="s">
        <v>11</v>
      </c>
      <c r="I917" s="3">
        <v>99026</v>
      </c>
      <c r="J917" s="3">
        <v>6</v>
      </c>
      <c r="K917" s="3">
        <v>4</v>
      </c>
      <c r="L917" s="3">
        <v>1</v>
      </c>
      <c r="M917" s="3">
        <v>2</v>
      </c>
      <c r="N917" s="3" t="s">
        <v>14</v>
      </c>
      <c r="O917" s="3" t="s">
        <v>13</v>
      </c>
      <c r="P917" s="3">
        <v>3</v>
      </c>
      <c r="Q917" s="3">
        <v>3</v>
      </c>
      <c r="R917" s="4" t="s">
        <v>14</v>
      </c>
      <c r="S917" s="4" t="s">
        <v>14</v>
      </c>
      <c r="T917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918" spans="1:20" ht="18" x14ac:dyDescent="0.35">
      <c r="A918" s="3" t="s">
        <v>961</v>
      </c>
      <c r="B918" s="3" t="str">
        <f>IF(Table1[[#This Row],[Age]]&lt;25,"Under 25",IF(Table1[[#This Row],[Age]]&lt;35,"25-34",IF(Table1[[#This Row],[Age]]&lt;45,"35-44",IF(Table1[[#This Row],[Age]]&lt;55,"45-54","55+"))))</f>
        <v>35-44</v>
      </c>
      <c r="C918" s="3">
        <v>43</v>
      </c>
      <c r="D918" s="3" t="s">
        <v>7</v>
      </c>
      <c r="E918" s="3" t="s">
        <v>51</v>
      </c>
      <c r="F918" s="3" t="s">
        <v>72</v>
      </c>
      <c r="G918" s="3" t="s">
        <v>25</v>
      </c>
      <c r="H918" s="3" t="s">
        <v>11</v>
      </c>
      <c r="I918" s="3">
        <v>60447</v>
      </c>
      <c r="J918" s="3">
        <v>5</v>
      </c>
      <c r="K918" s="3">
        <v>5</v>
      </c>
      <c r="L918" s="3">
        <v>2</v>
      </c>
      <c r="M918" s="3">
        <v>3</v>
      </c>
      <c r="N918" s="3" t="s">
        <v>14</v>
      </c>
      <c r="O918" s="3" t="s">
        <v>26</v>
      </c>
      <c r="P918" s="3">
        <v>3</v>
      </c>
      <c r="Q918" s="3">
        <v>1</v>
      </c>
      <c r="R918" s="4" t="s">
        <v>14</v>
      </c>
      <c r="S918" s="4" t="s">
        <v>14</v>
      </c>
      <c r="T918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919" spans="1:20" ht="18" x14ac:dyDescent="0.35">
      <c r="A919" s="3" t="s">
        <v>962</v>
      </c>
      <c r="B919" s="3" t="str">
        <f>IF(Table1[[#This Row],[Age]]&lt;25,"Under 25",IF(Table1[[#This Row],[Age]]&lt;35,"25-34",IF(Table1[[#This Row],[Age]]&lt;45,"35-44",IF(Table1[[#This Row],[Age]]&lt;55,"45-54","55+"))))</f>
        <v>25-34</v>
      </c>
      <c r="C919" s="3">
        <v>27</v>
      </c>
      <c r="D919" s="3" t="s">
        <v>22</v>
      </c>
      <c r="E919" s="3" t="s">
        <v>16</v>
      </c>
      <c r="F919" s="3" t="s">
        <v>28</v>
      </c>
      <c r="G919" s="3" t="s">
        <v>25</v>
      </c>
      <c r="H919" s="3" t="s">
        <v>11</v>
      </c>
      <c r="I919" s="3">
        <v>71611</v>
      </c>
      <c r="J919" s="3">
        <v>8</v>
      </c>
      <c r="K919" s="3">
        <v>0</v>
      </c>
      <c r="L919" s="3">
        <v>4</v>
      </c>
      <c r="M919" s="3">
        <v>3</v>
      </c>
      <c r="N919" s="3" t="s">
        <v>14</v>
      </c>
      <c r="O919" s="3" t="s">
        <v>20</v>
      </c>
      <c r="P919" s="3">
        <v>3</v>
      </c>
      <c r="Q919" s="3">
        <v>6</v>
      </c>
      <c r="R919" s="4" t="s">
        <v>14</v>
      </c>
      <c r="S919" s="4" t="s">
        <v>14</v>
      </c>
      <c r="T919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920" spans="1:20" ht="18" x14ac:dyDescent="0.35">
      <c r="A920" s="3" t="s">
        <v>963</v>
      </c>
      <c r="B920" s="3" t="str">
        <f>IF(Table1[[#This Row],[Age]]&lt;25,"Under 25",IF(Table1[[#This Row],[Age]]&lt;35,"25-34",IF(Table1[[#This Row],[Age]]&lt;45,"35-44",IF(Table1[[#This Row],[Age]]&lt;55,"45-54","55+"))))</f>
        <v>25-34</v>
      </c>
      <c r="C920" s="3">
        <v>34</v>
      </c>
      <c r="D920" s="3" t="s">
        <v>7</v>
      </c>
      <c r="E920" s="3" t="s">
        <v>34</v>
      </c>
      <c r="F920" s="3" t="s">
        <v>91</v>
      </c>
      <c r="G920" s="3" t="s">
        <v>10</v>
      </c>
      <c r="H920" s="3" t="s">
        <v>11</v>
      </c>
      <c r="I920" s="3">
        <v>112749</v>
      </c>
      <c r="J920" s="3">
        <v>8</v>
      </c>
      <c r="K920" s="3">
        <v>8</v>
      </c>
      <c r="L920" s="3">
        <v>3</v>
      </c>
      <c r="M920" s="3">
        <v>1</v>
      </c>
      <c r="N920" s="3" t="s">
        <v>14</v>
      </c>
      <c r="O920" s="3" t="s">
        <v>26</v>
      </c>
      <c r="P920" s="3">
        <v>2</v>
      </c>
      <c r="Q920" s="3">
        <v>0</v>
      </c>
      <c r="R920" s="4" t="s">
        <v>12</v>
      </c>
      <c r="S920" s="4" t="s">
        <v>14</v>
      </c>
      <c r="T920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921" spans="1:20" ht="18" x14ac:dyDescent="0.35">
      <c r="A921" s="3" t="s">
        <v>964</v>
      </c>
      <c r="B921" s="3" t="str">
        <f>IF(Table1[[#This Row],[Age]]&lt;25,"Under 25",IF(Table1[[#This Row],[Age]]&lt;35,"25-34",IF(Table1[[#This Row],[Age]]&lt;45,"35-44",IF(Table1[[#This Row],[Age]]&lt;55,"45-54","55+"))))</f>
        <v>Under 25</v>
      </c>
      <c r="C921" s="3">
        <v>21</v>
      </c>
      <c r="D921" s="3" t="s">
        <v>22</v>
      </c>
      <c r="E921" s="3" t="s">
        <v>51</v>
      </c>
      <c r="F921" s="3" t="s">
        <v>80</v>
      </c>
      <c r="G921" s="3" t="s">
        <v>18</v>
      </c>
      <c r="H921" s="3" t="s">
        <v>19</v>
      </c>
      <c r="I921" s="3">
        <v>59369</v>
      </c>
      <c r="J921" s="3">
        <v>1</v>
      </c>
      <c r="K921" s="3">
        <v>1</v>
      </c>
      <c r="L921" s="3">
        <v>3</v>
      </c>
      <c r="M921" s="3">
        <v>3</v>
      </c>
      <c r="N921" s="3" t="s">
        <v>12</v>
      </c>
      <c r="O921" s="3" t="s">
        <v>13</v>
      </c>
      <c r="P921" s="3">
        <v>3</v>
      </c>
      <c r="Q921" s="3">
        <v>1</v>
      </c>
      <c r="R921" s="4" t="s">
        <v>14</v>
      </c>
      <c r="S921" s="4" t="s">
        <v>12</v>
      </c>
      <c r="T921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922" spans="1:20" ht="18" x14ac:dyDescent="0.35">
      <c r="A922" s="3" t="s">
        <v>965</v>
      </c>
      <c r="B922" s="3" t="str">
        <f>IF(Table1[[#This Row],[Age]]&lt;25,"Under 25",IF(Table1[[#This Row],[Age]]&lt;35,"25-34",IF(Table1[[#This Row],[Age]]&lt;45,"35-44",IF(Table1[[#This Row],[Age]]&lt;55,"45-54","55+"))))</f>
        <v>35-44</v>
      </c>
      <c r="C922" s="3">
        <v>35</v>
      </c>
      <c r="D922" s="3" t="s">
        <v>22</v>
      </c>
      <c r="E922" s="3" t="s">
        <v>34</v>
      </c>
      <c r="F922" s="3" t="s">
        <v>150</v>
      </c>
      <c r="G922" s="3" t="s">
        <v>10</v>
      </c>
      <c r="H922" s="3" t="s">
        <v>19</v>
      </c>
      <c r="I922" s="3">
        <v>58522</v>
      </c>
      <c r="J922" s="3">
        <v>17</v>
      </c>
      <c r="K922" s="3">
        <v>10</v>
      </c>
      <c r="L922" s="3">
        <v>2</v>
      </c>
      <c r="M922" s="3">
        <v>3</v>
      </c>
      <c r="N922" s="3" t="s">
        <v>14</v>
      </c>
      <c r="O922" s="3" t="s">
        <v>26</v>
      </c>
      <c r="P922" s="3">
        <v>3</v>
      </c>
      <c r="Q922" s="3">
        <v>1</v>
      </c>
      <c r="R922" s="4" t="s">
        <v>12</v>
      </c>
      <c r="S922" s="4" t="s">
        <v>14</v>
      </c>
      <c r="T922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923" spans="1:20" ht="18" x14ac:dyDescent="0.35">
      <c r="A923" s="3" t="s">
        <v>966</v>
      </c>
      <c r="B923" s="3" t="str">
        <f>IF(Table1[[#This Row],[Age]]&lt;25,"Under 25",IF(Table1[[#This Row],[Age]]&lt;35,"25-34",IF(Table1[[#This Row],[Age]]&lt;45,"35-44",IF(Table1[[#This Row],[Age]]&lt;55,"45-54","55+"))))</f>
        <v>25-34</v>
      </c>
      <c r="C923" s="3">
        <v>33</v>
      </c>
      <c r="D923" s="3" t="s">
        <v>22</v>
      </c>
      <c r="E923" s="3" t="s">
        <v>8</v>
      </c>
      <c r="F923" s="3" t="s">
        <v>23</v>
      </c>
      <c r="G923" s="3" t="s">
        <v>45</v>
      </c>
      <c r="H923" s="3" t="s">
        <v>11</v>
      </c>
      <c r="I923" s="3">
        <v>63607</v>
      </c>
      <c r="J923" s="3">
        <v>6</v>
      </c>
      <c r="K923" s="3">
        <v>6</v>
      </c>
      <c r="L923" s="3">
        <v>3</v>
      </c>
      <c r="M923" s="3">
        <v>2</v>
      </c>
      <c r="N923" s="3" t="s">
        <v>14</v>
      </c>
      <c r="O923" s="3" t="s">
        <v>13</v>
      </c>
      <c r="P923" s="3">
        <v>3</v>
      </c>
      <c r="Q923" s="3">
        <v>4</v>
      </c>
      <c r="R923" s="4" t="s">
        <v>14</v>
      </c>
      <c r="S923" s="4" t="s">
        <v>14</v>
      </c>
      <c r="T923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924" spans="1:20" ht="18" x14ac:dyDescent="0.35">
      <c r="A924" s="3" t="s">
        <v>967</v>
      </c>
      <c r="B924" s="3" t="str">
        <f>IF(Table1[[#This Row],[Age]]&lt;25,"Under 25",IF(Table1[[#This Row],[Age]]&lt;35,"25-34",IF(Table1[[#This Row],[Age]]&lt;45,"35-44",IF(Table1[[#This Row],[Age]]&lt;55,"45-54","55+"))))</f>
        <v>45-54</v>
      </c>
      <c r="C924" s="3">
        <v>53</v>
      </c>
      <c r="D924" s="3" t="s">
        <v>22</v>
      </c>
      <c r="E924" s="3" t="s">
        <v>38</v>
      </c>
      <c r="F924" s="3" t="s">
        <v>89</v>
      </c>
      <c r="G924" s="3" t="s">
        <v>18</v>
      </c>
      <c r="H924" s="3" t="s">
        <v>11</v>
      </c>
      <c r="I924" s="3">
        <v>72626</v>
      </c>
      <c r="J924" s="3">
        <v>20</v>
      </c>
      <c r="K924" s="3">
        <v>1</v>
      </c>
      <c r="L924" s="3">
        <v>2</v>
      </c>
      <c r="M924" s="3">
        <v>3</v>
      </c>
      <c r="N924" s="3" t="s">
        <v>14</v>
      </c>
      <c r="O924" s="3" t="s">
        <v>13</v>
      </c>
      <c r="P924" s="3">
        <v>3</v>
      </c>
      <c r="Q924" s="3">
        <v>0</v>
      </c>
      <c r="R924" s="4" t="s">
        <v>14</v>
      </c>
      <c r="S924" s="4" t="s">
        <v>14</v>
      </c>
      <c r="T924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925" spans="1:20" ht="18" x14ac:dyDescent="0.35">
      <c r="A925" s="3" t="s">
        <v>968</v>
      </c>
      <c r="B925" s="3" t="str">
        <f>IF(Table1[[#This Row],[Age]]&lt;25,"Under 25",IF(Table1[[#This Row],[Age]]&lt;35,"25-34",IF(Table1[[#This Row],[Age]]&lt;45,"35-44",IF(Table1[[#This Row],[Age]]&lt;55,"45-54","55+"))))</f>
        <v>35-44</v>
      </c>
      <c r="C925" s="3">
        <v>39</v>
      </c>
      <c r="D925" s="3" t="s">
        <v>22</v>
      </c>
      <c r="E925" s="3" t="s">
        <v>16</v>
      </c>
      <c r="F925" s="3" t="s">
        <v>47</v>
      </c>
      <c r="G925" s="3" t="s">
        <v>25</v>
      </c>
      <c r="H925" s="3" t="s">
        <v>11</v>
      </c>
      <c r="I925" s="3">
        <v>88000</v>
      </c>
      <c r="J925" s="3">
        <v>10</v>
      </c>
      <c r="K925" s="3">
        <v>1</v>
      </c>
      <c r="L925" s="3">
        <v>4</v>
      </c>
      <c r="M925" s="3">
        <v>2</v>
      </c>
      <c r="N925" s="3" t="s">
        <v>12</v>
      </c>
      <c r="O925" s="3" t="s">
        <v>13</v>
      </c>
      <c r="P925" s="3">
        <v>3</v>
      </c>
      <c r="Q925" s="3">
        <v>6</v>
      </c>
      <c r="R925" s="4" t="s">
        <v>14</v>
      </c>
      <c r="S925" s="4" t="s">
        <v>14</v>
      </c>
      <c r="T925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926" spans="1:20" ht="18" x14ac:dyDescent="0.35">
      <c r="A926" s="3" t="s">
        <v>969</v>
      </c>
      <c r="B926" s="3" t="str">
        <f>IF(Table1[[#This Row],[Age]]&lt;25,"Under 25",IF(Table1[[#This Row],[Age]]&lt;35,"25-34",IF(Table1[[#This Row],[Age]]&lt;45,"35-44",IF(Table1[[#This Row],[Age]]&lt;55,"45-54","55+"))))</f>
        <v>45-54</v>
      </c>
      <c r="C926" s="3">
        <v>48</v>
      </c>
      <c r="D926" s="3" t="s">
        <v>7</v>
      </c>
      <c r="E926" s="3" t="s">
        <v>34</v>
      </c>
      <c r="F926" s="3" t="s">
        <v>35</v>
      </c>
      <c r="G926" s="3" t="s">
        <v>10</v>
      </c>
      <c r="H926" s="3" t="s">
        <v>11</v>
      </c>
      <c r="I926" s="3">
        <v>44989</v>
      </c>
      <c r="J926" s="3">
        <v>20</v>
      </c>
      <c r="K926" s="3">
        <v>2</v>
      </c>
      <c r="L926" s="3">
        <v>3</v>
      </c>
      <c r="M926" s="3">
        <v>4</v>
      </c>
      <c r="N926" s="3" t="s">
        <v>14</v>
      </c>
      <c r="O926" s="3" t="s">
        <v>13</v>
      </c>
      <c r="P926" s="3">
        <v>4</v>
      </c>
      <c r="Q926" s="3">
        <v>3</v>
      </c>
      <c r="R926" s="4" t="s">
        <v>14</v>
      </c>
      <c r="S926" s="4" t="s">
        <v>14</v>
      </c>
      <c r="T926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927" spans="1:20" ht="18" x14ac:dyDescent="0.35">
      <c r="A927" s="3" t="s">
        <v>970</v>
      </c>
      <c r="B927" s="3" t="str">
        <f>IF(Table1[[#This Row],[Age]]&lt;25,"Under 25",IF(Table1[[#This Row],[Age]]&lt;35,"25-34",IF(Table1[[#This Row],[Age]]&lt;45,"35-44",IF(Table1[[#This Row],[Age]]&lt;55,"45-54","55+"))))</f>
        <v>Under 25</v>
      </c>
      <c r="C927" s="3">
        <v>24</v>
      </c>
      <c r="D927" s="3" t="s">
        <v>22</v>
      </c>
      <c r="E927" s="3" t="s">
        <v>31</v>
      </c>
      <c r="F927" s="3" t="s">
        <v>74</v>
      </c>
      <c r="G927" s="3" t="s">
        <v>18</v>
      </c>
      <c r="H927" s="3" t="s">
        <v>11</v>
      </c>
      <c r="I927" s="3">
        <v>74093</v>
      </c>
      <c r="J927" s="3">
        <v>6</v>
      </c>
      <c r="K927" s="3">
        <v>2</v>
      </c>
      <c r="L927" s="3">
        <v>1</v>
      </c>
      <c r="M927" s="3">
        <v>4</v>
      </c>
      <c r="N927" s="3" t="s">
        <v>14</v>
      </c>
      <c r="O927" s="3" t="s">
        <v>13</v>
      </c>
      <c r="P927" s="3">
        <v>3</v>
      </c>
      <c r="Q927" s="3">
        <v>0</v>
      </c>
      <c r="R927" s="4" t="s">
        <v>14</v>
      </c>
      <c r="S927" s="4" t="s">
        <v>14</v>
      </c>
      <c r="T927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928" spans="1:20" ht="18" x14ac:dyDescent="0.35">
      <c r="A928" s="3" t="s">
        <v>971</v>
      </c>
      <c r="B928" s="3" t="str">
        <f>IF(Table1[[#This Row],[Age]]&lt;25,"Under 25",IF(Table1[[#This Row],[Age]]&lt;35,"25-34",IF(Table1[[#This Row],[Age]]&lt;45,"35-44",IF(Table1[[#This Row],[Age]]&lt;55,"45-54","55+"))))</f>
        <v>35-44</v>
      </c>
      <c r="C928" s="3">
        <v>35</v>
      </c>
      <c r="D928" s="3" t="s">
        <v>22</v>
      </c>
      <c r="E928" s="3" t="s">
        <v>16</v>
      </c>
      <c r="F928" s="3" t="s">
        <v>28</v>
      </c>
      <c r="G928" s="3" t="s">
        <v>25</v>
      </c>
      <c r="H928" s="3" t="s">
        <v>19</v>
      </c>
      <c r="I928" s="3">
        <v>56751</v>
      </c>
      <c r="J928" s="3">
        <v>7</v>
      </c>
      <c r="K928" s="3">
        <v>1</v>
      </c>
      <c r="L928" s="3">
        <v>2</v>
      </c>
      <c r="M928" s="3">
        <v>3</v>
      </c>
      <c r="N928" s="3" t="s">
        <v>14</v>
      </c>
      <c r="O928" s="3" t="s">
        <v>20</v>
      </c>
      <c r="P928" s="3">
        <v>3</v>
      </c>
      <c r="Q928" s="3">
        <v>2</v>
      </c>
      <c r="R928" s="4" t="s">
        <v>14</v>
      </c>
      <c r="S928" s="4" t="s">
        <v>12</v>
      </c>
      <c r="T928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929" spans="1:20" ht="18" x14ac:dyDescent="0.35">
      <c r="A929" s="3" t="s">
        <v>972</v>
      </c>
      <c r="B929" s="3" t="str">
        <f>IF(Table1[[#This Row],[Age]]&lt;25,"Under 25",IF(Table1[[#This Row],[Age]]&lt;35,"25-34",IF(Table1[[#This Row],[Age]]&lt;45,"35-44",IF(Table1[[#This Row],[Age]]&lt;55,"45-54","55+"))))</f>
        <v>35-44</v>
      </c>
      <c r="C929" s="3">
        <v>43</v>
      </c>
      <c r="D929" s="3" t="s">
        <v>22</v>
      </c>
      <c r="E929" s="3" t="s">
        <v>8</v>
      </c>
      <c r="F929" s="3" t="s">
        <v>9</v>
      </c>
      <c r="G929" s="3" t="s">
        <v>25</v>
      </c>
      <c r="H929" s="3" t="s">
        <v>11</v>
      </c>
      <c r="I929" s="3">
        <v>114750</v>
      </c>
      <c r="J929" s="3">
        <v>22</v>
      </c>
      <c r="K929" s="3">
        <v>2</v>
      </c>
      <c r="L929" s="3">
        <v>2</v>
      </c>
      <c r="M929" s="3">
        <v>2</v>
      </c>
      <c r="N929" s="3" t="s">
        <v>14</v>
      </c>
      <c r="O929" s="3" t="s">
        <v>13</v>
      </c>
      <c r="P929" s="3">
        <v>2</v>
      </c>
      <c r="Q929" s="3">
        <v>6</v>
      </c>
      <c r="R929" s="4" t="s">
        <v>14</v>
      </c>
      <c r="S929" s="4" t="s">
        <v>14</v>
      </c>
      <c r="T929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930" spans="1:20" ht="18" x14ac:dyDescent="0.35">
      <c r="A930" s="3" t="s">
        <v>973</v>
      </c>
      <c r="B930" s="3" t="str">
        <f>IF(Table1[[#This Row],[Age]]&lt;25,"Under 25",IF(Table1[[#This Row],[Age]]&lt;35,"25-34",IF(Table1[[#This Row],[Age]]&lt;45,"35-44",IF(Table1[[#This Row],[Age]]&lt;55,"45-54","55+"))))</f>
        <v>25-34</v>
      </c>
      <c r="C930" s="3">
        <v>29</v>
      </c>
      <c r="D930" s="3" t="s">
        <v>7</v>
      </c>
      <c r="E930" s="3" t="s">
        <v>8</v>
      </c>
      <c r="F930" s="3" t="s">
        <v>66</v>
      </c>
      <c r="G930" s="3" t="s">
        <v>10</v>
      </c>
      <c r="H930" s="3" t="s">
        <v>11</v>
      </c>
      <c r="I930" s="3">
        <v>60178</v>
      </c>
      <c r="J930" s="3">
        <v>11</v>
      </c>
      <c r="K930" s="3">
        <v>6</v>
      </c>
      <c r="L930" s="3">
        <v>2</v>
      </c>
      <c r="M930" s="3">
        <v>3</v>
      </c>
      <c r="N930" s="3" t="s">
        <v>12</v>
      </c>
      <c r="O930" s="3" t="s">
        <v>13</v>
      </c>
      <c r="P930" s="3">
        <v>3</v>
      </c>
      <c r="Q930" s="3">
        <v>1</v>
      </c>
      <c r="R930" s="4" t="s">
        <v>14</v>
      </c>
      <c r="S930" s="4" t="s">
        <v>14</v>
      </c>
      <c r="T930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931" spans="1:20" ht="18" x14ac:dyDescent="0.35">
      <c r="A931" s="3" t="s">
        <v>974</v>
      </c>
      <c r="B931" s="3" t="str">
        <f>IF(Table1[[#This Row],[Age]]&lt;25,"Under 25",IF(Table1[[#This Row],[Age]]&lt;35,"25-34",IF(Table1[[#This Row],[Age]]&lt;45,"35-44",IF(Table1[[#This Row],[Age]]&lt;55,"45-54","55+"))))</f>
        <v>45-54</v>
      </c>
      <c r="C931" s="3">
        <v>50</v>
      </c>
      <c r="D931" s="3" t="s">
        <v>7</v>
      </c>
      <c r="E931" s="3" t="s">
        <v>34</v>
      </c>
      <c r="F931" s="3" t="s">
        <v>91</v>
      </c>
      <c r="G931" s="3" t="s">
        <v>10</v>
      </c>
      <c r="H931" s="3" t="s">
        <v>19</v>
      </c>
      <c r="I931" s="3">
        <v>67504</v>
      </c>
      <c r="J931" s="3">
        <v>16</v>
      </c>
      <c r="K931" s="3">
        <v>5</v>
      </c>
      <c r="L931" s="3">
        <v>3</v>
      </c>
      <c r="M931" s="3">
        <v>1</v>
      </c>
      <c r="N931" s="3" t="s">
        <v>14</v>
      </c>
      <c r="O931" s="3" t="s">
        <v>20</v>
      </c>
      <c r="P931" s="3">
        <v>3</v>
      </c>
      <c r="Q931" s="3">
        <v>4</v>
      </c>
      <c r="R931" s="4" t="s">
        <v>14</v>
      </c>
      <c r="S931" s="4" t="s">
        <v>14</v>
      </c>
      <c r="T931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932" spans="1:20" ht="18" x14ac:dyDescent="0.35">
      <c r="A932" s="3" t="s">
        <v>975</v>
      </c>
      <c r="B932" s="3" t="str">
        <f>IF(Table1[[#This Row],[Age]]&lt;25,"Under 25",IF(Table1[[#This Row],[Age]]&lt;35,"25-34",IF(Table1[[#This Row],[Age]]&lt;45,"35-44",IF(Table1[[#This Row],[Age]]&lt;55,"45-54","55+"))))</f>
        <v>35-44</v>
      </c>
      <c r="C932" s="3">
        <v>42</v>
      </c>
      <c r="D932" s="3" t="s">
        <v>7</v>
      </c>
      <c r="E932" s="3" t="s">
        <v>8</v>
      </c>
      <c r="F932" s="3" t="s">
        <v>9</v>
      </c>
      <c r="G932" s="3" t="s">
        <v>25</v>
      </c>
      <c r="H932" s="3" t="s">
        <v>11</v>
      </c>
      <c r="I932" s="3">
        <v>90768</v>
      </c>
      <c r="J932" s="3">
        <v>6</v>
      </c>
      <c r="K932" s="3">
        <v>3</v>
      </c>
      <c r="L932" s="3">
        <v>4</v>
      </c>
      <c r="M932" s="3">
        <v>3</v>
      </c>
      <c r="N932" s="3" t="s">
        <v>14</v>
      </c>
      <c r="O932" s="3" t="s">
        <v>20</v>
      </c>
      <c r="P932" s="3">
        <v>3</v>
      </c>
      <c r="Q932" s="3">
        <v>2</v>
      </c>
      <c r="R932" s="4" t="s">
        <v>12</v>
      </c>
      <c r="S932" s="4" t="s">
        <v>14</v>
      </c>
      <c r="T932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933" spans="1:20" ht="18" x14ac:dyDescent="0.35">
      <c r="A933" s="3" t="s">
        <v>976</v>
      </c>
      <c r="B933" s="3" t="str">
        <f>IF(Table1[[#This Row],[Age]]&lt;25,"Under 25",IF(Table1[[#This Row],[Age]]&lt;35,"25-34",IF(Table1[[#This Row],[Age]]&lt;45,"35-44",IF(Table1[[#This Row],[Age]]&lt;55,"45-54","55+"))))</f>
        <v>25-34</v>
      </c>
      <c r="C933" s="3">
        <v>32</v>
      </c>
      <c r="D933" s="3" t="s">
        <v>22</v>
      </c>
      <c r="E933" s="3" t="s">
        <v>51</v>
      </c>
      <c r="F933" s="3" t="s">
        <v>72</v>
      </c>
      <c r="G933" s="3" t="s">
        <v>25</v>
      </c>
      <c r="H933" s="3" t="s">
        <v>11</v>
      </c>
      <c r="I933" s="3">
        <v>87717</v>
      </c>
      <c r="J933" s="3">
        <v>14</v>
      </c>
      <c r="K933" s="3">
        <v>3</v>
      </c>
      <c r="L933" s="3">
        <v>3</v>
      </c>
      <c r="M933" s="3">
        <v>2</v>
      </c>
      <c r="N933" s="3" t="s">
        <v>14</v>
      </c>
      <c r="O933" s="3" t="s">
        <v>13</v>
      </c>
      <c r="P933" s="3">
        <v>3</v>
      </c>
      <c r="Q933" s="3">
        <v>3</v>
      </c>
      <c r="R933" s="4" t="s">
        <v>14</v>
      </c>
      <c r="S933" s="4" t="s">
        <v>14</v>
      </c>
      <c r="T933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934" spans="1:20" ht="18" x14ac:dyDescent="0.35">
      <c r="A934" s="3" t="s">
        <v>977</v>
      </c>
      <c r="B934" s="3" t="str">
        <f>IF(Table1[[#This Row],[Age]]&lt;25,"Under 25",IF(Table1[[#This Row],[Age]]&lt;35,"25-34",IF(Table1[[#This Row],[Age]]&lt;45,"35-44",IF(Table1[[#This Row],[Age]]&lt;55,"45-54","55+"))))</f>
        <v>25-34</v>
      </c>
      <c r="C934" s="3">
        <v>34</v>
      </c>
      <c r="D934" s="3" t="s">
        <v>22</v>
      </c>
      <c r="E934" s="3" t="s">
        <v>8</v>
      </c>
      <c r="F934" s="3" t="s">
        <v>66</v>
      </c>
      <c r="G934" s="3" t="s">
        <v>25</v>
      </c>
      <c r="H934" s="3" t="s">
        <v>19</v>
      </c>
      <c r="I934" s="3">
        <v>31870</v>
      </c>
      <c r="J934" s="3">
        <v>15</v>
      </c>
      <c r="K934" s="3">
        <v>11</v>
      </c>
      <c r="L934" s="3">
        <v>4</v>
      </c>
      <c r="M934" s="3">
        <v>2</v>
      </c>
      <c r="N934" s="3" t="s">
        <v>14</v>
      </c>
      <c r="O934" s="3" t="s">
        <v>26</v>
      </c>
      <c r="P934" s="3">
        <v>3</v>
      </c>
      <c r="Q934" s="3">
        <v>6</v>
      </c>
      <c r="R934" s="4" t="s">
        <v>14</v>
      </c>
      <c r="S934" s="4" t="s">
        <v>14</v>
      </c>
      <c r="T934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935" spans="1:20" ht="18" x14ac:dyDescent="0.35">
      <c r="A935" s="3" t="s">
        <v>978</v>
      </c>
      <c r="B935" s="3" t="str">
        <f>IF(Table1[[#This Row],[Age]]&lt;25,"Under 25",IF(Table1[[#This Row],[Age]]&lt;35,"25-34",IF(Table1[[#This Row],[Age]]&lt;45,"35-44",IF(Table1[[#This Row],[Age]]&lt;55,"45-54","55+"))))</f>
        <v>35-44</v>
      </c>
      <c r="C935" s="3">
        <v>41</v>
      </c>
      <c r="D935" s="3" t="s">
        <v>22</v>
      </c>
      <c r="E935" s="3" t="s">
        <v>8</v>
      </c>
      <c r="F935" s="3" t="s">
        <v>66</v>
      </c>
      <c r="G935" s="3" t="s">
        <v>25</v>
      </c>
      <c r="H935" s="3" t="s">
        <v>11</v>
      </c>
      <c r="I935" s="3">
        <v>77097</v>
      </c>
      <c r="J935" s="3">
        <v>7</v>
      </c>
      <c r="K935" s="3">
        <v>7</v>
      </c>
      <c r="L935" s="3">
        <v>1</v>
      </c>
      <c r="M935" s="3">
        <v>3</v>
      </c>
      <c r="N935" s="3" t="s">
        <v>12</v>
      </c>
      <c r="O935" s="3" t="s">
        <v>20</v>
      </c>
      <c r="P935" s="3">
        <v>3</v>
      </c>
      <c r="Q935" s="3">
        <v>0</v>
      </c>
      <c r="R935" s="4" t="s">
        <v>12</v>
      </c>
      <c r="S935" s="4" t="s">
        <v>14</v>
      </c>
      <c r="T935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936" spans="1:20" ht="18" x14ac:dyDescent="0.35">
      <c r="A936" s="3" t="s">
        <v>979</v>
      </c>
      <c r="B936" s="3" t="str">
        <f>IF(Table1[[#This Row],[Age]]&lt;25,"Under 25",IF(Table1[[#This Row],[Age]]&lt;35,"25-34",IF(Table1[[#This Row],[Age]]&lt;45,"35-44",IF(Table1[[#This Row],[Age]]&lt;55,"45-54","55+"))))</f>
        <v>25-34</v>
      </c>
      <c r="C936" s="3">
        <v>31</v>
      </c>
      <c r="D936" s="3" t="s">
        <v>22</v>
      </c>
      <c r="E936" s="3" t="s">
        <v>8</v>
      </c>
      <c r="F936" s="3" t="s">
        <v>9</v>
      </c>
      <c r="G936" s="3" t="s">
        <v>10</v>
      </c>
      <c r="H936" s="3" t="s">
        <v>19</v>
      </c>
      <c r="I936" s="3">
        <v>91833</v>
      </c>
      <c r="J936" s="3">
        <v>5</v>
      </c>
      <c r="K936" s="3">
        <v>1</v>
      </c>
      <c r="L936" s="3">
        <v>2</v>
      </c>
      <c r="M936" s="3">
        <v>1</v>
      </c>
      <c r="N936" s="3" t="s">
        <v>12</v>
      </c>
      <c r="O936" s="3" t="s">
        <v>13</v>
      </c>
      <c r="P936" s="3">
        <v>3</v>
      </c>
      <c r="Q936" s="3">
        <v>2</v>
      </c>
      <c r="R936" s="4" t="s">
        <v>14</v>
      </c>
      <c r="S936" s="4" t="s">
        <v>14</v>
      </c>
      <c r="T936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937" spans="1:20" ht="18" x14ac:dyDescent="0.35">
      <c r="A937" s="3" t="s">
        <v>980</v>
      </c>
      <c r="B937" s="3" t="str">
        <f>IF(Table1[[#This Row],[Age]]&lt;25,"Under 25",IF(Table1[[#This Row],[Age]]&lt;35,"25-34",IF(Table1[[#This Row],[Age]]&lt;45,"35-44",IF(Table1[[#This Row],[Age]]&lt;55,"45-54","55+"))))</f>
        <v>25-34</v>
      </c>
      <c r="C937" s="3">
        <v>30</v>
      </c>
      <c r="D937" s="3" t="s">
        <v>7</v>
      </c>
      <c r="E937" s="3" t="s">
        <v>34</v>
      </c>
      <c r="F937" s="3" t="s">
        <v>35</v>
      </c>
      <c r="G937" s="3" t="s">
        <v>10</v>
      </c>
      <c r="H937" s="3" t="s">
        <v>19</v>
      </c>
      <c r="I937" s="3">
        <v>68517</v>
      </c>
      <c r="J937" s="3">
        <v>12</v>
      </c>
      <c r="K937" s="3">
        <v>8</v>
      </c>
      <c r="L937" s="3">
        <v>3</v>
      </c>
      <c r="M937" s="3">
        <v>4</v>
      </c>
      <c r="N937" s="3" t="s">
        <v>14</v>
      </c>
      <c r="O937" s="3" t="s">
        <v>20</v>
      </c>
      <c r="P937" s="3">
        <v>3</v>
      </c>
      <c r="Q937" s="3">
        <v>1</v>
      </c>
      <c r="R937" s="4" t="s">
        <v>12</v>
      </c>
      <c r="S937" s="4" t="s">
        <v>14</v>
      </c>
      <c r="T937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938" spans="1:20" ht="18" x14ac:dyDescent="0.35">
      <c r="A938" s="3" t="s">
        <v>981</v>
      </c>
      <c r="B938" s="3" t="str">
        <f>IF(Table1[[#This Row],[Age]]&lt;25,"Under 25",IF(Table1[[#This Row],[Age]]&lt;35,"25-34",IF(Table1[[#This Row],[Age]]&lt;45,"35-44",IF(Table1[[#This Row],[Age]]&lt;55,"45-54","55+"))))</f>
        <v>35-44</v>
      </c>
      <c r="C938" s="3">
        <v>44</v>
      </c>
      <c r="D938" s="3" t="s">
        <v>7</v>
      </c>
      <c r="E938" s="3" t="s">
        <v>8</v>
      </c>
      <c r="F938" s="3" t="s">
        <v>23</v>
      </c>
      <c r="G938" s="3" t="s">
        <v>45</v>
      </c>
      <c r="H938" s="3" t="s">
        <v>11</v>
      </c>
      <c r="I938" s="3">
        <v>53485</v>
      </c>
      <c r="J938" s="3">
        <v>12</v>
      </c>
      <c r="K938" s="3">
        <v>5</v>
      </c>
      <c r="L938" s="3">
        <v>3</v>
      </c>
      <c r="M938" s="3">
        <v>3</v>
      </c>
      <c r="N938" s="3" t="s">
        <v>14</v>
      </c>
      <c r="O938" s="3" t="s">
        <v>13</v>
      </c>
      <c r="P938" s="3">
        <v>3</v>
      </c>
      <c r="Q938" s="3">
        <v>5</v>
      </c>
      <c r="R938" s="4" t="s">
        <v>14</v>
      </c>
      <c r="S938" s="4" t="s">
        <v>14</v>
      </c>
      <c r="T938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939" spans="1:20" ht="18" x14ac:dyDescent="0.35">
      <c r="A939" s="3" t="s">
        <v>982</v>
      </c>
      <c r="B939" s="3" t="str">
        <f>IF(Table1[[#This Row],[Age]]&lt;25,"Under 25",IF(Table1[[#This Row],[Age]]&lt;35,"25-34",IF(Table1[[#This Row],[Age]]&lt;45,"35-44",IF(Table1[[#This Row],[Age]]&lt;55,"45-54","55+"))))</f>
        <v>35-44</v>
      </c>
      <c r="C939" s="3">
        <v>37</v>
      </c>
      <c r="D939" s="3" t="s">
        <v>22</v>
      </c>
      <c r="E939" s="3" t="s">
        <v>34</v>
      </c>
      <c r="F939" s="3" t="s">
        <v>91</v>
      </c>
      <c r="G939" s="3" t="s">
        <v>25</v>
      </c>
      <c r="H939" s="3" t="s">
        <v>11</v>
      </c>
      <c r="I939" s="3">
        <v>22000</v>
      </c>
      <c r="J939" s="3">
        <v>4</v>
      </c>
      <c r="K939" s="3">
        <v>2</v>
      </c>
      <c r="L939" s="3">
        <v>3</v>
      </c>
      <c r="M939" s="3">
        <v>4</v>
      </c>
      <c r="N939" s="3" t="s">
        <v>14</v>
      </c>
      <c r="O939" s="3" t="s">
        <v>26</v>
      </c>
      <c r="P939" s="3">
        <v>4</v>
      </c>
      <c r="Q939" s="3">
        <v>3</v>
      </c>
      <c r="R939" s="4" t="s">
        <v>14</v>
      </c>
      <c r="S939" s="4" t="s">
        <v>14</v>
      </c>
      <c r="T939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940" spans="1:20" ht="18" x14ac:dyDescent="0.35">
      <c r="A940" s="3" t="s">
        <v>983</v>
      </c>
      <c r="B940" s="3" t="str">
        <f>IF(Table1[[#This Row],[Age]]&lt;25,"Under 25",IF(Table1[[#This Row],[Age]]&lt;35,"25-34",IF(Table1[[#This Row],[Age]]&lt;45,"35-44",IF(Table1[[#This Row],[Age]]&lt;55,"45-54","55+"))))</f>
        <v>45-54</v>
      </c>
      <c r="C940" s="3">
        <v>51</v>
      </c>
      <c r="D940" s="3" t="s">
        <v>22</v>
      </c>
      <c r="E940" s="3" t="s">
        <v>38</v>
      </c>
      <c r="F940" s="3" t="s">
        <v>59</v>
      </c>
      <c r="G940" s="3" t="s">
        <v>18</v>
      </c>
      <c r="H940" s="3" t="s">
        <v>19</v>
      </c>
      <c r="I940" s="3">
        <v>42378</v>
      </c>
      <c r="J940" s="3">
        <v>1</v>
      </c>
      <c r="K940" s="3">
        <v>1</v>
      </c>
      <c r="L940" s="3">
        <v>4</v>
      </c>
      <c r="M940" s="3">
        <v>3</v>
      </c>
      <c r="N940" s="3" t="s">
        <v>14</v>
      </c>
      <c r="O940" s="3" t="s">
        <v>20</v>
      </c>
      <c r="P940" s="3">
        <v>4</v>
      </c>
      <c r="Q940" s="3">
        <v>5</v>
      </c>
      <c r="R940" s="4" t="s">
        <v>12</v>
      </c>
      <c r="S940" s="4" t="s">
        <v>14</v>
      </c>
      <c r="T940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941" spans="1:20" ht="18" x14ac:dyDescent="0.35">
      <c r="A941" s="3" t="s">
        <v>984</v>
      </c>
      <c r="B941" s="3" t="str">
        <f>IF(Table1[[#This Row],[Age]]&lt;25,"Under 25",IF(Table1[[#This Row],[Age]]&lt;35,"25-34",IF(Table1[[#This Row],[Age]]&lt;45,"35-44",IF(Table1[[#This Row],[Age]]&lt;55,"45-54","55+"))))</f>
        <v>35-44</v>
      </c>
      <c r="C941" s="3">
        <v>36</v>
      </c>
      <c r="D941" s="3" t="s">
        <v>7</v>
      </c>
      <c r="E941" s="3" t="s">
        <v>8</v>
      </c>
      <c r="F941" s="3" t="s">
        <v>66</v>
      </c>
      <c r="G941" s="3" t="s">
        <v>10</v>
      </c>
      <c r="H941" s="3" t="s">
        <v>19</v>
      </c>
      <c r="I941" s="3">
        <v>36474</v>
      </c>
      <c r="J941" s="3">
        <v>1</v>
      </c>
      <c r="K941" s="3">
        <v>0</v>
      </c>
      <c r="L941" s="3">
        <v>3</v>
      </c>
      <c r="M941" s="3">
        <v>2</v>
      </c>
      <c r="N941" s="3" t="s">
        <v>14</v>
      </c>
      <c r="O941" s="3" t="s">
        <v>20</v>
      </c>
      <c r="P941" s="3">
        <v>3</v>
      </c>
      <c r="Q941" s="3">
        <v>5</v>
      </c>
      <c r="R941" s="4" t="s">
        <v>12</v>
      </c>
      <c r="S941" s="4" t="s">
        <v>14</v>
      </c>
      <c r="T941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942" spans="1:20" ht="18" x14ac:dyDescent="0.35">
      <c r="A942" s="3" t="s">
        <v>985</v>
      </c>
      <c r="B942" s="3" t="str">
        <f>IF(Table1[[#This Row],[Age]]&lt;25,"Under 25",IF(Table1[[#This Row],[Age]]&lt;35,"25-34",IF(Table1[[#This Row],[Age]]&lt;45,"35-44",IF(Table1[[#This Row],[Age]]&lt;55,"45-54","55+"))))</f>
        <v>35-44</v>
      </c>
      <c r="C942" s="3">
        <v>43</v>
      </c>
      <c r="D942" s="3" t="s">
        <v>7</v>
      </c>
      <c r="E942" s="3" t="s">
        <v>16</v>
      </c>
      <c r="F942" s="3" t="s">
        <v>28</v>
      </c>
      <c r="G942" s="3" t="s">
        <v>25</v>
      </c>
      <c r="H942" s="3" t="s">
        <v>11</v>
      </c>
      <c r="I942" s="3">
        <v>99896</v>
      </c>
      <c r="J942" s="3">
        <v>9</v>
      </c>
      <c r="K942" s="3">
        <v>5</v>
      </c>
      <c r="L942" s="3">
        <v>3</v>
      </c>
      <c r="M942" s="3">
        <v>3</v>
      </c>
      <c r="N942" s="3" t="s">
        <v>14</v>
      </c>
      <c r="O942" s="3" t="s">
        <v>13</v>
      </c>
      <c r="P942" s="3">
        <v>3</v>
      </c>
      <c r="Q942" s="3">
        <v>1</v>
      </c>
      <c r="R942" s="4" t="s">
        <v>14</v>
      </c>
      <c r="S942" s="4" t="s">
        <v>14</v>
      </c>
      <c r="T942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943" spans="1:20" ht="18" x14ac:dyDescent="0.35">
      <c r="A943" s="3" t="s">
        <v>986</v>
      </c>
      <c r="B943" s="3" t="str">
        <f>IF(Table1[[#This Row],[Age]]&lt;25,"Under 25",IF(Table1[[#This Row],[Age]]&lt;35,"25-34",IF(Table1[[#This Row],[Age]]&lt;45,"35-44",IF(Table1[[#This Row],[Age]]&lt;55,"45-54","55+"))))</f>
        <v>35-44</v>
      </c>
      <c r="C943" s="3">
        <v>35</v>
      </c>
      <c r="D943" s="3" t="s">
        <v>22</v>
      </c>
      <c r="E943" s="3" t="s">
        <v>38</v>
      </c>
      <c r="F943" s="3" t="s">
        <v>59</v>
      </c>
      <c r="G943" s="3" t="s">
        <v>18</v>
      </c>
      <c r="H943" s="3" t="s">
        <v>19</v>
      </c>
      <c r="I943" s="3">
        <v>64441</v>
      </c>
      <c r="J943" s="3">
        <v>0</v>
      </c>
      <c r="K943" s="3">
        <v>0</v>
      </c>
      <c r="L943" s="3">
        <v>4</v>
      </c>
      <c r="M943" s="3">
        <v>2</v>
      </c>
      <c r="N943" s="3" t="s">
        <v>14</v>
      </c>
      <c r="O943" s="3" t="s">
        <v>13</v>
      </c>
      <c r="P943" s="3">
        <v>4</v>
      </c>
      <c r="Q943" s="3">
        <v>4</v>
      </c>
      <c r="R943" s="4" t="s">
        <v>14</v>
      </c>
      <c r="S943" s="4" t="s">
        <v>14</v>
      </c>
      <c r="T943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Less than 1 Year</v>
      </c>
    </row>
    <row r="944" spans="1:20" ht="18" x14ac:dyDescent="0.35">
      <c r="A944" s="3" t="s">
        <v>987</v>
      </c>
      <c r="B944" s="3" t="str">
        <f>IF(Table1[[#This Row],[Age]]&lt;25,"Under 25",IF(Table1[[#This Row],[Age]]&lt;35,"25-34",IF(Table1[[#This Row],[Age]]&lt;45,"35-44",IF(Table1[[#This Row],[Age]]&lt;55,"45-54","55+"))))</f>
        <v>25-34</v>
      </c>
      <c r="C944" s="3">
        <v>33</v>
      </c>
      <c r="D944" s="3" t="s">
        <v>22</v>
      </c>
      <c r="E944" s="3" t="s">
        <v>16</v>
      </c>
      <c r="F944" s="3" t="s">
        <v>17</v>
      </c>
      <c r="G944" s="3" t="s">
        <v>25</v>
      </c>
      <c r="H944" s="3" t="s">
        <v>19</v>
      </c>
      <c r="I944" s="3">
        <v>27502</v>
      </c>
      <c r="J944" s="3">
        <v>5</v>
      </c>
      <c r="K944" s="3">
        <v>4</v>
      </c>
      <c r="L944" s="3">
        <v>2</v>
      </c>
      <c r="M944" s="3">
        <v>3</v>
      </c>
      <c r="N944" s="3" t="s">
        <v>14</v>
      </c>
      <c r="O944" s="3" t="s">
        <v>13</v>
      </c>
      <c r="P944" s="3">
        <v>3</v>
      </c>
      <c r="Q944" s="3">
        <v>6</v>
      </c>
      <c r="R944" s="4" t="s">
        <v>14</v>
      </c>
      <c r="S944" s="4" t="s">
        <v>14</v>
      </c>
      <c r="T944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945" spans="1:20" ht="18" x14ac:dyDescent="0.35">
      <c r="A945" s="3" t="s">
        <v>988</v>
      </c>
      <c r="B945" s="3" t="str">
        <f>IF(Table1[[#This Row],[Age]]&lt;25,"Under 25",IF(Table1[[#This Row],[Age]]&lt;35,"25-34",IF(Table1[[#This Row],[Age]]&lt;45,"35-44",IF(Table1[[#This Row],[Age]]&lt;55,"45-54","55+"))))</f>
        <v>35-44</v>
      </c>
      <c r="C945" s="3">
        <v>44</v>
      </c>
      <c r="D945" s="3" t="s">
        <v>7</v>
      </c>
      <c r="E945" s="3" t="s">
        <v>34</v>
      </c>
      <c r="F945" s="3" t="s">
        <v>150</v>
      </c>
      <c r="G945" s="3" t="s">
        <v>45</v>
      </c>
      <c r="H945" s="3" t="s">
        <v>19</v>
      </c>
      <c r="I945" s="3">
        <v>82503</v>
      </c>
      <c r="J945" s="3">
        <v>4</v>
      </c>
      <c r="K945" s="3">
        <v>2</v>
      </c>
      <c r="L945" s="3">
        <v>4</v>
      </c>
      <c r="M945" s="3">
        <v>2</v>
      </c>
      <c r="N945" s="3" t="s">
        <v>14</v>
      </c>
      <c r="O945" s="3" t="s">
        <v>13</v>
      </c>
      <c r="P945" s="3">
        <v>3</v>
      </c>
      <c r="Q945" s="3">
        <v>1</v>
      </c>
      <c r="R945" s="4" t="s">
        <v>14</v>
      </c>
      <c r="S945" s="4" t="s">
        <v>12</v>
      </c>
      <c r="T945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946" spans="1:20" ht="18" x14ac:dyDescent="0.35">
      <c r="A946" s="3" t="s">
        <v>989</v>
      </c>
      <c r="B946" s="3" t="str">
        <f>IF(Table1[[#This Row],[Age]]&lt;25,"Under 25",IF(Table1[[#This Row],[Age]]&lt;35,"25-34",IF(Table1[[#This Row],[Age]]&lt;45,"35-44",IF(Table1[[#This Row],[Age]]&lt;55,"45-54","55+"))))</f>
        <v>35-44</v>
      </c>
      <c r="C946" s="3">
        <v>42</v>
      </c>
      <c r="D946" s="3" t="s">
        <v>22</v>
      </c>
      <c r="E946" s="3" t="s">
        <v>16</v>
      </c>
      <c r="F946" s="3" t="s">
        <v>17</v>
      </c>
      <c r="G946" s="3" t="s">
        <v>10</v>
      </c>
      <c r="H946" s="3" t="s">
        <v>11</v>
      </c>
      <c r="I946" s="3">
        <v>61655</v>
      </c>
      <c r="J946" s="3">
        <v>8</v>
      </c>
      <c r="K946" s="3">
        <v>8</v>
      </c>
      <c r="L946" s="3">
        <v>3</v>
      </c>
      <c r="M946" s="3">
        <v>2</v>
      </c>
      <c r="N946" s="3" t="s">
        <v>14</v>
      </c>
      <c r="O946" s="3" t="s">
        <v>13</v>
      </c>
      <c r="P946" s="3">
        <v>3</v>
      </c>
      <c r="Q946" s="3">
        <v>1</v>
      </c>
      <c r="R946" s="4" t="s">
        <v>14</v>
      </c>
      <c r="S946" s="4" t="s">
        <v>14</v>
      </c>
      <c r="T946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947" spans="1:20" ht="18" x14ac:dyDescent="0.35">
      <c r="A947" s="3" t="s">
        <v>990</v>
      </c>
      <c r="B947" s="3" t="str">
        <f>IF(Table1[[#This Row],[Age]]&lt;25,"Under 25",IF(Table1[[#This Row],[Age]]&lt;35,"25-34",IF(Table1[[#This Row],[Age]]&lt;45,"35-44",IF(Table1[[#This Row],[Age]]&lt;55,"45-54","55+"))))</f>
        <v>Under 25</v>
      </c>
      <c r="C947" s="3">
        <v>21</v>
      </c>
      <c r="D947" s="3" t="s">
        <v>7</v>
      </c>
      <c r="E947" s="3" t="s">
        <v>8</v>
      </c>
      <c r="F947" s="3" t="s">
        <v>66</v>
      </c>
      <c r="G947" s="3" t="s">
        <v>25</v>
      </c>
      <c r="H947" s="3" t="s">
        <v>42</v>
      </c>
      <c r="I947" s="3">
        <v>60109</v>
      </c>
      <c r="J947" s="3">
        <v>3</v>
      </c>
      <c r="K947" s="3">
        <v>3</v>
      </c>
      <c r="L947" s="3">
        <v>4</v>
      </c>
      <c r="M947" s="3">
        <v>3</v>
      </c>
      <c r="N947" s="3" t="s">
        <v>14</v>
      </c>
      <c r="O947" s="3" t="s">
        <v>13</v>
      </c>
      <c r="P947" s="3">
        <v>3</v>
      </c>
      <c r="Q947" s="3">
        <v>4</v>
      </c>
      <c r="R947" s="4" t="s">
        <v>14</v>
      </c>
      <c r="S947" s="4" t="s">
        <v>14</v>
      </c>
      <c r="T947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948" spans="1:20" ht="18" x14ac:dyDescent="0.35">
      <c r="A948" s="3" t="s">
        <v>991</v>
      </c>
      <c r="B948" s="3" t="str">
        <f>IF(Table1[[#This Row],[Age]]&lt;25,"Under 25",IF(Table1[[#This Row],[Age]]&lt;35,"25-34",IF(Table1[[#This Row],[Age]]&lt;45,"35-44",IF(Table1[[#This Row],[Age]]&lt;55,"45-54","55+"))))</f>
        <v>25-34</v>
      </c>
      <c r="C948" s="3">
        <v>28</v>
      </c>
      <c r="D948" s="3" t="s">
        <v>22</v>
      </c>
      <c r="E948" s="3" t="s">
        <v>51</v>
      </c>
      <c r="F948" s="3" t="s">
        <v>72</v>
      </c>
      <c r="G948" s="3" t="s">
        <v>25</v>
      </c>
      <c r="H948" s="3" t="s">
        <v>11</v>
      </c>
      <c r="I948" s="3">
        <v>66534</v>
      </c>
      <c r="J948" s="3">
        <v>7</v>
      </c>
      <c r="K948" s="3">
        <v>4</v>
      </c>
      <c r="L948" s="3">
        <v>3</v>
      </c>
      <c r="M948" s="3">
        <v>3</v>
      </c>
      <c r="N948" s="3" t="s">
        <v>12</v>
      </c>
      <c r="O948" s="3" t="s">
        <v>20</v>
      </c>
      <c r="P948" s="3">
        <v>3</v>
      </c>
      <c r="Q948" s="3">
        <v>5</v>
      </c>
      <c r="R948" s="4" t="s">
        <v>14</v>
      </c>
      <c r="S948" s="4" t="s">
        <v>14</v>
      </c>
      <c r="T948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949" spans="1:20" ht="18" x14ac:dyDescent="0.35">
      <c r="A949" s="3" t="s">
        <v>992</v>
      </c>
      <c r="B949" s="3" t="str">
        <f>IF(Table1[[#This Row],[Age]]&lt;25,"Under 25",IF(Table1[[#This Row],[Age]]&lt;35,"25-34",IF(Table1[[#This Row],[Age]]&lt;45,"35-44",IF(Table1[[#This Row],[Age]]&lt;55,"45-54","55+"))))</f>
        <v>Under 25</v>
      </c>
      <c r="C949" s="3">
        <v>21</v>
      </c>
      <c r="D949" s="3" t="s">
        <v>22</v>
      </c>
      <c r="E949" s="3" t="s">
        <v>16</v>
      </c>
      <c r="F949" s="3" t="s">
        <v>17</v>
      </c>
      <c r="G949" s="3" t="s">
        <v>10</v>
      </c>
      <c r="H949" s="3" t="s">
        <v>19</v>
      </c>
      <c r="I949" s="3">
        <v>52202</v>
      </c>
      <c r="J949" s="3">
        <v>1</v>
      </c>
      <c r="K949" s="3">
        <v>1</v>
      </c>
      <c r="L949" s="3">
        <v>2</v>
      </c>
      <c r="M949" s="3">
        <v>3</v>
      </c>
      <c r="N949" s="3" t="s">
        <v>14</v>
      </c>
      <c r="O949" s="3" t="s">
        <v>13</v>
      </c>
      <c r="P949" s="3">
        <v>3</v>
      </c>
      <c r="Q949" s="3">
        <v>6</v>
      </c>
      <c r="R949" s="4" t="s">
        <v>14</v>
      </c>
      <c r="S949" s="4" t="s">
        <v>14</v>
      </c>
      <c r="T949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950" spans="1:20" ht="18" x14ac:dyDescent="0.35">
      <c r="A950" s="3" t="s">
        <v>993</v>
      </c>
      <c r="B950" s="3" t="str">
        <f>IF(Table1[[#This Row],[Age]]&lt;25,"Under 25",IF(Table1[[#This Row],[Age]]&lt;35,"25-34",IF(Table1[[#This Row],[Age]]&lt;45,"35-44",IF(Table1[[#This Row],[Age]]&lt;55,"45-54","55+"))))</f>
        <v>45-54</v>
      </c>
      <c r="C950" s="3">
        <v>52</v>
      </c>
      <c r="D950" s="3" t="s">
        <v>7</v>
      </c>
      <c r="E950" s="3" t="s">
        <v>34</v>
      </c>
      <c r="F950" s="3" t="s">
        <v>54</v>
      </c>
      <c r="G950" s="3" t="s">
        <v>25</v>
      </c>
      <c r="H950" s="3" t="s">
        <v>42</v>
      </c>
      <c r="I950" s="3">
        <v>69536</v>
      </c>
      <c r="J950" s="3">
        <v>23</v>
      </c>
      <c r="K950" s="3">
        <v>12</v>
      </c>
      <c r="L950" s="3">
        <v>3</v>
      </c>
      <c r="M950" s="3">
        <v>3</v>
      </c>
      <c r="N950" s="3" t="s">
        <v>12</v>
      </c>
      <c r="O950" s="3" t="s">
        <v>13</v>
      </c>
      <c r="P950" s="3">
        <v>3</v>
      </c>
      <c r="Q950" s="3">
        <v>4</v>
      </c>
      <c r="R950" s="4" t="s">
        <v>14</v>
      </c>
      <c r="S950" s="4" t="s">
        <v>14</v>
      </c>
      <c r="T950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951" spans="1:20" ht="18" x14ac:dyDescent="0.35">
      <c r="A951" s="3" t="s">
        <v>994</v>
      </c>
      <c r="B951" s="3" t="str">
        <f>IF(Table1[[#This Row],[Age]]&lt;25,"Under 25",IF(Table1[[#This Row],[Age]]&lt;35,"25-34",IF(Table1[[#This Row],[Age]]&lt;45,"35-44",IF(Table1[[#This Row],[Age]]&lt;55,"45-54","55+"))))</f>
        <v>25-34</v>
      </c>
      <c r="C951" s="3">
        <v>26</v>
      </c>
      <c r="D951" s="3" t="s">
        <v>7</v>
      </c>
      <c r="E951" s="3" t="s">
        <v>8</v>
      </c>
      <c r="F951" s="3" t="s">
        <v>9</v>
      </c>
      <c r="G951" s="3" t="s">
        <v>25</v>
      </c>
      <c r="H951" s="3" t="s">
        <v>11</v>
      </c>
      <c r="I951" s="3">
        <v>97362</v>
      </c>
      <c r="J951" s="3">
        <v>0</v>
      </c>
      <c r="K951" s="3">
        <v>0</v>
      </c>
      <c r="L951" s="3">
        <v>3</v>
      </c>
      <c r="M951" s="3">
        <v>2</v>
      </c>
      <c r="N951" s="3" t="s">
        <v>14</v>
      </c>
      <c r="O951" s="3" t="s">
        <v>13</v>
      </c>
      <c r="P951" s="3">
        <v>3</v>
      </c>
      <c r="Q951" s="3">
        <v>4</v>
      </c>
      <c r="R951" s="4" t="s">
        <v>14</v>
      </c>
      <c r="S951" s="4" t="s">
        <v>14</v>
      </c>
      <c r="T951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Less than 1 Year</v>
      </c>
    </row>
    <row r="952" spans="1:20" ht="18" x14ac:dyDescent="0.35">
      <c r="A952" s="3" t="s">
        <v>995</v>
      </c>
      <c r="B952" s="3" t="str">
        <f>IF(Table1[[#This Row],[Age]]&lt;25,"Under 25",IF(Table1[[#This Row],[Age]]&lt;35,"25-34",IF(Table1[[#This Row],[Age]]&lt;45,"35-44",IF(Table1[[#This Row],[Age]]&lt;55,"45-54","55+"))))</f>
        <v>35-44</v>
      </c>
      <c r="C952" s="3">
        <v>37</v>
      </c>
      <c r="D952" s="3" t="s">
        <v>22</v>
      </c>
      <c r="E952" s="3" t="s">
        <v>16</v>
      </c>
      <c r="F952" s="3" t="s">
        <v>47</v>
      </c>
      <c r="G952" s="3" t="s">
        <v>45</v>
      </c>
      <c r="H952" s="3" t="s">
        <v>19</v>
      </c>
      <c r="I952" s="3">
        <v>46327</v>
      </c>
      <c r="J952" s="3">
        <v>7</v>
      </c>
      <c r="K952" s="3">
        <v>2</v>
      </c>
      <c r="L952" s="3">
        <v>4</v>
      </c>
      <c r="M952" s="3">
        <v>2</v>
      </c>
      <c r="N952" s="3" t="s">
        <v>14</v>
      </c>
      <c r="O952" s="3" t="s">
        <v>13</v>
      </c>
      <c r="P952" s="3">
        <v>2</v>
      </c>
      <c r="Q952" s="3">
        <v>4</v>
      </c>
      <c r="R952" s="4" t="s">
        <v>12</v>
      </c>
      <c r="S952" s="4" t="s">
        <v>14</v>
      </c>
      <c r="T952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953" spans="1:20" ht="18" x14ac:dyDescent="0.35">
      <c r="A953" s="3" t="s">
        <v>996</v>
      </c>
      <c r="B953" s="3" t="str">
        <f>IF(Table1[[#This Row],[Age]]&lt;25,"Under 25",IF(Table1[[#This Row],[Age]]&lt;35,"25-34",IF(Table1[[#This Row],[Age]]&lt;45,"35-44",IF(Table1[[#This Row],[Age]]&lt;55,"45-54","55+"))))</f>
        <v>35-44</v>
      </c>
      <c r="C953" s="3">
        <v>44</v>
      </c>
      <c r="D953" s="3" t="s">
        <v>7</v>
      </c>
      <c r="E953" s="3" t="s">
        <v>8</v>
      </c>
      <c r="F953" s="3" t="s">
        <v>9</v>
      </c>
      <c r="G953" s="3" t="s">
        <v>10</v>
      </c>
      <c r="H953" s="3" t="s">
        <v>19</v>
      </c>
      <c r="I953" s="3">
        <v>61557</v>
      </c>
      <c r="J953" s="3">
        <v>9</v>
      </c>
      <c r="K953" s="3">
        <v>6</v>
      </c>
      <c r="L953" s="3">
        <v>4</v>
      </c>
      <c r="M953" s="3">
        <v>3</v>
      </c>
      <c r="N953" s="3" t="s">
        <v>12</v>
      </c>
      <c r="O953" s="3" t="s">
        <v>13</v>
      </c>
      <c r="P953" s="3">
        <v>3</v>
      </c>
      <c r="Q953" s="3">
        <v>1</v>
      </c>
      <c r="R953" s="4" t="s">
        <v>14</v>
      </c>
      <c r="S953" s="4" t="s">
        <v>14</v>
      </c>
      <c r="T953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954" spans="1:20" ht="18" x14ac:dyDescent="0.35">
      <c r="A954" s="3" t="s">
        <v>997</v>
      </c>
      <c r="B954" s="3" t="str">
        <f>IF(Table1[[#This Row],[Age]]&lt;25,"Under 25",IF(Table1[[#This Row],[Age]]&lt;35,"25-34",IF(Table1[[#This Row],[Age]]&lt;45,"35-44",IF(Table1[[#This Row],[Age]]&lt;55,"45-54","55+"))))</f>
        <v>35-44</v>
      </c>
      <c r="C954" s="3">
        <v>36</v>
      </c>
      <c r="D954" s="3" t="s">
        <v>7</v>
      </c>
      <c r="E954" s="3" t="s">
        <v>8</v>
      </c>
      <c r="F954" s="3" t="s">
        <v>66</v>
      </c>
      <c r="G954" s="3" t="s">
        <v>25</v>
      </c>
      <c r="H954" s="3" t="s">
        <v>11</v>
      </c>
      <c r="I954" s="3">
        <v>61961</v>
      </c>
      <c r="J954" s="3">
        <v>6</v>
      </c>
      <c r="K954" s="3">
        <v>2</v>
      </c>
      <c r="L954" s="3">
        <v>2</v>
      </c>
      <c r="M954" s="3">
        <v>1</v>
      </c>
      <c r="N954" s="3" t="s">
        <v>14</v>
      </c>
      <c r="O954" s="3" t="s">
        <v>20</v>
      </c>
      <c r="P954" s="3">
        <v>3</v>
      </c>
      <c r="Q954" s="3">
        <v>2</v>
      </c>
      <c r="R954" s="4" t="s">
        <v>14</v>
      </c>
      <c r="S954" s="4" t="s">
        <v>14</v>
      </c>
      <c r="T954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955" spans="1:20" ht="18" x14ac:dyDescent="0.35">
      <c r="A955" s="3" t="s">
        <v>998</v>
      </c>
      <c r="B955" s="3" t="str">
        <f>IF(Table1[[#This Row],[Age]]&lt;25,"Under 25",IF(Table1[[#This Row],[Age]]&lt;35,"25-34",IF(Table1[[#This Row],[Age]]&lt;45,"35-44",IF(Table1[[#This Row],[Age]]&lt;55,"45-54","55+"))))</f>
        <v>Under 25</v>
      </c>
      <c r="C955" s="3">
        <v>21</v>
      </c>
      <c r="D955" s="3" t="s">
        <v>7</v>
      </c>
      <c r="E955" s="3" t="s">
        <v>16</v>
      </c>
      <c r="F955" s="3" t="s">
        <v>17</v>
      </c>
      <c r="G955" s="3" t="s">
        <v>25</v>
      </c>
      <c r="H955" s="3" t="s">
        <v>19</v>
      </c>
      <c r="I955" s="3">
        <v>22000</v>
      </c>
      <c r="J955" s="3">
        <v>0</v>
      </c>
      <c r="K955" s="3">
        <v>0</v>
      </c>
      <c r="L955" s="3">
        <v>4</v>
      </c>
      <c r="M955" s="3">
        <v>2</v>
      </c>
      <c r="N955" s="3" t="s">
        <v>12</v>
      </c>
      <c r="O955" s="3" t="s">
        <v>13</v>
      </c>
      <c r="P955" s="3">
        <v>4</v>
      </c>
      <c r="Q955" s="3">
        <v>5</v>
      </c>
      <c r="R955" s="4" t="s">
        <v>14</v>
      </c>
      <c r="S955" s="4" t="s">
        <v>14</v>
      </c>
      <c r="T955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Less than 1 Year</v>
      </c>
    </row>
    <row r="956" spans="1:20" ht="18" x14ac:dyDescent="0.35">
      <c r="A956" s="3" t="s">
        <v>999</v>
      </c>
      <c r="B956" s="3" t="str">
        <f>IF(Table1[[#This Row],[Age]]&lt;25,"Under 25",IF(Table1[[#This Row],[Age]]&lt;35,"25-34",IF(Table1[[#This Row],[Age]]&lt;45,"35-44",IF(Table1[[#This Row],[Age]]&lt;55,"45-54","55+"))))</f>
        <v>25-34</v>
      </c>
      <c r="C956" s="3">
        <v>30</v>
      </c>
      <c r="D956" s="3" t="s">
        <v>22</v>
      </c>
      <c r="E956" s="3" t="s">
        <v>16</v>
      </c>
      <c r="F956" s="3" t="s">
        <v>17</v>
      </c>
      <c r="G956" s="3" t="s">
        <v>25</v>
      </c>
      <c r="H956" s="3" t="s">
        <v>11</v>
      </c>
      <c r="I956" s="3">
        <v>86364</v>
      </c>
      <c r="J956" s="3">
        <v>1</v>
      </c>
      <c r="K956" s="3">
        <v>1</v>
      </c>
      <c r="L956" s="3">
        <v>3</v>
      </c>
      <c r="M956" s="3">
        <v>4</v>
      </c>
      <c r="N956" s="3" t="s">
        <v>14</v>
      </c>
      <c r="O956" s="3" t="s">
        <v>20</v>
      </c>
      <c r="P956" s="3">
        <v>3</v>
      </c>
      <c r="Q956" s="3">
        <v>5</v>
      </c>
      <c r="R956" s="4" t="s">
        <v>12</v>
      </c>
      <c r="S956" s="4" t="s">
        <v>14</v>
      </c>
      <c r="T956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957" spans="1:20" ht="18" x14ac:dyDescent="0.35">
      <c r="A957" s="3" t="s">
        <v>1000</v>
      </c>
      <c r="B957" s="3" t="str">
        <f>IF(Table1[[#This Row],[Age]]&lt;25,"Under 25",IF(Table1[[#This Row],[Age]]&lt;35,"25-34",IF(Table1[[#This Row],[Age]]&lt;45,"35-44",IF(Table1[[#This Row],[Age]]&lt;55,"45-54","55+"))))</f>
        <v>Under 25</v>
      </c>
      <c r="C957" s="3">
        <v>21</v>
      </c>
      <c r="D957" s="3" t="s">
        <v>22</v>
      </c>
      <c r="E957" s="3" t="s">
        <v>16</v>
      </c>
      <c r="F957" s="3" t="s">
        <v>47</v>
      </c>
      <c r="G957" s="3" t="s">
        <v>25</v>
      </c>
      <c r="H957" s="3" t="s">
        <v>11</v>
      </c>
      <c r="I957" s="3">
        <v>71320</v>
      </c>
      <c r="J957" s="3">
        <v>3</v>
      </c>
      <c r="K957" s="3">
        <v>1</v>
      </c>
      <c r="L957" s="3">
        <v>4</v>
      </c>
      <c r="M957" s="3">
        <v>3</v>
      </c>
      <c r="N957" s="3" t="s">
        <v>14</v>
      </c>
      <c r="O957" s="3" t="s">
        <v>13</v>
      </c>
      <c r="P957" s="3">
        <v>3</v>
      </c>
      <c r="Q957" s="3">
        <v>2</v>
      </c>
      <c r="R957" s="4" t="s">
        <v>14</v>
      </c>
      <c r="S957" s="4" t="s">
        <v>14</v>
      </c>
      <c r="T957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958" spans="1:20" ht="18" x14ac:dyDescent="0.35">
      <c r="A958" s="3" t="s">
        <v>1001</v>
      </c>
      <c r="B958" s="3" t="str">
        <f>IF(Table1[[#This Row],[Age]]&lt;25,"Under 25",IF(Table1[[#This Row],[Age]]&lt;35,"25-34",IF(Table1[[#This Row],[Age]]&lt;45,"35-44",IF(Table1[[#This Row],[Age]]&lt;55,"45-54","55+"))))</f>
        <v>35-44</v>
      </c>
      <c r="C958" s="3">
        <v>35</v>
      </c>
      <c r="D958" s="3" t="s">
        <v>22</v>
      </c>
      <c r="E958" s="3" t="s">
        <v>34</v>
      </c>
      <c r="F958" s="3" t="s">
        <v>54</v>
      </c>
      <c r="G958" s="3" t="s">
        <v>10</v>
      </c>
      <c r="H958" s="3" t="s">
        <v>11</v>
      </c>
      <c r="I958" s="3">
        <v>22000</v>
      </c>
      <c r="J958" s="3">
        <v>0</v>
      </c>
      <c r="K958" s="3">
        <v>0</v>
      </c>
      <c r="L958" s="3">
        <v>4</v>
      </c>
      <c r="M958" s="3">
        <v>3</v>
      </c>
      <c r="N958" s="3" t="s">
        <v>14</v>
      </c>
      <c r="O958" s="3" t="s">
        <v>20</v>
      </c>
      <c r="P958" s="3">
        <v>4</v>
      </c>
      <c r="Q958" s="3">
        <v>3</v>
      </c>
      <c r="R958" s="4" t="s">
        <v>14</v>
      </c>
      <c r="S958" s="4" t="s">
        <v>14</v>
      </c>
      <c r="T958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Less than 1 Year</v>
      </c>
    </row>
    <row r="959" spans="1:20" ht="18" x14ac:dyDescent="0.35">
      <c r="A959" s="3" t="s">
        <v>1002</v>
      </c>
      <c r="B959" s="3" t="str">
        <f>IF(Table1[[#This Row],[Age]]&lt;25,"Under 25",IF(Table1[[#This Row],[Age]]&lt;35,"25-34",IF(Table1[[#This Row],[Age]]&lt;45,"35-44",IF(Table1[[#This Row],[Age]]&lt;55,"45-54","55+"))))</f>
        <v>35-44</v>
      </c>
      <c r="C959" s="3">
        <v>36</v>
      </c>
      <c r="D959" s="3" t="s">
        <v>22</v>
      </c>
      <c r="E959" s="3" t="s">
        <v>34</v>
      </c>
      <c r="F959" s="3" t="s">
        <v>91</v>
      </c>
      <c r="G959" s="3" t="s">
        <v>25</v>
      </c>
      <c r="H959" s="3" t="s">
        <v>11</v>
      </c>
      <c r="I959" s="3">
        <v>23002</v>
      </c>
      <c r="J959" s="3">
        <v>8</v>
      </c>
      <c r="K959" s="3">
        <v>5</v>
      </c>
      <c r="L959" s="3">
        <v>3</v>
      </c>
      <c r="M959" s="3">
        <v>3</v>
      </c>
      <c r="N959" s="3" t="s">
        <v>14</v>
      </c>
      <c r="O959" s="3" t="s">
        <v>26</v>
      </c>
      <c r="P959" s="3">
        <v>4</v>
      </c>
      <c r="Q959" s="3">
        <v>6</v>
      </c>
      <c r="R959" s="4" t="s">
        <v>14</v>
      </c>
      <c r="S959" s="4" t="s">
        <v>14</v>
      </c>
      <c r="T959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960" spans="1:20" ht="18" x14ac:dyDescent="0.35">
      <c r="A960" s="3" t="s">
        <v>1003</v>
      </c>
      <c r="B960" s="3" t="str">
        <f>IF(Table1[[#This Row],[Age]]&lt;25,"Under 25",IF(Table1[[#This Row],[Age]]&lt;35,"25-34",IF(Table1[[#This Row],[Age]]&lt;45,"35-44",IF(Table1[[#This Row],[Age]]&lt;55,"45-54","55+"))))</f>
        <v>Under 25</v>
      </c>
      <c r="C960" s="3">
        <v>23</v>
      </c>
      <c r="D960" s="3" t="s">
        <v>7</v>
      </c>
      <c r="E960" s="3" t="s">
        <v>16</v>
      </c>
      <c r="F960" s="3" t="s">
        <v>28</v>
      </c>
      <c r="G960" s="3" t="s">
        <v>10</v>
      </c>
      <c r="H960" s="3" t="s">
        <v>11</v>
      </c>
      <c r="I960" s="3">
        <v>66079</v>
      </c>
      <c r="J960" s="3">
        <v>5</v>
      </c>
      <c r="K960" s="3">
        <v>5</v>
      </c>
      <c r="L960" s="3">
        <v>1</v>
      </c>
      <c r="M960" s="3">
        <v>3</v>
      </c>
      <c r="N960" s="3" t="s">
        <v>14</v>
      </c>
      <c r="O960" s="3" t="s">
        <v>20</v>
      </c>
      <c r="P960" s="3">
        <v>3</v>
      </c>
      <c r="Q960" s="3">
        <v>6</v>
      </c>
      <c r="R960" s="4" t="s">
        <v>14</v>
      </c>
      <c r="S960" s="4" t="s">
        <v>14</v>
      </c>
      <c r="T960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961" spans="1:20" ht="18" x14ac:dyDescent="0.35">
      <c r="A961" s="3" t="s">
        <v>1004</v>
      </c>
      <c r="B961" s="3" t="str">
        <f>IF(Table1[[#This Row],[Age]]&lt;25,"Under 25",IF(Table1[[#This Row],[Age]]&lt;35,"25-34",IF(Table1[[#This Row],[Age]]&lt;45,"35-44",IF(Table1[[#This Row],[Age]]&lt;55,"45-54","55+"))))</f>
        <v>35-44</v>
      </c>
      <c r="C961" s="3">
        <v>38</v>
      </c>
      <c r="D961" s="3" t="s">
        <v>22</v>
      </c>
      <c r="E961" s="3" t="s">
        <v>34</v>
      </c>
      <c r="F961" s="3" t="s">
        <v>35</v>
      </c>
      <c r="G961" s="3" t="s">
        <v>10</v>
      </c>
      <c r="H961" s="3" t="s">
        <v>11</v>
      </c>
      <c r="I961" s="3">
        <v>101600</v>
      </c>
      <c r="J961" s="3">
        <v>4</v>
      </c>
      <c r="K961" s="3">
        <v>3</v>
      </c>
      <c r="L961" s="3">
        <v>4</v>
      </c>
      <c r="M961" s="3">
        <v>3</v>
      </c>
      <c r="N961" s="3" t="s">
        <v>14</v>
      </c>
      <c r="O961" s="3" t="s">
        <v>13</v>
      </c>
      <c r="P961" s="3">
        <v>3</v>
      </c>
      <c r="Q961" s="3">
        <v>3</v>
      </c>
      <c r="R961" s="4" t="s">
        <v>14</v>
      </c>
      <c r="S961" s="4" t="s">
        <v>14</v>
      </c>
      <c r="T961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962" spans="1:20" ht="18" x14ac:dyDescent="0.35">
      <c r="A962" s="3" t="s">
        <v>1005</v>
      </c>
      <c r="B962" s="3" t="str">
        <f>IF(Table1[[#This Row],[Age]]&lt;25,"Under 25",IF(Table1[[#This Row],[Age]]&lt;35,"25-34",IF(Table1[[#This Row],[Age]]&lt;45,"35-44",IF(Table1[[#This Row],[Age]]&lt;55,"45-54","55+"))))</f>
        <v>Under 25</v>
      </c>
      <c r="C962" s="3">
        <v>22</v>
      </c>
      <c r="D962" s="3" t="s">
        <v>7</v>
      </c>
      <c r="E962" s="3" t="s">
        <v>8</v>
      </c>
      <c r="F962" s="3" t="s">
        <v>9</v>
      </c>
      <c r="G962" s="3" t="s">
        <v>10</v>
      </c>
      <c r="H962" s="3" t="s">
        <v>42</v>
      </c>
      <c r="I962" s="3">
        <v>40776</v>
      </c>
      <c r="J962" s="3">
        <v>1</v>
      </c>
      <c r="K962" s="3">
        <v>1</v>
      </c>
      <c r="L962" s="3">
        <v>4</v>
      </c>
      <c r="M962" s="3">
        <v>4</v>
      </c>
      <c r="N962" s="3" t="s">
        <v>14</v>
      </c>
      <c r="O962" s="3" t="s">
        <v>20</v>
      </c>
      <c r="P962" s="3">
        <v>3</v>
      </c>
      <c r="Q962" s="3">
        <v>1</v>
      </c>
      <c r="R962" s="4" t="s">
        <v>14</v>
      </c>
      <c r="S962" s="4" t="s">
        <v>14</v>
      </c>
      <c r="T962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963" spans="1:20" ht="18" x14ac:dyDescent="0.35">
      <c r="A963" s="3" t="s">
        <v>1006</v>
      </c>
      <c r="B963" s="3" t="str">
        <f>IF(Table1[[#This Row],[Age]]&lt;25,"Under 25",IF(Table1[[#This Row],[Age]]&lt;35,"25-34",IF(Table1[[#This Row],[Age]]&lt;45,"35-44",IF(Table1[[#This Row],[Age]]&lt;55,"45-54","55+"))))</f>
        <v>Under 25</v>
      </c>
      <c r="C963" s="3">
        <v>21</v>
      </c>
      <c r="D963" s="3" t="s">
        <v>7</v>
      </c>
      <c r="E963" s="3" t="s">
        <v>51</v>
      </c>
      <c r="F963" s="3" t="s">
        <v>80</v>
      </c>
      <c r="G963" s="3" t="s">
        <v>10</v>
      </c>
      <c r="H963" s="3" t="s">
        <v>19</v>
      </c>
      <c r="I963" s="3">
        <v>64560</v>
      </c>
      <c r="J963" s="3">
        <v>0</v>
      </c>
      <c r="K963" s="3">
        <v>0</v>
      </c>
      <c r="L963" s="3">
        <v>2</v>
      </c>
      <c r="M963" s="3">
        <v>4</v>
      </c>
      <c r="N963" s="3" t="s">
        <v>14</v>
      </c>
      <c r="O963" s="3" t="s">
        <v>20</v>
      </c>
      <c r="P963" s="3">
        <v>3</v>
      </c>
      <c r="Q963" s="3">
        <v>2</v>
      </c>
      <c r="R963" s="4" t="s">
        <v>14</v>
      </c>
      <c r="S963" s="4" t="s">
        <v>14</v>
      </c>
      <c r="T963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Less than 1 Year</v>
      </c>
    </row>
    <row r="964" spans="1:20" ht="18" x14ac:dyDescent="0.35">
      <c r="A964" s="3" t="s">
        <v>1007</v>
      </c>
      <c r="B964" s="3" t="str">
        <f>IF(Table1[[#This Row],[Age]]&lt;25,"Under 25",IF(Table1[[#This Row],[Age]]&lt;35,"25-34",IF(Table1[[#This Row],[Age]]&lt;45,"35-44",IF(Table1[[#This Row],[Age]]&lt;55,"45-54","55+"))))</f>
        <v>25-34</v>
      </c>
      <c r="C964" s="3">
        <v>29</v>
      </c>
      <c r="D964" s="3" t="s">
        <v>7</v>
      </c>
      <c r="E964" s="3" t="s">
        <v>8</v>
      </c>
      <c r="F964" s="3" t="s">
        <v>9</v>
      </c>
      <c r="G964" s="3" t="s">
        <v>25</v>
      </c>
      <c r="H964" s="3" t="s">
        <v>11</v>
      </c>
      <c r="I964" s="3">
        <v>61171</v>
      </c>
      <c r="J964" s="3">
        <v>1</v>
      </c>
      <c r="K964" s="3">
        <v>0</v>
      </c>
      <c r="L964" s="3">
        <v>3</v>
      </c>
      <c r="M964" s="3">
        <v>2</v>
      </c>
      <c r="N964" s="3" t="s">
        <v>12</v>
      </c>
      <c r="O964" s="3" t="s">
        <v>13</v>
      </c>
      <c r="P964" s="3">
        <v>4</v>
      </c>
      <c r="Q964" s="3">
        <v>5</v>
      </c>
      <c r="R964" s="4" t="s">
        <v>14</v>
      </c>
      <c r="S964" s="4" t="s">
        <v>14</v>
      </c>
      <c r="T964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965" spans="1:20" ht="18" x14ac:dyDescent="0.35">
      <c r="A965" s="3" t="s">
        <v>1008</v>
      </c>
      <c r="B965" s="3" t="str">
        <f>IF(Table1[[#This Row],[Age]]&lt;25,"Under 25",IF(Table1[[#This Row],[Age]]&lt;35,"25-34",IF(Table1[[#This Row],[Age]]&lt;45,"35-44",IF(Table1[[#This Row],[Age]]&lt;55,"45-54","55+"))))</f>
        <v>25-34</v>
      </c>
      <c r="C965" s="3">
        <v>34</v>
      </c>
      <c r="D965" s="3" t="s">
        <v>7</v>
      </c>
      <c r="E965" s="3" t="s">
        <v>8</v>
      </c>
      <c r="F965" s="3" t="s">
        <v>66</v>
      </c>
      <c r="G965" s="3" t="s">
        <v>25</v>
      </c>
      <c r="H965" s="3" t="s">
        <v>11</v>
      </c>
      <c r="I965" s="3">
        <v>23857</v>
      </c>
      <c r="J965" s="3">
        <v>16</v>
      </c>
      <c r="K965" s="3">
        <v>6</v>
      </c>
      <c r="L965" s="3">
        <v>4</v>
      </c>
      <c r="M965" s="3">
        <v>2</v>
      </c>
      <c r="N965" s="3" t="s">
        <v>12</v>
      </c>
      <c r="O965" s="3" t="s">
        <v>26</v>
      </c>
      <c r="P965" s="3">
        <v>3</v>
      </c>
      <c r="Q965" s="3">
        <v>0</v>
      </c>
      <c r="R965" s="4" t="s">
        <v>14</v>
      </c>
      <c r="S965" s="4" t="s">
        <v>14</v>
      </c>
      <c r="T965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966" spans="1:20" ht="18" x14ac:dyDescent="0.35">
      <c r="A966" s="3" t="s">
        <v>1009</v>
      </c>
      <c r="B966" s="3" t="str">
        <f>IF(Table1[[#This Row],[Age]]&lt;25,"Under 25",IF(Table1[[#This Row],[Age]]&lt;35,"25-34",IF(Table1[[#This Row],[Age]]&lt;45,"35-44",IF(Table1[[#This Row],[Age]]&lt;55,"45-54","55+"))))</f>
        <v>45-54</v>
      </c>
      <c r="C966" s="3">
        <v>48</v>
      </c>
      <c r="D966" s="3" t="s">
        <v>7</v>
      </c>
      <c r="E966" s="3" t="s">
        <v>34</v>
      </c>
      <c r="F966" s="3" t="s">
        <v>91</v>
      </c>
      <c r="G966" s="3" t="s">
        <v>10</v>
      </c>
      <c r="H966" s="3" t="s">
        <v>11</v>
      </c>
      <c r="I966" s="3">
        <v>95420</v>
      </c>
      <c r="J966" s="3">
        <v>7</v>
      </c>
      <c r="K966" s="3">
        <v>4</v>
      </c>
      <c r="L966" s="3">
        <v>3</v>
      </c>
      <c r="M966" s="3">
        <v>2</v>
      </c>
      <c r="N966" s="3" t="s">
        <v>14</v>
      </c>
      <c r="O966" s="3" t="s">
        <v>20</v>
      </c>
      <c r="P966" s="3">
        <v>4</v>
      </c>
      <c r="Q966" s="3">
        <v>4</v>
      </c>
      <c r="R966" s="4" t="s">
        <v>14</v>
      </c>
      <c r="S966" s="4" t="s">
        <v>14</v>
      </c>
      <c r="T966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967" spans="1:20" ht="18" x14ac:dyDescent="0.35">
      <c r="A967" s="3" t="s">
        <v>1010</v>
      </c>
      <c r="B967" s="3" t="str">
        <f>IF(Table1[[#This Row],[Age]]&lt;25,"Under 25",IF(Table1[[#This Row],[Age]]&lt;35,"25-34",IF(Table1[[#This Row],[Age]]&lt;45,"35-44",IF(Table1[[#This Row],[Age]]&lt;55,"45-54","55+"))))</f>
        <v>35-44</v>
      </c>
      <c r="C967" s="3">
        <v>38</v>
      </c>
      <c r="D967" s="3" t="s">
        <v>22</v>
      </c>
      <c r="E967" s="3" t="s">
        <v>8</v>
      </c>
      <c r="F967" s="3" t="s">
        <v>23</v>
      </c>
      <c r="G967" s="3" t="s">
        <v>25</v>
      </c>
      <c r="H967" s="3" t="s">
        <v>11</v>
      </c>
      <c r="I967" s="3">
        <v>65816</v>
      </c>
      <c r="J967" s="3">
        <v>20</v>
      </c>
      <c r="K967" s="3">
        <v>7</v>
      </c>
      <c r="L967" s="3">
        <v>2</v>
      </c>
      <c r="M967" s="3">
        <v>3</v>
      </c>
      <c r="N967" s="3" t="s">
        <v>12</v>
      </c>
      <c r="O967" s="3" t="s">
        <v>13</v>
      </c>
      <c r="P967" s="3">
        <v>3</v>
      </c>
      <c r="Q967" s="3">
        <v>2</v>
      </c>
      <c r="R967" s="4" t="s">
        <v>14</v>
      </c>
      <c r="S967" s="4" t="s">
        <v>14</v>
      </c>
      <c r="T967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968" spans="1:20" ht="18" x14ac:dyDescent="0.35">
      <c r="A968" s="3" t="s">
        <v>1011</v>
      </c>
      <c r="B968" s="3" t="str">
        <f>IF(Table1[[#This Row],[Age]]&lt;25,"Under 25",IF(Table1[[#This Row],[Age]]&lt;35,"25-34",IF(Table1[[#This Row],[Age]]&lt;45,"35-44",IF(Table1[[#This Row],[Age]]&lt;55,"45-54","55+"))))</f>
        <v>Under 25</v>
      </c>
      <c r="C968" s="3">
        <v>21</v>
      </c>
      <c r="D968" s="3" t="s">
        <v>22</v>
      </c>
      <c r="E968" s="3" t="s">
        <v>8</v>
      </c>
      <c r="F968" s="3" t="s">
        <v>9</v>
      </c>
      <c r="G968" s="3" t="s">
        <v>25</v>
      </c>
      <c r="H968" s="3" t="s">
        <v>11</v>
      </c>
      <c r="I968" s="3">
        <v>63764</v>
      </c>
      <c r="J968" s="3">
        <v>0</v>
      </c>
      <c r="K968" s="3">
        <v>0</v>
      </c>
      <c r="L968" s="3">
        <v>3</v>
      </c>
      <c r="M968" s="3">
        <v>2</v>
      </c>
      <c r="N968" s="3" t="s">
        <v>14</v>
      </c>
      <c r="O968" s="3" t="s">
        <v>13</v>
      </c>
      <c r="P968" s="3">
        <v>3</v>
      </c>
      <c r="Q968" s="3">
        <v>5</v>
      </c>
      <c r="R968" s="4" t="s">
        <v>14</v>
      </c>
      <c r="S968" s="4" t="s">
        <v>14</v>
      </c>
      <c r="T968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Less than 1 Year</v>
      </c>
    </row>
    <row r="969" spans="1:20" ht="18" x14ac:dyDescent="0.35">
      <c r="A969" s="3" t="s">
        <v>1012</v>
      </c>
      <c r="B969" s="3" t="str">
        <f>IF(Table1[[#This Row],[Age]]&lt;25,"Under 25",IF(Table1[[#This Row],[Age]]&lt;35,"25-34",IF(Table1[[#This Row],[Age]]&lt;45,"35-44",IF(Table1[[#This Row],[Age]]&lt;55,"45-54","55+"))))</f>
        <v>35-44</v>
      </c>
      <c r="C969" s="3">
        <v>43</v>
      </c>
      <c r="D969" s="3" t="s">
        <v>22</v>
      </c>
      <c r="E969" s="3" t="s">
        <v>8</v>
      </c>
      <c r="F969" s="3" t="s">
        <v>23</v>
      </c>
      <c r="G969" s="3" t="s">
        <v>10</v>
      </c>
      <c r="H969" s="3" t="s">
        <v>11</v>
      </c>
      <c r="I969" s="3">
        <v>49306</v>
      </c>
      <c r="J969" s="3">
        <v>14</v>
      </c>
      <c r="K969" s="3">
        <v>11</v>
      </c>
      <c r="L969" s="3">
        <v>2</v>
      </c>
      <c r="M969" s="3">
        <v>4</v>
      </c>
      <c r="N969" s="3" t="s">
        <v>12</v>
      </c>
      <c r="O969" s="3" t="s">
        <v>13</v>
      </c>
      <c r="P969" s="3">
        <v>2</v>
      </c>
      <c r="Q969" s="3">
        <v>5</v>
      </c>
      <c r="R969" s="4" t="s">
        <v>14</v>
      </c>
      <c r="S969" s="4" t="s">
        <v>14</v>
      </c>
      <c r="T969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970" spans="1:20" ht="18" x14ac:dyDescent="0.35">
      <c r="A970" s="3" t="s">
        <v>1013</v>
      </c>
      <c r="B970" s="3" t="str">
        <f>IF(Table1[[#This Row],[Age]]&lt;25,"Under 25",IF(Table1[[#This Row],[Age]]&lt;35,"25-34",IF(Table1[[#This Row],[Age]]&lt;45,"35-44",IF(Table1[[#This Row],[Age]]&lt;55,"45-54","55+"))))</f>
        <v>25-34</v>
      </c>
      <c r="C970" s="3">
        <v>34</v>
      </c>
      <c r="D970" s="3" t="s">
        <v>22</v>
      </c>
      <c r="E970" s="3" t="s">
        <v>16</v>
      </c>
      <c r="F970" s="3" t="s">
        <v>47</v>
      </c>
      <c r="G970" s="3" t="s">
        <v>10</v>
      </c>
      <c r="H970" s="3" t="s">
        <v>11</v>
      </c>
      <c r="I970" s="3">
        <v>105990</v>
      </c>
      <c r="J970" s="3">
        <v>8</v>
      </c>
      <c r="K970" s="3">
        <v>2</v>
      </c>
      <c r="L970" s="3">
        <v>2</v>
      </c>
      <c r="M970" s="3">
        <v>2</v>
      </c>
      <c r="N970" s="3" t="s">
        <v>12</v>
      </c>
      <c r="O970" s="3" t="s">
        <v>13</v>
      </c>
      <c r="P970" s="3">
        <v>3</v>
      </c>
      <c r="Q970" s="3">
        <v>0</v>
      </c>
      <c r="R970" s="4" t="s">
        <v>14</v>
      </c>
      <c r="S970" s="4" t="s">
        <v>14</v>
      </c>
      <c r="T970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971" spans="1:20" ht="18" x14ac:dyDescent="0.35">
      <c r="A971" s="3" t="s">
        <v>1014</v>
      </c>
      <c r="B971" s="3" t="str">
        <f>IF(Table1[[#This Row],[Age]]&lt;25,"Under 25",IF(Table1[[#This Row],[Age]]&lt;35,"25-34",IF(Table1[[#This Row],[Age]]&lt;45,"35-44",IF(Table1[[#This Row],[Age]]&lt;55,"45-54","55+"))))</f>
        <v>35-44</v>
      </c>
      <c r="C971" s="3">
        <v>43</v>
      </c>
      <c r="D971" s="3" t="s">
        <v>7</v>
      </c>
      <c r="E971" s="3" t="s">
        <v>8</v>
      </c>
      <c r="F971" s="3" t="s">
        <v>23</v>
      </c>
      <c r="G971" s="3" t="s">
        <v>25</v>
      </c>
      <c r="H971" s="3" t="s">
        <v>19</v>
      </c>
      <c r="I971" s="3">
        <v>51331</v>
      </c>
      <c r="J971" s="3">
        <v>19</v>
      </c>
      <c r="K971" s="3">
        <v>6</v>
      </c>
      <c r="L971" s="3">
        <v>3</v>
      </c>
      <c r="M971" s="3">
        <v>3</v>
      </c>
      <c r="N971" s="3" t="s">
        <v>14</v>
      </c>
      <c r="O971" s="3" t="s">
        <v>13</v>
      </c>
      <c r="P971" s="3">
        <v>3</v>
      </c>
      <c r="Q971" s="3">
        <v>2</v>
      </c>
      <c r="R971" s="4" t="s">
        <v>14</v>
      </c>
      <c r="S971" s="4" t="s">
        <v>14</v>
      </c>
      <c r="T971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972" spans="1:20" ht="18" x14ac:dyDescent="0.35">
      <c r="A972" s="3" t="s">
        <v>1015</v>
      </c>
      <c r="B972" s="3" t="str">
        <f>IF(Table1[[#This Row],[Age]]&lt;25,"Under 25",IF(Table1[[#This Row],[Age]]&lt;35,"25-34",IF(Table1[[#This Row],[Age]]&lt;45,"35-44",IF(Table1[[#This Row],[Age]]&lt;55,"45-54","55+"))))</f>
        <v>25-34</v>
      </c>
      <c r="C972" s="3">
        <v>34</v>
      </c>
      <c r="D972" s="3" t="s">
        <v>22</v>
      </c>
      <c r="E972" s="3" t="s">
        <v>8</v>
      </c>
      <c r="F972" s="3" t="s">
        <v>9</v>
      </c>
      <c r="G972" s="3" t="s">
        <v>25</v>
      </c>
      <c r="H972" s="3" t="s">
        <v>42</v>
      </c>
      <c r="I972" s="3">
        <v>92483</v>
      </c>
      <c r="J972" s="3">
        <v>5</v>
      </c>
      <c r="K972" s="3">
        <v>0</v>
      </c>
      <c r="L972" s="3">
        <v>2</v>
      </c>
      <c r="M972" s="3">
        <v>3</v>
      </c>
      <c r="N972" s="3" t="s">
        <v>14</v>
      </c>
      <c r="O972" s="3" t="s">
        <v>20</v>
      </c>
      <c r="P972" s="3">
        <v>3</v>
      </c>
      <c r="Q972" s="3">
        <v>0</v>
      </c>
      <c r="R972" s="4" t="s">
        <v>12</v>
      </c>
      <c r="S972" s="4" t="s">
        <v>14</v>
      </c>
      <c r="T972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973" spans="1:20" ht="18" x14ac:dyDescent="0.35">
      <c r="A973" s="3" t="s">
        <v>1016</v>
      </c>
      <c r="B973" s="3" t="str">
        <f>IF(Table1[[#This Row],[Age]]&lt;25,"Under 25",IF(Table1[[#This Row],[Age]]&lt;35,"25-34",IF(Table1[[#This Row],[Age]]&lt;45,"35-44",IF(Table1[[#This Row],[Age]]&lt;55,"45-54","55+"))))</f>
        <v>45-54</v>
      </c>
      <c r="C973" s="3">
        <v>46</v>
      </c>
      <c r="D973" s="3" t="s">
        <v>22</v>
      </c>
      <c r="E973" s="3" t="s">
        <v>31</v>
      </c>
      <c r="F973" s="3" t="s">
        <v>32</v>
      </c>
      <c r="G973" s="3" t="s">
        <v>25</v>
      </c>
      <c r="H973" s="3" t="s">
        <v>11</v>
      </c>
      <c r="I973" s="3">
        <v>76935</v>
      </c>
      <c r="J973" s="3">
        <v>12</v>
      </c>
      <c r="K973" s="3">
        <v>3</v>
      </c>
      <c r="L973" s="3">
        <v>4</v>
      </c>
      <c r="M973" s="3">
        <v>4</v>
      </c>
      <c r="N973" s="3" t="s">
        <v>14</v>
      </c>
      <c r="O973" s="3" t="s">
        <v>13</v>
      </c>
      <c r="P973" s="3">
        <v>3</v>
      </c>
      <c r="Q973" s="3">
        <v>1</v>
      </c>
      <c r="R973" s="4" t="s">
        <v>14</v>
      </c>
      <c r="S973" s="4" t="s">
        <v>14</v>
      </c>
      <c r="T973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974" spans="1:20" ht="18" x14ac:dyDescent="0.35">
      <c r="A974" s="3" t="s">
        <v>1017</v>
      </c>
      <c r="B974" s="3" t="str">
        <f>IF(Table1[[#This Row],[Age]]&lt;25,"Under 25",IF(Table1[[#This Row],[Age]]&lt;35,"25-34",IF(Table1[[#This Row],[Age]]&lt;45,"35-44",IF(Table1[[#This Row],[Age]]&lt;55,"45-54","55+"))))</f>
        <v>25-34</v>
      </c>
      <c r="C974" s="3">
        <v>29</v>
      </c>
      <c r="D974" s="3" t="s">
        <v>22</v>
      </c>
      <c r="E974" s="3" t="s">
        <v>16</v>
      </c>
      <c r="F974" s="3" t="s">
        <v>28</v>
      </c>
      <c r="G974" s="3" t="s">
        <v>25</v>
      </c>
      <c r="H974" s="3" t="s">
        <v>11</v>
      </c>
      <c r="I974" s="3">
        <v>70561</v>
      </c>
      <c r="J974" s="3">
        <v>4</v>
      </c>
      <c r="K974" s="3">
        <v>2</v>
      </c>
      <c r="L974" s="3">
        <v>3</v>
      </c>
      <c r="M974" s="3">
        <v>2</v>
      </c>
      <c r="N974" s="3" t="s">
        <v>14</v>
      </c>
      <c r="O974" s="3" t="s">
        <v>13</v>
      </c>
      <c r="P974" s="3">
        <v>3</v>
      </c>
      <c r="Q974" s="3">
        <v>6</v>
      </c>
      <c r="R974" s="4" t="s">
        <v>14</v>
      </c>
      <c r="S974" s="4" t="s">
        <v>14</v>
      </c>
      <c r="T974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975" spans="1:20" ht="18" x14ac:dyDescent="0.35">
      <c r="A975" s="3" t="s">
        <v>1018</v>
      </c>
      <c r="B975" s="3" t="str">
        <f>IF(Table1[[#This Row],[Age]]&lt;25,"Under 25",IF(Table1[[#This Row],[Age]]&lt;35,"25-34",IF(Table1[[#This Row],[Age]]&lt;45,"35-44",IF(Table1[[#This Row],[Age]]&lt;55,"45-54","55+"))))</f>
        <v>35-44</v>
      </c>
      <c r="C975" s="3">
        <v>39</v>
      </c>
      <c r="D975" s="3" t="s">
        <v>7</v>
      </c>
      <c r="E975" s="3" t="s">
        <v>38</v>
      </c>
      <c r="F975" s="3" t="s">
        <v>59</v>
      </c>
      <c r="G975" s="3" t="s">
        <v>25</v>
      </c>
      <c r="H975" s="3" t="s">
        <v>19</v>
      </c>
      <c r="I975" s="3">
        <v>77125</v>
      </c>
      <c r="J975" s="3">
        <v>7</v>
      </c>
      <c r="K975" s="3">
        <v>6</v>
      </c>
      <c r="L975" s="3">
        <v>4</v>
      </c>
      <c r="M975" s="3">
        <v>3</v>
      </c>
      <c r="N975" s="3" t="s">
        <v>12</v>
      </c>
      <c r="O975" s="3" t="s">
        <v>13</v>
      </c>
      <c r="P975" s="3">
        <v>3</v>
      </c>
      <c r="Q975" s="3">
        <v>3</v>
      </c>
      <c r="R975" s="4" t="s">
        <v>14</v>
      </c>
      <c r="S975" s="4" t="s">
        <v>14</v>
      </c>
      <c r="T975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976" spans="1:20" ht="18" x14ac:dyDescent="0.35">
      <c r="A976" s="3" t="s">
        <v>1019</v>
      </c>
      <c r="B976" s="3" t="str">
        <f>IF(Table1[[#This Row],[Age]]&lt;25,"Under 25",IF(Table1[[#This Row],[Age]]&lt;35,"25-34",IF(Table1[[#This Row],[Age]]&lt;45,"35-44",IF(Table1[[#This Row],[Age]]&lt;55,"45-54","55+"))))</f>
        <v>25-34</v>
      </c>
      <c r="C976" s="3">
        <v>30</v>
      </c>
      <c r="D976" s="3" t="s">
        <v>7</v>
      </c>
      <c r="E976" s="3" t="s">
        <v>51</v>
      </c>
      <c r="F976" s="3" t="s">
        <v>52</v>
      </c>
      <c r="G976" s="3" t="s">
        <v>10</v>
      </c>
      <c r="H976" s="3" t="s">
        <v>11</v>
      </c>
      <c r="I976" s="3">
        <v>83557</v>
      </c>
      <c r="J976" s="3">
        <v>10</v>
      </c>
      <c r="K976" s="3">
        <v>9</v>
      </c>
      <c r="L976" s="3">
        <v>4</v>
      </c>
      <c r="M976" s="3">
        <v>3</v>
      </c>
      <c r="N976" s="3" t="s">
        <v>12</v>
      </c>
      <c r="O976" s="3" t="s">
        <v>13</v>
      </c>
      <c r="P976" s="3">
        <v>3</v>
      </c>
      <c r="Q976" s="3">
        <v>5</v>
      </c>
      <c r="R976" s="4" t="s">
        <v>14</v>
      </c>
      <c r="S976" s="4" t="s">
        <v>12</v>
      </c>
      <c r="T976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977" spans="1:20" ht="18" x14ac:dyDescent="0.35">
      <c r="A977" s="3" t="s">
        <v>1020</v>
      </c>
      <c r="B977" s="3" t="str">
        <f>IF(Table1[[#This Row],[Age]]&lt;25,"Under 25",IF(Table1[[#This Row],[Age]]&lt;35,"25-34",IF(Table1[[#This Row],[Age]]&lt;45,"35-44",IF(Table1[[#This Row],[Age]]&lt;55,"45-54","55+"))))</f>
        <v>45-54</v>
      </c>
      <c r="C977" s="3">
        <v>50</v>
      </c>
      <c r="D977" s="3" t="s">
        <v>7</v>
      </c>
      <c r="E977" s="3" t="s">
        <v>8</v>
      </c>
      <c r="F977" s="3" t="s">
        <v>9</v>
      </c>
      <c r="G977" s="3" t="s">
        <v>10</v>
      </c>
      <c r="H977" s="3" t="s">
        <v>11</v>
      </c>
      <c r="I977" s="3">
        <v>97720</v>
      </c>
      <c r="J977" s="3">
        <v>25</v>
      </c>
      <c r="K977" s="3">
        <v>12</v>
      </c>
      <c r="L977" s="3">
        <v>3</v>
      </c>
      <c r="M977" s="3">
        <v>4</v>
      </c>
      <c r="N977" s="3" t="s">
        <v>14</v>
      </c>
      <c r="O977" s="3" t="s">
        <v>26</v>
      </c>
      <c r="P977" s="3">
        <v>3</v>
      </c>
      <c r="Q977" s="3">
        <v>6</v>
      </c>
      <c r="R977" s="4" t="s">
        <v>14</v>
      </c>
      <c r="S977" s="4" t="s">
        <v>14</v>
      </c>
      <c r="T977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978" spans="1:20" ht="18" x14ac:dyDescent="0.35">
      <c r="A978" s="3" t="s">
        <v>1021</v>
      </c>
      <c r="B978" s="3" t="str">
        <f>IF(Table1[[#This Row],[Age]]&lt;25,"Under 25",IF(Table1[[#This Row],[Age]]&lt;35,"25-34",IF(Table1[[#This Row],[Age]]&lt;45,"35-44",IF(Table1[[#This Row],[Age]]&lt;55,"45-54","55+"))))</f>
        <v>25-34</v>
      </c>
      <c r="C978" s="3">
        <v>31</v>
      </c>
      <c r="D978" s="3" t="s">
        <v>7</v>
      </c>
      <c r="E978" s="3" t="s">
        <v>34</v>
      </c>
      <c r="F978" s="3" t="s">
        <v>35</v>
      </c>
      <c r="G978" s="3" t="s">
        <v>10</v>
      </c>
      <c r="H978" s="3" t="s">
        <v>19</v>
      </c>
      <c r="I978" s="3">
        <v>29234</v>
      </c>
      <c r="J978" s="3">
        <v>8</v>
      </c>
      <c r="K978" s="3">
        <v>8</v>
      </c>
      <c r="L978" s="3">
        <v>3</v>
      </c>
      <c r="M978" s="3">
        <v>4</v>
      </c>
      <c r="N978" s="3" t="s">
        <v>14</v>
      </c>
      <c r="O978" s="3" t="s">
        <v>26</v>
      </c>
      <c r="P978" s="3">
        <v>3</v>
      </c>
      <c r="Q978" s="3">
        <v>1</v>
      </c>
      <c r="R978" s="4" t="s">
        <v>14</v>
      </c>
      <c r="S978" s="4" t="s">
        <v>14</v>
      </c>
      <c r="T978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979" spans="1:20" ht="18" x14ac:dyDescent="0.35">
      <c r="A979" s="3" t="s">
        <v>1022</v>
      </c>
      <c r="B979" s="3" t="str">
        <f>IF(Table1[[#This Row],[Age]]&lt;25,"Under 25",IF(Table1[[#This Row],[Age]]&lt;35,"25-34",IF(Table1[[#This Row],[Age]]&lt;45,"35-44",IF(Table1[[#This Row],[Age]]&lt;55,"45-54","55+"))))</f>
        <v>35-44</v>
      </c>
      <c r="C979" s="3">
        <v>40</v>
      </c>
      <c r="D979" s="3" t="s">
        <v>7</v>
      </c>
      <c r="E979" s="3" t="s">
        <v>34</v>
      </c>
      <c r="F979" s="3" t="s">
        <v>150</v>
      </c>
      <c r="G979" s="3" t="s">
        <v>45</v>
      </c>
      <c r="H979" s="3" t="s">
        <v>11</v>
      </c>
      <c r="I979" s="3">
        <v>47467</v>
      </c>
      <c r="J979" s="3">
        <v>18</v>
      </c>
      <c r="K979" s="3">
        <v>9</v>
      </c>
      <c r="L979" s="3">
        <v>1</v>
      </c>
      <c r="M979" s="3">
        <v>4</v>
      </c>
      <c r="N979" s="3" t="s">
        <v>12</v>
      </c>
      <c r="O979" s="3" t="s">
        <v>20</v>
      </c>
      <c r="P979" s="3">
        <v>4</v>
      </c>
      <c r="Q979" s="3">
        <v>1</v>
      </c>
      <c r="R979" s="4" t="s">
        <v>14</v>
      </c>
      <c r="S979" s="4" t="s">
        <v>14</v>
      </c>
      <c r="T979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980" spans="1:20" ht="18" x14ac:dyDescent="0.35">
      <c r="A980" s="3" t="s">
        <v>1023</v>
      </c>
      <c r="B980" s="3" t="str">
        <f>IF(Table1[[#This Row],[Age]]&lt;25,"Under 25",IF(Table1[[#This Row],[Age]]&lt;35,"25-34",IF(Table1[[#This Row],[Age]]&lt;45,"35-44",IF(Table1[[#This Row],[Age]]&lt;55,"45-54","55+"))))</f>
        <v>25-34</v>
      </c>
      <c r="C980" s="3">
        <v>34</v>
      </c>
      <c r="D980" s="3" t="s">
        <v>7</v>
      </c>
      <c r="E980" s="3" t="s">
        <v>51</v>
      </c>
      <c r="F980" s="3" t="s">
        <v>72</v>
      </c>
      <c r="G980" s="3" t="s">
        <v>25</v>
      </c>
      <c r="H980" s="3" t="s">
        <v>11</v>
      </c>
      <c r="I980" s="3">
        <v>66435</v>
      </c>
      <c r="J980" s="3">
        <v>15</v>
      </c>
      <c r="K980" s="3">
        <v>2</v>
      </c>
      <c r="L980" s="3">
        <v>4</v>
      </c>
      <c r="M980" s="3">
        <v>1</v>
      </c>
      <c r="N980" s="3" t="s">
        <v>14</v>
      </c>
      <c r="O980" s="3" t="s">
        <v>20</v>
      </c>
      <c r="P980" s="3">
        <v>3</v>
      </c>
      <c r="Q980" s="3">
        <v>0</v>
      </c>
      <c r="R980" s="4" t="s">
        <v>12</v>
      </c>
      <c r="S980" s="4" t="s">
        <v>14</v>
      </c>
      <c r="T980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981" spans="1:20" ht="18" x14ac:dyDescent="0.35">
      <c r="A981" s="3" t="s">
        <v>1024</v>
      </c>
      <c r="B981" s="3" t="str">
        <f>IF(Table1[[#This Row],[Age]]&lt;25,"Under 25",IF(Table1[[#This Row],[Age]]&lt;35,"25-34",IF(Table1[[#This Row],[Age]]&lt;45,"35-44",IF(Table1[[#This Row],[Age]]&lt;55,"45-54","55+"))))</f>
        <v>45-54</v>
      </c>
      <c r="C981" s="3">
        <v>45</v>
      </c>
      <c r="D981" s="3" t="s">
        <v>22</v>
      </c>
      <c r="E981" s="3" t="s">
        <v>8</v>
      </c>
      <c r="F981" s="3" t="s">
        <v>66</v>
      </c>
      <c r="G981" s="3" t="s">
        <v>25</v>
      </c>
      <c r="H981" s="3" t="s">
        <v>42</v>
      </c>
      <c r="I981" s="3">
        <v>78877</v>
      </c>
      <c r="J981" s="3">
        <v>25</v>
      </c>
      <c r="K981" s="3">
        <v>0</v>
      </c>
      <c r="L981" s="3">
        <v>2</v>
      </c>
      <c r="M981" s="3">
        <v>4</v>
      </c>
      <c r="N981" s="3" t="s">
        <v>12</v>
      </c>
      <c r="O981" s="3" t="s">
        <v>13</v>
      </c>
      <c r="P981" s="3">
        <v>4</v>
      </c>
      <c r="Q981" s="3">
        <v>5</v>
      </c>
      <c r="R981" s="4" t="s">
        <v>14</v>
      </c>
      <c r="S981" s="4" t="s">
        <v>14</v>
      </c>
      <c r="T981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982" spans="1:20" ht="18" x14ac:dyDescent="0.35">
      <c r="A982" s="3" t="s">
        <v>1025</v>
      </c>
      <c r="B982" s="3" t="str">
        <f>IF(Table1[[#This Row],[Age]]&lt;25,"Under 25",IF(Table1[[#This Row],[Age]]&lt;35,"25-34",IF(Table1[[#This Row],[Age]]&lt;45,"35-44",IF(Table1[[#This Row],[Age]]&lt;55,"45-54","55+"))))</f>
        <v>35-44</v>
      </c>
      <c r="C982" s="3">
        <v>42</v>
      </c>
      <c r="D982" s="3" t="s">
        <v>7</v>
      </c>
      <c r="E982" s="3" t="s">
        <v>16</v>
      </c>
      <c r="F982" s="3" t="s">
        <v>17</v>
      </c>
      <c r="G982" s="3" t="s">
        <v>25</v>
      </c>
      <c r="H982" s="3" t="s">
        <v>11</v>
      </c>
      <c r="I982" s="3">
        <v>49918</v>
      </c>
      <c r="J982" s="3">
        <v>19</v>
      </c>
      <c r="K982" s="3">
        <v>3</v>
      </c>
      <c r="L982" s="3">
        <v>4</v>
      </c>
      <c r="M982" s="3">
        <v>3</v>
      </c>
      <c r="N982" s="3" t="s">
        <v>14</v>
      </c>
      <c r="O982" s="3" t="s">
        <v>26</v>
      </c>
      <c r="P982" s="3">
        <v>2</v>
      </c>
      <c r="Q982" s="3">
        <v>1</v>
      </c>
      <c r="R982" s="4" t="s">
        <v>12</v>
      </c>
      <c r="S982" s="4" t="s">
        <v>14</v>
      </c>
      <c r="T982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983" spans="1:20" ht="18" x14ac:dyDescent="0.35">
      <c r="A983" s="3" t="s">
        <v>1026</v>
      </c>
      <c r="B983" s="3" t="str">
        <f>IF(Table1[[#This Row],[Age]]&lt;25,"Under 25",IF(Table1[[#This Row],[Age]]&lt;35,"25-34",IF(Table1[[#This Row],[Age]]&lt;45,"35-44",IF(Table1[[#This Row],[Age]]&lt;55,"45-54","55+"))))</f>
        <v>35-44</v>
      </c>
      <c r="C983" s="3">
        <v>36</v>
      </c>
      <c r="D983" s="3" t="s">
        <v>7</v>
      </c>
      <c r="E983" s="3" t="s">
        <v>51</v>
      </c>
      <c r="F983" s="3" t="s">
        <v>52</v>
      </c>
      <c r="G983" s="3" t="s">
        <v>25</v>
      </c>
      <c r="H983" s="3" t="s">
        <v>11</v>
      </c>
      <c r="I983" s="3">
        <v>54042</v>
      </c>
      <c r="J983" s="3">
        <v>5</v>
      </c>
      <c r="K983" s="3">
        <v>0</v>
      </c>
      <c r="L983" s="3">
        <v>3</v>
      </c>
      <c r="M983" s="3">
        <v>2</v>
      </c>
      <c r="N983" s="3" t="s">
        <v>14</v>
      </c>
      <c r="O983" s="3" t="s">
        <v>26</v>
      </c>
      <c r="P983" s="3">
        <v>4</v>
      </c>
      <c r="Q983" s="3">
        <v>5</v>
      </c>
      <c r="R983" s="4" t="s">
        <v>12</v>
      </c>
      <c r="S983" s="4" t="s">
        <v>14</v>
      </c>
      <c r="T983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984" spans="1:20" ht="18" x14ac:dyDescent="0.35">
      <c r="A984" s="3" t="s">
        <v>1027</v>
      </c>
      <c r="B984" s="3" t="str">
        <f>IF(Table1[[#This Row],[Age]]&lt;25,"Under 25",IF(Table1[[#This Row],[Age]]&lt;35,"25-34",IF(Table1[[#This Row],[Age]]&lt;45,"35-44",IF(Table1[[#This Row],[Age]]&lt;55,"45-54","55+"))))</f>
        <v>35-44</v>
      </c>
      <c r="C984" s="3">
        <v>41</v>
      </c>
      <c r="D984" s="3" t="s">
        <v>7</v>
      </c>
      <c r="E984" s="3" t="s">
        <v>51</v>
      </c>
      <c r="F984" s="3" t="s">
        <v>52</v>
      </c>
      <c r="G984" s="3" t="s">
        <v>45</v>
      </c>
      <c r="H984" s="3" t="s">
        <v>11</v>
      </c>
      <c r="I984" s="3">
        <v>45994</v>
      </c>
      <c r="J984" s="3">
        <v>14</v>
      </c>
      <c r="K984" s="3">
        <v>9</v>
      </c>
      <c r="L984" s="3">
        <v>3</v>
      </c>
      <c r="M984" s="3">
        <v>4</v>
      </c>
      <c r="N984" s="3" t="s">
        <v>12</v>
      </c>
      <c r="O984" s="3" t="s">
        <v>13</v>
      </c>
      <c r="P984" s="3">
        <v>3</v>
      </c>
      <c r="Q984" s="3">
        <v>0</v>
      </c>
      <c r="R984" s="4" t="s">
        <v>14</v>
      </c>
      <c r="S984" s="4" t="s">
        <v>14</v>
      </c>
      <c r="T984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985" spans="1:20" ht="18" x14ac:dyDescent="0.35">
      <c r="A985" s="3" t="s">
        <v>1028</v>
      </c>
      <c r="B985" s="3" t="str">
        <f>IF(Table1[[#This Row],[Age]]&lt;25,"Under 25",IF(Table1[[#This Row],[Age]]&lt;35,"25-34",IF(Table1[[#This Row],[Age]]&lt;45,"35-44",IF(Table1[[#This Row],[Age]]&lt;55,"45-54","55+"))))</f>
        <v>35-44</v>
      </c>
      <c r="C985" s="3">
        <v>42</v>
      </c>
      <c r="D985" s="3" t="s">
        <v>7</v>
      </c>
      <c r="E985" s="3" t="s">
        <v>8</v>
      </c>
      <c r="F985" s="3" t="s">
        <v>23</v>
      </c>
      <c r="G985" s="3" t="s">
        <v>18</v>
      </c>
      <c r="H985" s="3" t="s">
        <v>19</v>
      </c>
      <c r="I985" s="3">
        <v>62179</v>
      </c>
      <c r="J985" s="3">
        <v>15</v>
      </c>
      <c r="K985" s="3">
        <v>2</v>
      </c>
      <c r="L985" s="3">
        <v>3</v>
      </c>
      <c r="M985" s="3">
        <v>3</v>
      </c>
      <c r="N985" s="3" t="s">
        <v>14</v>
      </c>
      <c r="O985" s="3" t="s">
        <v>13</v>
      </c>
      <c r="P985" s="3">
        <v>3</v>
      </c>
      <c r="Q985" s="3">
        <v>6</v>
      </c>
      <c r="R985" s="4" t="s">
        <v>12</v>
      </c>
      <c r="S985" s="4" t="s">
        <v>14</v>
      </c>
      <c r="T985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986" spans="1:20" ht="18" x14ac:dyDescent="0.35">
      <c r="A986" s="3" t="s">
        <v>1029</v>
      </c>
      <c r="B986" s="3" t="str">
        <f>IF(Table1[[#This Row],[Age]]&lt;25,"Under 25",IF(Table1[[#This Row],[Age]]&lt;35,"25-34",IF(Table1[[#This Row],[Age]]&lt;45,"35-44",IF(Table1[[#This Row],[Age]]&lt;55,"45-54","55+"))))</f>
        <v>25-34</v>
      </c>
      <c r="C986" s="3">
        <v>32</v>
      </c>
      <c r="D986" s="3" t="s">
        <v>7</v>
      </c>
      <c r="E986" s="3" t="s">
        <v>34</v>
      </c>
      <c r="F986" s="3" t="s">
        <v>150</v>
      </c>
      <c r="G986" s="3" t="s">
        <v>45</v>
      </c>
      <c r="H986" s="3" t="s">
        <v>11</v>
      </c>
      <c r="I986" s="3">
        <v>68285</v>
      </c>
      <c r="J986" s="3">
        <v>13</v>
      </c>
      <c r="K986" s="3">
        <v>5</v>
      </c>
      <c r="L986" s="3">
        <v>2</v>
      </c>
      <c r="M986" s="3">
        <v>3</v>
      </c>
      <c r="N986" s="3" t="s">
        <v>14</v>
      </c>
      <c r="O986" s="3" t="s">
        <v>13</v>
      </c>
      <c r="P986" s="3">
        <v>4</v>
      </c>
      <c r="Q986" s="3">
        <v>4</v>
      </c>
      <c r="R986" s="4" t="s">
        <v>14</v>
      </c>
      <c r="S986" s="4" t="s">
        <v>14</v>
      </c>
      <c r="T986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987" spans="1:20" ht="18" x14ac:dyDescent="0.35">
      <c r="A987" s="3" t="s">
        <v>1030</v>
      </c>
      <c r="B987" s="3" t="str">
        <f>IF(Table1[[#This Row],[Age]]&lt;25,"Under 25",IF(Table1[[#This Row],[Age]]&lt;35,"25-34",IF(Table1[[#This Row],[Age]]&lt;45,"35-44",IF(Table1[[#This Row],[Age]]&lt;55,"45-54","55+"))))</f>
        <v>35-44</v>
      </c>
      <c r="C987" s="3">
        <v>41</v>
      </c>
      <c r="D987" s="3" t="s">
        <v>22</v>
      </c>
      <c r="E987" s="3" t="s">
        <v>34</v>
      </c>
      <c r="F987" s="3" t="s">
        <v>150</v>
      </c>
      <c r="G987" s="3" t="s">
        <v>10</v>
      </c>
      <c r="H987" s="3" t="s">
        <v>11</v>
      </c>
      <c r="I987" s="3">
        <v>105162</v>
      </c>
      <c r="J987" s="3">
        <v>19</v>
      </c>
      <c r="K987" s="3">
        <v>5</v>
      </c>
      <c r="L987" s="3">
        <v>1</v>
      </c>
      <c r="M987" s="3">
        <v>2</v>
      </c>
      <c r="N987" s="3" t="s">
        <v>12</v>
      </c>
      <c r="O987" s="3" t="s">
        <v>13</v>
      </c>
      <c r="P987" s="3">
        <v>4</v>
      </c>
      <c r="Q987" s="3">
        <v>3</v>
      </c>
      <c r="R987" s="4" t="s">
        <v>14</v>
      </c>
      <c r="S987" s="4" t="s">
        <v>14</v>
      </c>
      <c r="T987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988" spans="1:20" ht="18" x14ac:dyDescent="0.35">
      <c r="A988" s="3" t="s">
        <v>1031</v>
      </c>
      <c r="B988" s="3" t="str">
        <f>IF(Table1[[#This Row],[Age]]&lt;25,"Under 25",IF(Table1[[#This Row],[Age]]&lt;35,"25-34",IF(Table1[[#This Row],[Age]]&lt;45,"35-44",IF(Table1[[#This Row],[Age]]&lt;55,"45-54","55+"))))</f>
        <v>Under 25</v>
      </c>
      <c r="C988" s="3">
        <v>21</v>
      </c>
      <c r="D988" s="3" t="s">
        <v>7</v>
      </c>
      <c r="E988" s="3" t="s">
        <v>51</v>
      </c>
      <c r="F988" s="3" t="s">
        <v>80</v>
      </c>
      <c r="G988" s="3" t="s">
        <v>18</v>
      </c>
      <c r="H988" s="3" t="s">
        <v>19</v>
      </c>
      <c r="I988" s="3">
        <v>93104</v>
      </c>
      <c r="J988" s="3">
        <v>2</v>
      </c>
      <c r="K988" s="3">
        <v>1</v>
      </c>
      <c r="L988" s="3">
        <v>3</v>
      </c>
      <c r="M988" s="3">
        <v>2</v>
      </c>
      <c r="N988" s="3" t="s">
        <v>14</v>
      </c>
      <c r="O988" s="3" t="s">
        <v>20</v>
      </c>
      <c r="P988" s="3">
        <v>3</v>
      </c>
      <c r="Q988" s="3">
        <v>2</v>
      </c>
      <c r="R988" s="4" t="s">
        <v>14</v>
      </c>
      <c r="S988" s="4" t="s">
        <v>14</v>
      </c>
      <c r="T988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989" spans="1:20" ht="18" x14ac:dyDescent="0.35">
      <c r="A989" s="3" t="s">
        <v>1032</v>
      </c>
      <c r="B989" s="3" t="str">
        <f>IF(Table1[[#This Row],[Age]]&lt;25,"Under 25",IF(Table1[[#This Row],[Age]]&lt;35,"25-34",IF(Table1[[#This Row],[Age]]&lt;45,"35-44",IF(Table1[[#This Row],[Age]]&lt;55,"45-54","55+"))))</f>
        <v>25-34</v>
      </c>
      <c r="C989" s="3">
        <v>31</v>
      </c>
      <c r="D989" s="3" t="s">
        <v>22</v>
      </c>
      <c r="E989" s="3" t="s">
        <v>16</v>
      </c>
      <c r="F989" s="3" t="s">
        <v>28</v>
      </c>
      <c r="G989" s="3" t="s">
        <v>10</v>
      </c>
      <c r="H989" s="3" t="s">
        <v>42</v>
      </c>
      <c r="I989" s="3">
        <v>93391</v>
      </c>
      <c r="J989" s="3">
        <v>7</v>
      </c>
      <c r="K989" s="3">
        <v>6</v>
      </c>
      <c r="L989" s="3">
        <v>3</v>
      </c>
      <c r="M989" s="3">
        <v>3</v>
      </c>
      <c r="N989" s="3" t="s">
        <v>14</v>
      </c>
      <c r="O989" s="3" t="s">
        <v>13</v>
      </c>
      <c r="P989" s="3">
        <v>3</v>
      </c>
      <c r="Q989" s="3">
        <v>2</v>
      </c>
      <c r="R989" s="4" t="s">
        <v>14</v>
      </c>
      <c r="S989" s="4" t="s">
        <v>12</v>
      </c>
      <c r="T989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990" spans="1:20" ht="18" x14ac:dyDescent="0.35">
      <c r="A990" s="3" t="s">
        <v>1033</v>
      </c>
      <c r="B990" s="3" t="str">
        <f>IF(Table1[[#This Row],[Age]]&lt;25,"Under 25",IF(Table1[[#This Row],[Age]]&lt;35,"25-34",IF(Table1[[#This Row],[Age]]&lt;45,"35-44",IF(Table1[[#This Row],[Age]]&lt;55,"45-54","55+"))))</f>
        <v>25-34</v>
      </c>
      <c r="C990" s="3">
        <v>34</v>
      </c>
      <c r="D990" s="3" t="s">
        <v>22</v>
      </c>
      <c r="E990" s="3" t="s">
        <v>38</v>
      </c>
      <c r="F990" s="3" t="s">
        <v>39</v>
      </c>
      <c r="G990" s="3" t="s">
        <v>18</v>
      </c>
      <c r="H990" s="3" t="s">
        <v>42</v>
      </c>
      <c r="I990" s="3">
        <v>70628</v>
      </c>
      <c r="J990" s="3">
        <v>0</v>
      </c>
      <c r="K990" s="3">
        <v>0</v>
      </c>
      <c r="L990" s="3">
        <v>1</v>
      </c>
      <c r="M990" s="3">
        <v>4</v>
      </c>
      <c r="N990" s="3" t="s">
        <v>12</v>
      </c>
      <c r="O990" s="3" t="s">
        <v>13</v>
      </c>
      <c r="P990" s="3">
        <v>4</v>
      </c>
      <c r="Q990" s="3">
        <v>0</v>
      </c>
      <c r="R990" s="4" t="s">
        <v>14</v>
      </c>
      <c r="S990" s="4" t="s">
        <v>12</v>
      </c>
      <c r="T990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Less than 1 Year</v>
      </c>
    </row>
    <row r="991" spans="1:20" ht="18" x14ac:dyDescent="0.35">
      <c r="A991" s="3" t="s">
        <v>1034</v>
      </c>
      <c r="B991" s="3" t="str">
        <f>IF(Table1[[#This Row],[Age]]&lt;25,"Under 25",IF(Table1[[#This Row],[Age]]&lt;35,"25-34",IF(Table1[[#This Row],[Age]]&lt;45,"35-44",IF(Table1[[#This Row],[Age]]&lt;55,"45-54","55+"))))</f>
        <v>25-34</v>
      </c>
      <c r="C991" s="3">
        <v>31</v>
      </c>
      <c r="D991" s="3" t="s">
        <v>7</v>
      </c>
      <c r="E991" s="3" t="s">
        <v>51</v>
      </c>
      <c r="F991" s="3" t="s">
        <v>72</v>
      </c>
      <c r="G991" s="3" t="s">
        <v>25</v>
      </c>
      <c r="H991" s="3" t="s">
        <v>11</v>
      </c>
      <c r="I991" s="3">
        <v>72992</v>
      </c>
      <c r="J991" s="3">
        <v>3</v>
      </c>
      <c r="K991" s="3">
        <v>0</v>
      </c>
      <c r="L991" s="3">
        <v>4</v>
      </c>
      <c r="M991" s="3">
        <v>4</v>
      </c>
      <c r="N991" s="3" t="s">
        <v>14</v>
      </c>
      <c r="O991" s="3" t="s">
        <v>13</v>
      </c>
      <c r="P991" s="3">
        <v>4</v>
      </c>
      <c r="Q991" s="3">
        <v>6</v>
      </c>
      <c r="R991" s="4" t="s">
        <v>12</v>
      </c>
      <c r="S991" s="4" t="s">
        <v>14</v>
      </c>
      <c r="T991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992" spans="1:20" ht="18" x14ac:dyDescent="0.35">
      <c r="A992" s="3" t="s">
        <v>1035</v>
      </c>
      <c r="B992" s="3" t="str">
        <f>IF(Table1[[#This Row],[Age]]&lt;25,"Under 25",IF(Table1[[#This Row],[Age]]&lt;35,"25-34",IF(Table1[[#This Row],[Age]]&lt;45,"35-44",IF(Table1[[#This Row],[Age]]&lt;55,"45-54","55+"))))</f>
        <v>Under 25</v>
      </c>
      <c r="C992" s="3">
        <v>23</v>
      </c>
      <c r="D992" s="3" t="s">
        <v>22</v>
      </c>
      <c r="E992" s="3" t="s">
        <v>38</v>
      </c>
      <c r="F992" s="3" t="s">
        <v>89</v>
      </c>
      <c r="G992" s="3" t="s">
        <v>10</v>
      </c>
      <c r="H992" s="3" t="s">
        <v>11</v>
      </c>
      <c r="I992" s="3">
        <v>76926</v>
      </c>
      <c r="J992" s="3">
        <v>5</v>
      </c>
      <c r="K992" s="3">
        <v>3</v>
      </c>
      <c r="L992" s="3">
        <v>3</v>
      </c>
      <c r="M992" s="3">
        <v>2</v>
      </c>
      <c r="N992" s="3" t="s">
        <v>14</v>
      </c>
      <c r="O992" s="3" t="s">
        <v>13</v>
      </c>
      <c r="P992" s="3">
        <v>3</v>
      </c>
      <c r="Q992" s="3">
        <v>2</v>
      </c>
      <c r="R992" s="4" t="s">
        <v>14</v>
      </c>
      <c r="S992" s="4" t="s">
        <v>12</v>
      </c>
      <c r="T992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993" spans="1:20" ht="18" x14ac:dyDescent="0.35">
      <c r="A993" s="3" t="s">
        <v>1036</v>
      </c>
      <c r="B993" s="3" t="str">
        <f>IF(Table1[[#This Row],[Age]]&lt;25,"Under 25",IF(Table1[[#This Row],[Age]]&lt;35,"25-34",IF(Table1[[#This Row],[Age]]&lt;45,"35-44",IF(Table1[[#This Row],[Age]]&lt;55,"45-54","55+"))))</f>
        <v>25-34</v>
      </c>
      <c r="C993" s="3">
        <v>29</v>
      </c>
      <c r="D993" s="3" t="s">
        <v>22</v>
      </c>
      <c r="E993" s="3" t="s">
        <v>31</v>
      </c>
      <c r="F993" s="3" t="s">
        <v>74</v>
      </c>
      <c r="G993" s="3" t="s">
        <v>10</v>
      </c>
      <c r="H993" s="3" t="s">
        <v>19</v>
      </c>
      <c r="I993" s="3">
        <v>73083</v>
      </c>
      <c r="J993" s="3">
        <v>10</v>
      </c>
      <c r="K993" s="3">
        <v>10</v>
      </c>
      <c r="L993" s="3">
        <v>2</v>
      </c>
      <c r="M993" s="3">
        <v>2</v>
      </c>
      <c r="N993" s="3" t="s">
        <v>14</v>
      </c>
      <c r="O993" s="3" t="s">
        <v>13</v>
      </c>
      <c r="P993" s="3">
        <v>3</v>
      </c>
      <c r="Q993" s="3">
        <v>1</v>
      </c>
      <c r="R993" s="4" t="s">
        <v>14</v>
      </c>
      <c r="S993" s="4" t="s">
        <v>14</v>
      </c>
      <c r="T993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994" spans="1:20" ht="18" x14ac:dyDescent="0.35">
      <c r="A994" s="3" t="s">
        <v>1037</v>
      </c>
      <c r="B994" s="3" t="str">
        <f>IF(Table1[[#This Row],[Age]]&lt;25,"Under 25",IF(Table1[[#This Row],[Age]]&lt;35,"25-34",IF(Table1[[#This Row],[Age]]&lt;45,"35-44",IF(Table1[[#This Row],[Age]]&lt;55,"45-54","55+"))))</f>
        <v>35-44</v>
      </c>
      <c r="C994" s="3">
        <v>35</v>
      </c>
      <c r="D994" s="3" t="s">
        <v>7</v>
      </c>
      <c r="E994" s="3" t="s">
        <v>51</v>
      </c>
      <c r="F994" s="3" t="s">
        <v>80</v>
      </c>
      <c r="G994" s="3" t="s">
        <v>25</v>
      </c>
      <c r="H994" s="3" t="s">
        <v>42</v>
      </c>
      <c r="I994" s="3">
        <v>45242</v>
      </c>
      <c r="J994" s="3">
        <v>4</v>
      </c>
      <c r="K994" s="3">
        <v>3</v>
      </c>
      <c r="L994" s="3">
        <v>1</v>
      </c>
      <c r="M994" s="3">
        <v>1</v>
      </c>
      <c r="N994" s="3" t="s">
        <v>12</v>
      </c>
      <c r="O994" s="3" t="s">
        <v>26</v>
      </c>
      <c r="P994" s="3">
        <v>3</v>
      </c>
      <c r="Q994" s="3">
        <v>5</v>
      </c>
      <c r="R994" s="4" t="s">
        <v>14</v>
      </c>
      <c r="S994" s="4" t="s">
        <v>14</v>
      </c>
      <c r="T994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995" spans="1:20" ht="18" x14ac:dyDescent="0.35">
      <c r="A995" s="3" t="s">
        <v>1038</v>
      </c>
      <c r="B995" s="3" t="str">
        <f>IF(Table1[[#This Row],[Age]]&lt;25,"Under 25",IF(Table1[[#This Row],[Age]]&lt;35,"25-34",IF(Table1[[#This Row],[Age]]&lt;45,"35-44",IF(Table1[[#This Row],[Age]]&lt;55,"45-54","55+"))))</f>
        <v>25-34</v>
      </c>
      <c r="C995" s="3">
        <v>27</v>
      </c>
      <c r="D995" s="3" t="s">
        <v>22</v>
      </c>
      <c r="E995" s="3" t="s">
        <v>51</v>
      </c>
      <c r="F995" s="3" t="s">
        <v>80</v>
      </c>
      <c r="G995" s="3" t="s">
        <v>18</v>
      </c>
      <c r="H995" s="3" t="s">
        <v>11</v>
      </c>
      <c r="I995" s="3">
        <v>22000</v>
      </c>
      <c r="J995" s="3">
        <v>4</v>
      </c>
      <c r="K995" s="3">
        <v>4</v>
      </c>
      <c r="L995" s="3">
        <v>1</v>
      </c>
      <c r="M995" s="3">
        <v>2</v>
      </c>
      <c r="N995" s="3" t="s">
        <v>14</v>
      </c>
      <c r="O995" s="3" t="s">
        <v>13</v>
      </c>
      <c r="P995" s="3">
        <v>3</v>
      </c>
      <c r="Q995" s="3">
        <v>1</v>
      </c>
      <c r="R995" s="4" t="s">
        <v>14</v>
      </c>
      <c r="S995" s="4" t="s">
        <v>14</v>
      </c>
      <c r="T995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996" spans="1:20" ht="18" x14ac:dyDescent="0.35">
      <c r="A996" s="3" t="s">
        <v>1039</v>
      </c>
      <c r="B996" s="3" t="str">
        <f>IF(Table1[[#This Row],[Age]]&lt;25,"Under 25",IF(Table1[[#This Row],[Age]]&lt;35,"25-34",IF(Table1[[#This Row],[Age]]&lt;45,"35-44",IF(Table1[[#This Row],[Age]]&lt;55,"45-54","55+"))))</f>
        <v>35-44</v>
      </c>
      <c r="C996" s="3">
        <v>44</v>
      </c>
      <c r="D996" s="3" t="s">
        <v>22</v>
      </c>
      <c r="E996" s="3" t="s">
        <v>16</v>
      </c>
      <c r="F996" s="3" t="s">
        <v>47</v>
      </c>
      <c r="G996" s="3" t="s">
        <v>10</v>
      </c>
      <c r="H996" s="3" t="s">
        <v>11</v>
      </c>
      <c r="I996" s="3">
        <v>96895</v>
      </c>
      <c r="J996" s="3">
        <v>23</v>
      </c>
      <c r="K996" s="3">
        <v>4</v>
      </c>
      <c r="L996" s="3">
        <v>2</v>
      </c>
      <c r="M996" s="3">
        <v>3</v>
      </c>
      <c r="N996" s="3" t="s">
        <v>14</v>
      </c>
      <c r="O996" s="3" t="s">
        <v>13</v>
      </c>
      <c r="P996" s="3">
        <v>3</v>
      </c>
      <c r="Q996" s="3">
        <v>6</v>
      </c>
      <c r="R996" s="4" t="s">
        <v>14</v>
      </c>
      <c r="S996" s="4" t="s">
        <v>14</v>
      </c>
      <c r="T996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997" spans="1:20" ht="18" x14ac:dyDescent="0.35">
      <c r="A997" s="3" t="s">
        <v>1040</v>
      </c>
      <c r="B997" s="3" t="str">
        <f>IF(Table1[[#This Row],[Age]]&lt;25,"Under 25",IF(Table1[[#This Row],[Age]]&lt;35,"25-34",IF(Table1[[#This Row],[Age]]&lt;45,"35-44",IF(Table1[[#This Row],[Age]]&lt;55,"45-54","55+"))))</f>
        <v>35-44</v>
      </c>
      <c r="C997" s="3">
        <v>36</v>
      </c>
      <c r="D997" s="3" t="s">
        <v>7</v>
      </c>
      <c r="E997" s="3" t="s">
        <v>8</v>
      </c>
      <c r="F997" s="3" t="s">
        <v>66</v>
      </c>
      <c r="G997" s="3" t="s">
        <v>25</v>
      </c>
      <c r="H997" s="3" t="s">
        <v>11</v>
      </c>
      <c r="I997" s="3">
        <v>26627</v>
      </c>
      <c r="J997" s="3">
        <v>17</v>
      </c>
      <c r="K997" s="3">
        <v>6</v>
      </c>
      <c r="L997" s="3">
        <v>2</v>
      </c>
      <c r="M997" s="3">
        <v>2</v>
      </c>
      <c r="N997" s="3" t="s">
        <v>14</v>
      </c>
      <c r="O997" s="3" t="s">
        <v>13</v>
      </c>
      <c r="P997" s="3">
        <v>3</v>
      </c>
      <c r="Q997" s="3">
        <v>4</v>
      </c>
      <c r="R997" s="4" t="s">
        <v>14</v>
      </c>
      <c r="S997" s="4" t="s">
        <v>14</v>
      </c>
      <c r="T997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998" spans="1:20" ht="18" x14ac:dyDescent="0.35">
      <c r="A998" s="3" t="s">
        <v>1041</v>
      </c>
      <c r="B998" s="3" t="str">
        <f>IF(Table1[[#This Row],[Age]]&lt;25,"Under 25",IF(Table1[[#This Row],[Age]]&lt;35,"25-34",IF(Table1[[#This Row],[Age]]&lt;45,"35-44",IF(Table1[[#This Row],[Age]]&lt;55,"45-54","55+"))))</f>
        <v>25-34</v>
      </c>
      <c r="C998" s="3">
        <v>34</v>
      </c>
      <c r="D998" s="3" t="s">
        <v>22</v>
      </c>
      <c r="E998" s="3" t="s">
        <v>8</v>
      </c>
      <c r="F998" s="3" t="s">
        <v>9</v>
      </c>
      <c r="G998" s="3" t="s">
        <v>10</v>
      </c>
      <c r="H998" s="3" t="s">
        <v>19</v>
      </c>
      <c r="I998" s="3">
        <v>73779</v>
      </c>
      <c r="J998" s="3">
        <v>10</v>
      </c>
      <c r="K998" s="3">
        <v>2</v>
      </c>
      <c r="L998" s="3">
        <v>4</v>
      </c>
      <c r="M998" s="3">
        <v>2</v>
      </c>
      <c r="N998" s="3" t="s">
        <v>14</v>
      </c>
      <c r="O998" s="3" t="s">
        <v>13</v>
      </c>
      <c r="P998" s="3">
        <v>2</v>
      </c>
      <c r="Q998" s="3">
        <v>0</v>
      </c>
      <c r="R998" s="4" t="s">
        <v>14</v>
      </c>
      <c r="S998" s="4" t="s">
        <v>14</v>
      </c>
      <c r="T998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999" spans="1:20" ht="18" x14ac:dyDescent="0.35">
      <c r="A999" s="3" t="s">
        <v>1042</v>
      </c>
      <c r="B999" s="3" t="str">
        <f>IF(Table1[[#This Row],[Age]]&lt;25,"Under 25",IF(Table1[[#This Row],[Age]]&lt;35,"25-34",IF(Table1[[#This Row],[Age]]&lt;45,"35-44",IF(Table1[[#This Row],[Age]]&lt;55,"45-54","55+"))))</f>
        <v>25-34</v>
      </c>
      <c r="C999" s="3">
        <v>30</v>
      </c>
      <c r="D999" s="3" t="s">
        <v>22</v>
      </c>
      <c r="E999" s="3" t="s">
        <v>31</v>
      </c>
      <c r="F999" s="3" t="s">
        <v>32</v>
      </c>
      <c r="G999" s="3" t="s">
        <v>10</v>
      </c>
      <c r="H999" s="3" t="s">
        <v>11</v>
      </c>
      <c r="I999" s="3">
        <v>71962</v>
      </c>
      <c r="J999" s="3">
        <v>10</v>
      </c>
      <c r="K999" s="3">
        <v>2</v>
      </c>
      <c r="L999" s="3">
        <v>3</v>
      </c>
      <c r="M999" s="3">
        <v>3</v>
      </c>
      <c r="N999" s="3" t="s">
        <v>14</v>
      </c>
      <c r="O999" s="3" t="s">
        <v>20</v>
      </c>
      <c r="P999" s="3">
        <v>3</v>
      </c>
      <c r="Q999" s="3">
        <v>5</v>
      </c>
      <c r="R999" s="4" t="s">
        <v>12</v>
      </c>
      <c r="S999" s="4" t="s">
        <v>14</v>
      </c>
      <c r="T999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1000" spans="1:20" ht="18" x14ac:dyDescent="0.35">
      <c r="A1000" s="3" t="s">
        <v>1043</v>
      </c>
      <c r="B1000" s="3" t="str">
        <f>IF(Table1[[#This Row],[Age]]&lt;25,"Under 25",IF(Table1[[#This Row],[Age]]&lt;35,"25-34",IF(Table1[[#This Row],[Age]]&lt;45,"35-44",IF(Table1[[#This Row],[Age]]&lt;55,"45-54","55+"))))</f>
        <v>35-44</v>
      </c>
      <c r="C1000" s="3">
        <v>36</v>
      </c>
      <c r="D1000" s="3" t="s">
        <v>7</v>
      </c>
      <c r="E1000" s="3" t="s">
        <v>34</v>
      </c>
      <c r="F1000" s="3" t="s">
        <v>54</v>
      </c>
      <c r="G1000" s="3" t="s">
        <v>10</v>
      </c>
      <c r="H1000" s="3" t="s">
        <v>19</v>
      </c>
      <c r="I1000" s="3">
        <v>22000</v>
      </c>
      <c r="J1000" s="3">
        <v>4</v>
      </c>
      <c r="K1000" s="3">
        <v>4</v>
      </c>
      <c r="L1000" s="3">
        <v>3</v>
      </c>
      <c r="M1000" s="3">
        <v>4</v>
      </c>
      <c r="N1000" s="3" t="s">
        <v>14</v>
      </c>
      <c r="O1000" s="3" t="s">
        <v>20</v>
      </c>
      <c r="P1000" s="3">
        <v>3</v>
      </c>
      <c r="Q1000" s="3">
        <v>6</v>
      </c>
      <c r="R1000" s="4" t="s">
        <v>14</v>
      </c>
      <c r="S1000" s="4" t="s">
        <v>14</v>
      </c>
      <c r="T1000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1001" spans="1:20" ht="18" x14ac:dyDescent="0.35">
      <c r="A1001" s="3" t="s">
        <v>1044</v>
      </c>
      <c r="B1001" s="3" t="str">
        <f>IF(Table1[[#This Row],[Age]]&lt;25,"Under 25",IF(Table1[[#This Row],[Age]]&lt;35,"25-34",IF(Table1[[#This Row],[Age]]&lt;45,"35-44",IF(Table1[[#This Row],[Age]]&lt;55,"45-54","55+"))))</f>
        <v>35-44</v>
      </c>
      <c r="C1001" s="3">
        <v>42</v>
      </c>
      <c r="D1001" s="3" t="s">
        <v>7</v>
      </c>
      <c r="E1001" s="3" t="s">
        <v>51</v>
      </c>
      <c r="F1001" s="3" t="s">
        <v>80</v>
      </c>
      <c r="G1001" s="3" t="s">
        <v>25</v>
      </c>
      <c r="H1001" s="3" t="s">
        <v>19</v>
      </c>
      <c r="I1001" s="3">
        <v>71349</v>
      </c>
      <c r="J1001" s="3">
        <v>23</v>
      </c>
      <c r="K1001" s="3">
        <v>0</v>
      </c>
      <c r="L1001" s="3">
        <v>3</v>
      </c>
      <c r="M1001" s="3">
        <v>3</v>
      </c>
      <c r="N1001" s="3" t="s">
        <v>14</v>
      </c>
      <c r="O1001" s="3" t="s">
        <v>13</v>
      </c>
      <c r="P1001" s="3">
        <v>2</v>
      </c>
      <c r="Q1001" s="3">
        <v>6</v>
      </c>
      <c r="R1001" s="4" t="s">
        <v>12</v>
      </c>
      <c r="S1001" s="4" t="s">
        <v>14</v>
      </c>
      <c r="T1001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1002" spans="1:20" ht="18" x14ac:dyDescent="0.35">
      <c r="A1002" s="3" t="s">
        <v>1045</v>
      </c>
      <c r="B1002" s="3" t="str">
        <f>IF(Table1[[#This Row],[Age]]&lt;25,"Under 25",IF(Table1[[#This Row],[Age]]&lt;35,"25-34",IF(Table1[[#This Row],[Age]]&lt;45,"35-44",IF(Table1[[#This Row],[Age]]&lt;55,"45-54","55+"))))</f>
        <v>25-34</v>
      </c>
      <c r="C1002" s="3">
        <v>29</v>
      </c>
      <c r="D1002" s="3" t="s">
        <v>7</v>
      </c>
      <c r="E1002" s="3" t="s">
        <v>8</v>
      </c>
      <c r="F1002" s="3" t="s">
        <v>66</v>
      </c>
      <c r="G1002" s="3" t="s">
        <v>25</v>
      </c>
      <c r="H1002" s="3" t="s">
        <v>19</v>
      </c>
      <c r="I1002" s="3">
        <v>54294</v>
      </c>
      <c r="J1002" s="3">
        <v>6</v>
      </c>
      <c r="K1002" s="3">
        <v>4</v>
      </c>
      <c r="L1002" s="3">
        <v>4</v>
      </c>
      <c r="M1002" s="3">
        <v>2</v>
      </c>
      <c r="N1002" s="3" t="s">
        <v>14</v>
      </c>
      <c r="O1002" s="3" t="s">
        <v>13</v>
      </c>
      <c r="P1002" s="3">
        <v>2</v>
      </c>
      <c r="Q1002" s="3">
        <v>5</v>
      </c>
      <c r="R1002" s="4" t="s">
        <v>14</v>
      </c>
      <c r="S1002" s="4" t="s">
        <v>14</v>
      </c>
      <c r="T1002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1003" spans="1:20" ht="18" x14ac:dyDescent="0.35">
      <c r="A1003" s="3" t="s">
        <v>1046</v>
      </c>
      <c r="B1003" s="3" t="str">
        <f>IF(Table1[[#This Row],[Age]]&lt;25,"Under 25",IF(Table1[[#This Row],[Age]]&lt;35,"25-34",IF(Table1[[#This Row],[Age]]&lt;45,"35-44",IF(Table1[[#This Row],[Age]]&lt;55,"45-54","55+"))))</f>
        <v>25-34</v>
      </c>
      <c r="C1003" s="3">
        <v>33</v>
      </c>
      <c r="D1003" s="3" t="s">
        <v>22</v>
      </c>
      <c r="E1003" s="3" t="s">
        <v>38</v>
      </c>
      <c r="F1003" s="3" t="s">
        <v>89</v>
      </c>
      <c r="G1003" s="3" t="s">
        <v>25</v>
      </c>
      <c r="H1003" s="3" t="s">
        <v>19</v>
      </c>
      <c r="I1003" s="3">
        <v>92635</v>
      </c>
      <c r="J1003" s="3">
        <v>15</v>
      </c>
      <c r="K1003" s="3">
        <v>10</v>
      </c>
      <c r="L1003" s="3">
        <v>3</v>
      </c>
      <c r="M1003" s="3">
        <v>4</v>
      </c>
      <c r="N1003" s="3" t="s">
        <v>14</v>
      </c>
      <c r="O1003" s="3" t="s">
        <v>13</v>
      </c>
      <c r="P1003" s="3">
        <v>3</v>
      </c>
      <c r="Q1003" s="3">
        <v>5</v>
      </c>
      <c r="R1003" s="4" t="s">
        <v>12</v>
      </c>
      <c r="S1003" s="4" t="s">
        <v>14</v>
      </c>
      <c r="T1003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1004" spans="1:20" ht="18" x14ac:dyDescent="0.35">
      <c r="A1004" s="3" t="s">
        <v>1047</v>
      </c>
      <c r="B1004" s="3" t="str">
        <f>IF(Table1[[#This Row],[Age]]&lt;25,"Under 25",IF(Table1[[#This Row],[Age]]&lt;35,"25-34",IF(Table1[[#This Row],[Age]]&lt;45,"35-44",IF(Table1[[#This Row],[Age]]&lt;55,"45-54","55+"))))</f>
        <v>25-34</v>
      </c>
      <c r="C1004" s="3">
        <v>29</v>
      </c>
      <c r="D1004" s="3" t="s">
        <v>7</v>
      </c>
      <c r="E1004" s="3" t="s">
        <v>34</v>
      </c>
      <c r="F1004" s="3" t="s">
        <v>91</v>
      </c>
      <c r="G1004" s="3" t="s">
        <v>10</v>
      </c>
      <c r="H1004" s="3" t="s">
        <v>11</v>
      </c>
      <c r="I1004" s="3">
        <v>79870</v>
      </c>
      <c r="J1004" s="3">
        <v>6</v>
      </c>
      <c r="K1004" s="3">
        <v>4</v>
      </c>
      <c r="L1004" s="3">
        <v>1</v>
      </c>
      <c r="M1004" s="3">
        <v>4</v>
      </c>
      <c r="N1004" s="3" t="s">
        <v>14</v>
      </c>
      <c r="O1004" s="3" t="s">
        <v>13</v>
      </c>
      <c r="P1004" s="3">
        <v>3</v>
      </c>
      <c r="Q1004" s="3">
        <v>4</v>
      </c>
      <c r="R1004" s="4" t="s">
        <v>14</v>
      </c>
      <c r="S1004" s="4" t="s">
        <v>14</v>
      </c>
      <c r="T1004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1005" spans="1:20" ht="18" x14ac:dyDescent="0.35">
      <c r="A1005" s="3" t="s">
        <v>1048</v>
      </c>
      <c r="B1005" s="3" t="str">
        <f>IF(Table1[[#This Row],[Age]]&lt;25,"Under 25",IF(Table1[[#This Row],[Age]]&lt;35,"25-34",IF(Table1[[#This Row],[Age]]&lt;45,"35-44",IF(Table1[[#This Row],[Age]]&lt;55,"45-54","55+"))))</f>
        <v>35-44</v>
      </c>
      <c r="C1005" s="3">
        <v>37</v>
      </c>
      <c r="D1005" s="3" t="s">
        <v>7</v>
      </c>
      <c r="E1005" s="3" t="s">
        <v>8</v>
      </c>
      <c r="F1005" s="3" t="s">
        <v>66</v>
      </c>
      <c r="G1005" s="3" t="s">
        <v>25</v>
      </c>
      <c r="H1005" s="3" t="s">
        <v>11</v>
      </c>
      <c r="I1005" s="3">
        <v>29811</v>
      </c>
      <c r="J1005" s="3">
        <v>2</v>
      </c>
      <c r="K1005" s="3">
        <v>2</v>
      </c>
      <c r="L1005" s="3">
        <v>2</v>
      </c>
      <c r="M1005" s="3">
        <v>2</v>
      </c>
      <c r="N1005" s="3" t="s">
        <v>14</v>
      </c>
      <c r="O1005" s="3" t="s">
        <v>13</v>
      </c>
      <c r="P1005" s="3">
        <v>3</v>
      </c>
      <c r="Q1005" s="3">
        <v>6</v>
      </c>
      <c r="R1005" s="4" t="s">
        <v>14</v>
      </c>
      <c r="S1005" s="4" t="s">
        <v>12</v>
      </c>
      <c r="T1005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1006" spans="1:20" ht="18" x14ac:dyDescent="0.35">
      <c r="A1006" s="3" t="s">
        <v>1049</v>
      </c>
      <c r="B1006" s="3" t="str">
        <f>IF(Table1[[#This Row],[Age]]&lt;25,"Under 25",IF(Table1[[#This Row],[Age]]&lt;35,"25-34",IF(Table1[[#This Row],[Age]]&lt;45,"35-44",IF(Table1[[#This Row],[Age]]&lt;55,"45-54","55+"))))</f>
        <v>35-44</v>
      </c>
      <c r="C1006" s="3">
        <v>41</v>
      </c>
      <c r="D1006" s="3" t="s">
        <v>7</v>
      </c>
      <c r="E1006" s="3" t="s">
        <v>34</v>
      </c>
      <c r="F1006" s="3" t="s">
        <v>91</v>
      </c>
      <c r="G1006" s="3" t="s">
        <v>10</v>
      </c>
      <c r="H1006" s="3" t="s">
        <v>19</v>
      </c>
      <c r="I1006" s="3">
        <v>46982</v>
      </c>
      <c r="J1006" s="3">
        <v>10</v>
      </c>
      <c r="K1006" s="3">
        <v>7</v>
      </c>
      <c r="L1006" s="3">
        <v>2</v>
      </c>
      <c r="M1006" s="3">
        <v>3</v>
      </c>
      <c r="N1006" s="3" t="s">
        <v>14</v>
      </c>
      <c r="O1006" s="3" t="s">
        <v>13</v>
      </c>
      <c r="P1006" s="3">
        <v>3</v>
      </c>
      <c r="Q1006" s="3">
        <v>4</v>
      </c>
      <c r="R1006" s="4" t="s">
        <v>14</v>
      </c>
      <c r="S1006" s="4" t="s">
        <v>14</v>
      </c>
      <c r="T1006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1007" spans="1:20" ht="18" x14ac:dyDescent="0.35">
      <c r="A1007" s="3" t="s">
        <v>1050</v>
      </c>
      <c r="B1007" s="3" t="str">
        <f>IF(Table1[[#This Row],[Age]]&lt;25,"Under 25",IF(Table1[[#This Row],[Age]]&lt;35,"25-34",IF(Table1[[#This Row],[Age]]&lt;45,"35-44",IF(Table1[[#This Row],[Age]]&lt;55,"45-54","55+"))))</f>
        <v>35-44</v>
      </c>
      <c r="C1007" s="3">
        <v>38</v>
      </c>
      <c r="D1007" s="3" t="s">
        <v>22</v>
      </c>
      <c r="E1007" s="3" t="s">
        <v>8</v>
      </c>
      <c r="F1007" s="3" t="s">
        <v>9</v>
      </c>
      <c r="G1007" s="3" t="s">
        <v>10</v>
      </c>
      <c r="H1007" s="3" t="s">
        <v>42</v>
      </c>
      <c r="I1007" s="3">
        <v>25649</v>
      </c>
      <c r="J1007" s="3">
        <v>4</v>
      </c>
      <c r="K1007" s="3">
        <v>3</v>
      </c>
      <c r="L1007" s="3">
        <v>3</v>
      </c>
      <c r="M1007" s="3">
        <v>4</v>
      </c>
      <c r="N1007" s="3" t="s">
        <v>14</v>
      </c>
      <c r="O1007" s="3" t="s">
        <v>20</v>
      </c>
      <c r="P1007" s="3">
        <v>4</v>
      </c>
      <c r="Q1007" s="3">
        <v>3</v>
      </c>
      <c r="R1007" s="4" t="s">
        <v>14</v>
      </c>
      <c r="S1007" s="4" t="s">
        <v>14</v>
      </c>
      <c r="T1007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1008" spans="1:20" ht="18" x14ac:dyDescent="0.35">
      <c r="A1008" s="3" t="s">
        <v>1051</v>
      </c>
      <c r="B1008" s="3" t="str">
        <f>IF(Table1[[#This Row],[Age]]&lt;25,"Under 25",IF(Table1[[#This Row],[Age]]&lt;35,"25-34",IF(Table1[[#This Row],[Age]]&lt;45,"35-44",IF(Table1[[#This Row],[Age]]&lt;55,"45-54","55+"))))</f>
        <v>45-54</v>
      </c>
      <c r="C1008" s="3">
        <v>45</v>
      </c>
      <c r="D1008" s="3" t="s">
        <v>22</v>
      </c>
      <c r="E1008" s="3" t="s">
        <v>16</v>
      </c>
      <c r="F1008" s="3" t="s">
        <v>17</v>
      </c>
      <c r="G1008" s="3" t="s">
        <v>45</v>
      </c>
      <c r="H1008" s="3" t="s">
        <v>11</v>
      </c>
      <c r="I1008" s="3">
        <v>70986</v>
      </c>
      <c r="J1008" s="3">
        <v>16</v>
      </c>
      <c r="K1008" s="3">
        <v>4</v>
      </c>
      <c r="L1008" s="3">
        <v>4</v>
      </c>
      <c r="M1008" s="3">
        <v>1</v>
      </c>
      <c r="N1008" s="3" t="s">
        <v>14</v>
      </c>
      <c r="O1008" s="3" t="s">
        <v>13</v>
      </c>
      <c r="P1008" s="3">
        <v>3</v>
      </c>
      <c r="Q1008" s="3">
        <v>3</v>
      </c>
      <c r="R1008" s="4" t="s">
        <v>14</v>
      </c>
      <c r="S1008" s="4" t="s">
        <v>14</v>
      </c>
      <c r="T1008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1009" spans="1:20" ht="18" x14ac:dyDescent="0.35">
      <c r="A1009" s="3" t="s">
        <v>1052</v>
      </c>
      <c r="B1009" s="3" t="str">
        <f>IF(Table1[[#This Row],[Age]]&lt;25,"Under 25",IF(Table1[[#This Row],[Age]]&lt;35,"25-34",IF(Table1[[#This Row],[Age]]&lt;45,"35-44",IF(Table1[[#This Row],[Age]]&lt;55,"45-54","55+"))))</f>
        <v>35-44</v>
      </c>
      <c r="C1009" s="3">
        <v>36</v>
      </c>
      <c r="D1009" s="3" t="s">
        <v>7</v>
      </c>
      <c r="E1009" s="3" t="s">
        <v>38</v>
      </c>
      <c r="F1009" s="3" t="s">
        <v>39</v>
      </c>
      <c r="G1009" s="3" t="s">
        <v>25</v>
      </c>
      <c r="H1009" s="3" t="s">
        <v>19</v>
      </c>
      <c r="I1009" s="3">
        <v>33510</v>
      </c>
      <c r="J1009" s="3">
        <v>3</v>
      </c>
      <c r="K1009" s="3">
        <v>3</v>
      </c>
      <c r="L1009" s="3">
        <v>3</v>
      </c>
      <c r="M1009" s="3">
        <v>2</v>
      </c>
      <c r="N1009" s="3" t="s">
        <v>14</v>
      </c>
      <c r="O1009" s="3" t="s">
        <v>20</v>
      </c>
      <c r="P1009" s="3">
        <v>3</v>
      </c>
      <c r="Q1009" s="3">
        <v>3</v>
      </c>
      <c r="R1009" s="4" t="s">
        <v>14</v>
      </c>
      <c r="S1009" s="4" t="s">
        <v>14</v>
      </c>
      <c r="T1009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1010" spans="1:20" ht="18" x14ac:dyDescent="0.35">
      <c r="A1010" s="3" t="s">
        <v>1053</v>
      </c>
      <c r="B1010" s="3" t="str">
        <f>IF(Table1[[#This Row],[Age]]&lt;25,"Under 25",IF(Table1[[#This Row],[Age]]&lt;35,"25-34",IF(Table1[[#This Row],[Age]]&lt;45,"35-44",IF(Table1[[#This Row],[Age]]&lt;55,"45-54","55+"))))</f>
        <v>35-44</v>
      </c>
      <c r="C1010" s="3">
        <v>37</v>
      </c>
      <c r="D1010" s="3" t="s">
        <v>7</v>
      </c>
      <c r="E1010" s="3" t="s">
        <v>38</v>
      </c>
      <c r="F1010" s="3" t="s">
        <v>59</v>
      </c>
      <c r="G1010" s="3" t="s">
        <v>18</v>
      </c>
      <c r="H1010" s="3" t="s">
        <v>11</v>
      </c>
      <c r="I1010" s="3">
        <v>73847</v>
      </c>
      <c r="J1010" s="3">
        <v>2</v>
      </c>
      <c r="K1010" s="3">
        <v>2</v>
      </c>
      <c r="L1010" s="3">
        <v>3</v>
      </c>
      <c r="M1010" s="3">
        <v>2</v>
      </c>
      <c r="N1010" s="3" t="s">
        <v>12</v>
      </c>
      <c r="O1010" s="3" t="s">
        <v>13</v>
      </c>
      <c r="P1010" s="3">
        <v>3</v>
      </c>
      <c r="Q1010" s="3">
        <v>2</v>
      </c>
      <c r="R1010" s="4" t="s">
        <v>14</v>
      </c>
      <c r="S1010" s="4" t="s">
        <v>14</v>
      </c>
      <c r="T1010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1011" spans="1:20" ht="18" x14ac:dyDescent="0.35">
      <c r="A1011" s="3" t="s">
        <v>1054</v>
      </c>
      <c r="B1011" s="3" t="str">
        <f>IF(Table1[[#This Row],[Age]]&lt;25,"Under 25",IF(Table1[[#This Row],[Age]]&lt;35,"25-34",IF(Table1[[#This Row],[Age]]&lt;45,"35-44",IF(Table1[[#This Row],[Age]]&lt;55,"45-54","55+"))))</f>
        <v>25-34</v>
      </c>
      <c r="C1011" s="3">
        <v>27</v>
      </c>
      <c r="D1011" s="3" t="s">
        <v>7</v>
      </c>
      <c r="E1011" s="3" t="s">
        <v>51</v>
      </c>
      <c r="F1011" s="3" t="s">
        <v>80</v>
      </c>
      <c r="G1011" s="3" t="s">
        <v>25</v>
      </c>
      <c r="H1011" s="3" t="s">
        <v>19</v>
      </c>
      <c r="I1011" s="3">
        <v>99610</v>
      </c>
      <c r="J1011" s="3">
        <v>0</v>
      </c>
      <c r="K1011" s="3">
        <v>0</v>
      </c>
      <c r="L1011" s="3">
        <v>2</v>
      </c>
      <c r="M1011" s="3">
        <v>2</v>
      </c>
      <c r="N1011" s="3" t="s">
        <v>14</v>
      </c>
      <c r="O1011" s="3" t="s">
        <v>13</v>
      </c>
      <c r="P1011" s="3">
        <v>3</v>
      </c>
      <c r="Q1011" s="3">
        <v>4</v>
      </c>
      <c r="R1011" s="4" t="s">
        <v>14</v>
      </c>
      <c r="S1011" s="4" t="s">
        <v>12</v>
      </c>
      <c r="T1011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Less than 1 Year</v>
      </c>
    </row>
    <row r="1012" spans="1:20" ht="18" x14ac:dyDescent="0.35">
      <c r="A1012" s="3" t="s">
        <v>1055</v>
      </c>
      <c r="B1012" s="3" t="str">
        <f>IF(Table1[[#This Row],[Age]]&lt;25,"Under 25",IF(Table1[[#This Row],[Age]]&lt;35,"25-34",IF(Table1[[#This Row],[Age]]&lt;45,"35-44",IF(Table1[[#This Row],[Age]]&lt;55,"45-54","55+"))))</f>
        <v>55+</v>
      </c>
      <c r="C1012" s="3">
        <v>56</v>
      </c>
      <c r="D1012" s="3" t="s">
        <v>7</v>
      </c>
      <c r="E1012" s="3" t="s">
        <v>8</v>
      </c>
      <c r="F1012" s="3" t="s">
        <v>23</v>
      </c>
      <c r="G1012" s="3" t="s">
        <v>10</v>
      </c>
      <c r="H1012" s="3" t="s">
        <v>11</v>
      </c>
      <c r="I1012" s="3">
        <v>80558</v>
      </c>
      <c r="J1012" s="3">
        <v>2</v>
      </c>
      <c r="K1012" s="3">
        <v>0</v>
      </c>
      <c r="L1012" s="3">
        <v>3</v>
      </c>
      <c r="M1012" s="3">
        <v>3</v>
      </c>
      <c r="N1012" s="3" t="s">
        <v>12</v>
      </c>
      <c r="O1012" s="3" t="s">
        <v>26</v>
      </c>
      <c r="P1012" s="3">
        <v>3</v>
      </c>
      <c r="Q1012" s="3">
        <v>3</v>
      </c>
      <c r="R1012" s="4" t="s">
        <v>14</v>
      </c>
      <c r="S1012" s="4" t="s">
        <v>12</v>
      </c>
      <c r="T1012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1013" spans="1:20" ht="18" x14ac:dyDescent="0.35">
      <c r="A1013" s="3" t="s">
        <v>1056</v>
      </c>
      <c r="B1013" s="3" t="str">
        <f>IF(Table1[[#This Row],[Age]]&lt;25,"Under 25",IF(Table1[[#This Row],[Age]]&lt;35,"25-34",IF(Table1[[#This Row],[Age]]&lt;45,"35-44",IF(Table1[[#This Row],[Age]]&lt;55,"45-54","55+"))))</f>
        <v>35-44</v>
      </c>
      <c r="C1013" s="3">
        <v>40</v>
      </c>
      <c r="D1013" s="3" t="s">
        <v>22</v>
      </c>
      <c r="E1013" s="3" t="s">
        <v>38</v>
      </c>
      <c r="F1013" s="3" t="s">
        <v>89</v>
      </c>
      <c r="G1013" s="3" t="s">
        <v>10</v>
      </c>
      <c r="H1013" s="3" t="s">
        <v>11</v>
      </c>
      <c r="I1013" s="3">
        <v>78333</v>
      </c>
      <c r="J1013" s="3">
        <v>11</v>
      </c>
      <c r="K1013" s="3">
        <v>4</v>
      </c>
      <c r="L1013" s="3">
        <v>2</v>
      </c>
      <c r="M1013" s="3">
        <v>3</v>
      </c>
      <c r="N1013" s="3" t="s">
        <v>12</v>
      </c>
      <c r="O1013" s="3" t="s">
        <v>20</v>
      </c>
      <c r="P1013" s="3">
        <v>4</v>
      </c>
      <c r="Q1013" s="3">
        <v>3</v>
      </c>
      <c r="R1013" s="4" t="s">
        <v>14</v>
      </c>
      <c r="S1013" s="4" t="s">
        <v>12</v>
      </c>
      <c r="T1013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1014" spans="1:20" ht="18" x14ac:dyDescent="0.35">
      <c r="A1014" s="3" t="s">
        <v>1057</v>
      </c>
      <c r="B1014" s="3" t="str">
        <f>IF(Table1[[#This Row],[Age]]&lt;25,"Under 25",IF(Table1[[#This Row],[Age]]&lt;35,"25-34",IF(Table1[[#This Row],[Age]]&lt;45,"35-44",IF(Table1[[#This Row],[Age]]&lt;55,"45-54","55+"))))</f>
        <v>25-34</v>
      </c>
      <c r="C1014" s="3">
        <v>26</v>
      </c>
      <c r="D1014" s="3" t="s">
        <v>22</v>
      </c>
      <c r="E1014" s="3" t="s">
        <v>16</v>
      </c>
      <c r="F1014" s="3" t="s">
        <v>17</v>
      </c>
      <c r="G1014" s="3" t="s">
        <v>10</v>
      </c>
      <c r="H1014" s="3" t="s">
        <v>19</v>
      </c>
      <c r="I1014" s="3">
        <v>81179</v>
      </c>
      <c r="J1014" s="3">
        <v>7</v>
      </c>
      <c r="K1014" s="3">
        <v>1</v>
      </c>
      <c r="L1014" s="3">
        <v>3</v>
      </c>
      <c r="M1014" s="3">
        <v>3</v>
      </c>
      <c r="N1014" s="3" t="s">
        <v>14</v>
      </c>
      <c r="O1014" s="3" t="s">
        <v>13</v>
      </c>
      <c r="P1014" s="3">
        <v>2</v>
      </c>
      <c r="Q1014" s="3">
        <v>3</v>
      </c>
      <c r="R1014" s="4" t="s">
        <v>14</v>
      </c>
      <c r="S1014" s="4" t="s">
        <v>14</v>
      </c>
      <c r="T1014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1015" spans="1:20" ht="18" x14ac:dyDescent="0.35">
      <c r="A1015" s="3" t="s">
        <v>1058</v>
      </c>
      <c r="B1015" s="3" t="str">
        <f>IF(Table1[[#This Row],[Age]]&lt;25,"Under 25",IF(Table1[[#This Row],[Age]]&lt;35,"25-34",IF(Table1[[#This Row],[Age]]&lt;45,"35-44",IF(Table1[[#This Row],[Age]]&lt;55,"45-54","55+"))))</f>
        <v>35-44</v>
      </c>
      <c r="C1015" s="3">
        <v>43</v>
      </c>
      <c r="D1015" s="3" t="s">
        <v>7</v>
      </c>
      <c r="E1015" s="3" t="s">
        <v>51</v>
      </c>
      <c r="F1015" s="3" t="s">
        <v>72</v>
      </c>
      <c r="G1015" s="3" t="s">
        <v>25</v>
      </c>
      <c r="H1015" s="3" t="s">
        <v>19</v>
      </c>
      <c r="I1015" s="3">
        <v>75345</v>
      </c>
      <c r="J1015" s="3">
        <v>18</v>
      </c>
      <c r="K1015" s="3">
        <v>2</v>
      </c>
      <c r="L1015" s="3">
        <v>1</v>
      </c>
      <c r="M1015" s="3">
        <v>3</v>
      </c>
      <c r="N1015" s="3" t="s">
        <v>12</v>
      </c>
      <c r="O1015" s="3" t="s">
        <v>26</v>
      </c>
      <c r="P1015" s="3">
        <v>3</v>
      </c>
      <c r="Q1015" s="3">
        <v>3</v>
      </c>
      <c r="R1015" s="4" t="s">
        <v>14</v>
      </c>
      <c r="S1015" s="4" t="s">
        <v>14</v>
      </c>
      <c r="T1015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1016" spans="1:20" ht="18" x14ac:dyDescent="0.35">
      <c r="A1016" s="3" t="s">
        <v>1059</v>
      </c>
      <c r="B1016" s="3" t="str">
        <f>IF(Table1[[#This Row],[Age]]&lt;25,"Under 25",IF(Table1[[#This Row],[Age]]&lt;35,"25-34",IF(Table1[[#This Row],[Age]]&lt;45,"35-44",IF(Table1[[#This Row],[Age]]&lt;55,"45-54","55+"))))</f>
        <v>45-54</v>
      </c>
      <c r="C1016" s="3">
        <v>52</v>
      </c>
      <c r="D1016" s="3" t="s">
        <v>7</v>
      </c>
      <c r="E1016" s="3" t="s">
        <v>8</v>
      </c>
      <c r="F1016" s="3" t="s">
        <v>23</v>
      </c>
      <c r="G1016" s="3" t="s">
        <v>25</v>
      </c>
      <c r="H1016" s="3" t="s">
        <v>11</v>
      </c>
      <c r="I1016" s="3">
        <v>22000</v>
      </c>
      <c r="J1016" s="3">
        <v>13</v>
      </c>
      <c r="K1016" s="3">
        <v>10</v>
      </c>
      <c r="L1016" s="3">
        <v>4</v>
      </c>
      <c r="M1016" s="3">
        <v>2</v>
      </c>
      <c r="N1016" s="3" t="s">
        <v>14</v>
      </c>
      <c r="O1016" s="3" t="s">
        <v>13</v>
      </c>
      <c r="P1016" s="3">
        <v>3</v>
      </c>
      <c r="Q1016" s="3">
        <v>6</v>
      </c>
      <c r="R1016" s="4" t="s">
        <v>14</v>
      </c>
      <c r="S1016" s="4" t="s">
        <v>14</v>
      </c>
      <c r="T1016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1017" spans="1:20" ht="18" x14ac:dyDescent="0.35">
      <c r="A1017" s="3" t="s">
        <v>1060</v>
      </c>
      <c r="B1017" s="3" t="str">
        <f>IF(Table1[[#This Row],[Age]]&lt;25,"Under 25",IF(Table1[[#This Row],[Age]]&lt;35,"25-34",IF(Table1[[#This Row],[Age]]&lt;45,"35-44",IF(Table1[[#This Row],[Age]]&lt;55,"45-54","55+"))))</f>
        <v>25-34</v>
      </c>
      <c r="C1017" s="3">
        <v>33</v>
      </c>
      <c r="D1017" s="3" t="s">
        <v>7</v>
      </c>
      <c r="E1017" s="3" t="s">
        <v>51</v>
      </c>
      <c r="F1017" s="3" t="s">
        <v>72</v>
      </c>
      <c r="G1017" s="3" t="s">
        <v>25</v>
      </c>
      <c r="H1017" s="3" t="s">
        <v>11</v>
      </c>
      <c r="I1017" s="3">
        <v>51904</v>
      </c>
      <c r="J1017" s="3">
        <v>13</v>
      </c>
      <c r="K1017" s="3">
        <v>10</v>
      </c>
      <c r="L1017" s="3">
        <v>4</v>
      </c>
      <c r="M1017" s="3">
        <v>4</v>
      </c>
      <c r="N1017" s="3" t="s">
        <v>14</v>
      </c>
      <c r="O1017" s="3" t="s">
        <v>13</v>
      </c>
      <c r="P1017" s="3">
        <v>4</v>
      </c>
      <c r="Q1017" s="3">
        <v>6</v>
      </c>
      <c r="R1017" s="4" t="s">
        <v>14</v>
      </c>
      <c r="S1017" s="4" t="s">
        <v>14</v>
      </c>
      <c r="T1017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1018" spans="1:20" ht="18" x14ac:dyDescent="0.35">
      <c r="A1018" s="3" t="s">
        <v>1061</v>
      </c>
      <c r="B1018" s="3" t="str">
        <f>IF(Table1[[#This Row],[Age]]&lt;25,"Under 25",IF(Table1[[#This Row],[Age]]&lt;35,"25-34",IF(Table1[[#This Row],[Age]]&lt;45,"35-44",IF(Table1[[#This Row],[Age]]&lt;55,"45-54","55+"))))</f>
        <v>25-34</v>
      </c>
      <c r="C1018" s="3">
        <v>33</v>
      </c>
      <c r="D1018" s="3" t="s">
        <v>7</v>
      </c>
      <c r="E1018" s="3" t="s">
        <v>38</v>
      </c>
      <c r="F1018" s="3" t="s">
        <v>89</v>
      </c>
      <c r="G1018" s="3" t="s">
        <v>25</v>
      </c>
      <c r="H1018" s="3" t="s">
        <v>19</v>
      </c>
      <c r="I1018" s="3">
        <v>75457</v>
      </c>
      <c r="J1018" s="3">
        <v>12</v>
      </c>
      <c r="K1018" s="3">
        <v>12</v>
      </c>
      <c r="L1018" s="3">
        <v>3</v>
      </c>
      <c r="M1018" s="3">
        <v>3</v>
      </c>
      <c r="N1018" s="3" t="s">
        <v>14</v>
      </c>
      <c r="O1018" s="3" t="s">
        <v>13</v>
      </c>
      <c r="P1018" s="3">
        <v>3</v>
      </c>
      <c r="Q1018" s="3">
        <v>6</v>
      </c>
      <c r="R1018" s="4" t="s">
        <v>14</v>
      </c>
      <c r="S1018" s="4" t="s">
        <v>14</v>
      </c>
      <c r="T1018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1019" spans="1:20" ht="18" x14ac:dyDescent="0.35">
      <c r="A1019" s="3" t="s">
        <v>1062</v>
      </c>
      <c r="B1019" s="3" t="str">
        <f>IF(Table1[[#This Row],[Age]]&lt;25,"Under 25",IF(Table1[[#This Row],[Age]]&lt;35,"25-34",IF(Table1[[#This Row],[Age]]&lt;45,"35-44",IF(Table1[[#This Row],[Age]]&lt;55,"45-54","55+"))))</f>
        <v>35-44</v>
      </c>
      <c r="C1019" s="3">
        <v>36</v>
      </c>
      <c r="D1019" s="3" t="s">
        <v>7</v>
      </c>
      <c r="E1019" s="3" t="s">
        <v>34</v>
      </c>
      <c r="F1019" s="3" t="s">
        <v>91</v>
      </c>
      <c r="G1019" s="3" t="s">
        <v>10</v>
      </c>
      <c r="H1019" s="3" t="s">
        <v>11</v>
      </c>
      <c r="I1019" s="3">
        <v>59650</v>
      </c>
      <c r="J1019" s="3">
        <v>17</v>
      </c>
      <c r="K1019" s="3">
        <v>9</v>
      </c>
      <c r="L1019" s="3">
        <v>2</v>
      </c>
      <c r="M1019" s="3">
        <v>4</v>
      </c>
      <c r="N1019" s="3" t="s">
        <v>14</v>
      </c>
      <c r="O1019" s="3" t="s">
        <v>13</v>
      </c>
      <c r="P1019" s="3">
        <v>3</v>
      </c>
      <c r="Q1019" s="3">
        <v>1</v>
      </c>
      <c r="R1019" s="4" t="s">
        <v>12</v>
      </c>
      <c r="S1019" s="4" t="s">
        <v>14</v>
      </c>
      <c r="T1019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1020" spans="1:20" ht="18" x14ac:dyDescent="0.35">
      <c r="A1020" s="3" t="s">
        <v>1063</v>
      </c>
      <c r="B1020" s="3" t="str">
        <f>IF(Table1[[#This Row],[Age]]&lt;25,"Under 25",IF(Table1[[#This Row],[Age]]&lt;35,"25-34",IF(Table1[[#This Row],[Age]]&lt;45,"35-44",IF(Table1[[#This Row],[Age]]&lt;55,"45-54","55+"))))</f>
        <v>35-44</v>
      </c>
      <c r="C1020" s="3">
        <v>37</v>
      </c>
      <c r="D1020" s="3" t="s">
        <v>7</v>
      </c>
      <c r="E1020" s="3" t="s">
        <v>8</v>
      </c>
      <c r="F1020" s="3" t="s">
        <v>9</v>
      </c>
      <c r="G1020" s="3" t="s">
        <v>25</v>
      </c>
      <c r="H1020" s="3" t="s">
        <v>19</v>
      </c>
      <c r="I1020" s="3">
        <v>62174</v>
      </c>
      <c r="J1020" s="3">
        <v>2</v>
      </c>
      <c r="K1020" s="3">
        <v>1</v>
      </c>
      <c r="L1020" s="3">
        <v>3</v>
      </c>
      <c r="M1020" s="3">
        <v>3</v>
      </c>
      <c r="N1020" s="3" t="s">
        <v>12</v>
      </c>
      <c r="O1020" s="3" t="s">
        <v>13</v>
      </c>
      <c r="P1020" s="3">
        <v>4</v>
      </c>
      <c r="Q1020" s="3">
        <v>6</v>
      </c>
      <c r="R1020" s="4" t="s">
        <v>14</v>
      </c>
      <c r="S1020" s="4" t="s">
        <v>14</v>
      </c>
      <c r="T1020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1021" spans="1:20" ht="18" x14ac:dyDescent="0.35">
      <c r="A1021" s="3" t="s">
        <v>1064</v>
      </c>
      <c r="B1021" s="3" t="str">
        <f>IF(Table1[[#This Row],[Age]]&lt;25,"Under 25",IF(Table1[[#This Row],[Age]]&lt;35,"25-34",IF(Table1[[#This Row],[Age]]&lt;45,"35-44",IF(Table1[[#This Row],[Age]]&lt;55,"45-54","55+"))))</f>
        <v>Under 25</v>
      </c>
      <c r="C1021" s="3">
        <v>21</v>
      </c>
      <c r="D1021" s="3" t="s">
        <v>22</v>
      </c>
      <c r="E1021" s="3" t="s">
        <v>8</v>
      </c>
      <c r="F1021" s="3" t="s">
        <v>9</v>
      </c>
      <c r="G1021" s="3" t="s">
        <v>10</v>
      </c>
      <c r="H1021" s="3" t="s">
        <v>19</v>
      </c>
      <c r="I1021" s="3">
        <v>75992</v>
      </c>
      <c r="J1021" s="3">
        <v>1</v>
      </c>
      <c r="K1021" s="3">
        <v>0</v>
      </c>
      <c r="L1021" s="3">
        <v>2</v>
      </c>
      <c r="M1021" s="3">
        <v>1</v>
      </c>
      <c r="N1021" s="3" t="s">
        <v>14</v>
      </c>
      <c r="O1021" s="3" t="s">
        <v>13</v>
      </c>
      <c r="P1021" s="3">
        <v>3</v>
      </c>
      <c r="Q1021" s="3">
        <v>1</v>
      </c>
      <c r="R1021" s="4" t="s">
        <v>14</v>
      </c>
      <c r="S1021" s="4" t="s">
        <v>12</v>
      </c>
      <c r="T1021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1022" spans="1:20" ht="18" x14ac:dyDescent="0.35">
      <c r="A1022" s="3" t="s">
        <v>1065</v>
      </c>
      <c r="B1022" s="3" t="str">
        <f>IF(Table1[[#This Row],[Age]]&lt;25,"Under 25",IF(Table1[[#This Row],[Age]]&lt;35,"25-34",IF(Table1[[#This Row],[Age]]&lt;45,"35-44",IF(Table1[[#This Row],[Age]]&lt;55,"45-54","55+"))))</f>
        <v>25-34</v>
      </c>
      <c r="C1022" s="3">
        <v>26</v>
      </c>
      <c r="D1022" s="3" t="s">
        <v>7</v>
      </c>
      <c r="E1022" s="3" t="s">
        <v>38</v>
      </c>
      <c r="F1022" s="3" t="s">
        <v>89</v>
      </c>
      <c r="G1022" s="3" t="s">
        <v>25</v>
      </c>
      <c r="H1022" s="3" t="s">
        <v>11</v>
      </c>
      <c r="I1022" s="3">
        <v>34939</v>
      </c>
      <c r="J1022" s="3">
        <v>0</v>
      </c>
      <c r="K1022" s="3">
        <v>0</v>
      </c>
      <c r="L1022" s="3">
        <v>4</v>
      </c>
      <c r="M1022" s="3">
        <v>4</v>
      </c>
      <c r="N1022" s="3" t="s">
        <v>14</v>
      </c>
      <c r="O1022" s="3" t="s">
        <v>13</v>
      </c>
      <c r="P1022" s="3">
        <v>2</v>
      </c>
      <c r="Q1022" s="3">
        <v>3</v>
      </c>
      <c r="R1022" s="4" t="s">
        <v>14</v>
      </c>
      <c r="S1022" s="4" t="s">
        <v>14</v>
      </c>
      <c r="T1022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Less than 1 Year</v>
      </c>
    </row>
    <row r="1023" spans="1:20" ht="18" x14ac:dyDescent="0.35">
      <c r="A1023" s="3" t="s">
        <v>1066</v>
      </c>
      <c r="B1023" s="3" t="str">
        <f>IF(Table1[[#This Row],[Age]]&lt;25,"Under 25",IF(Table1[[#This Row],[Age]]&lt;35,"25-34",IF(Table1[[#This Row],[Age]]&lt;45,"35-44",IF(Table1[[#This Row],[Age]]&lt;55,"45-54","55+"))))</f>
        <v>45-54</v>
      </c>
      <c r="C1023" s="3">
        <v>46</v>
      </c>
      <c r="D1023" s="3" t="s">
        <v>7</v>
      </c>
      <c r="E1023" s="3" t="s">
        <v>8</v>
      </c>
      <c r="F1023" s="3" t="s">
        <v>66</v>
      </c>
      <c r="G1023" s="3" t="s">
        <v>18</v>
      </c>
      <c r="H1023" s="3" t="s">
        <v>19</v>
      </c>
      <c r="I1023" s="3">
        <v>72601</v>
      </c>
      <c r="J1023" s="3">
        <v>2</v>
      </c>
      <c r="K1023" s="3">
        <v>0</v>
      </c>
      <c r="L1023" s="3">
        <v>3</v>
      </c>
      <c r="M1023" s="3">
        <v>4</v>
      </c>
      <c r="N1023" s="3" t="s">
        <v>14</v>
      </c>
      <c r="O1023" s="3" t="s">
        <v>20</v>
      </c>
      <c r="P1023" s="3">
        <v>3</v>
      </c>
      <c r="Q1023" s="3">
        <v>6</v>
      </c>
      <c r="R1023" s="4" t="s">
        <v>14</v>
      </c>
      <c r="S1023" s="4" t="s">
        <v>14</v>
      </c>
      <c r="T1023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1024" spans="1:20" ht="18" x14ac:dyDescent="0.35">
      <c r="A1024" s="3" t="s">
        <v>1067</v>
      </c>
      <c r="B1024" s="3" t="str">
        <f>IF(Table1[[#This Row],[Age]]&lt;25,"Under 25",IF(Table1[[#This Row],[Age]]&lt;35,"25-34",IF(Table1[[#This Row],[Age]]&lt;45,"35-44",IF(Table1[[#This Row],[Age]]&lt;55,"45-54","55+"))))</f>
        <v>25-34</v>
      </c>
      <c r="C1024" s="3">
        <v>27</v>
      </c>
      <c r="D1024" s="3" t="s">
        <v>7</v>
      </c>
      <c r="E1024" s="3" t="s">
        <v>34</v>
      </c>
      <c r="F1024" s="3" t="s">
        <v>54</v>
      </c>
      <c r="G1024" s="3" t="s">
        <v>25</v>
      </c>
      <c r="H1024" s="3" t="s">
        <v>11</v>
      </c>
      <c r="I1024" s="3">
        <v>77005</v>
      </c>
      <c r="J1024" s="3">
        <v>2</v>
      </c>
      <c r="K1024" s="3">
        <v>1</v>
      </c>
      <c r="L1024" s="3">
        <v>2</v>
      </c>
      <c r="M1024" s="3">
        <v>2</v>
      </c>
      <c r="N1024" s="3" t="s">
        <v>14</v>
      </c>
      <c r="O1024" s="3" t="s">
        <v>13</v>
      </c>
      <c r="P1024" s="3">
        <v>3</v>
      </c>
      <c r="Q1024" s="3">
        <v>5</v>
      </c>
      <c r="R1024" s="4" t="s">
        <v>14</v>
      </c>
      <c r="S1024" s="4" t="s">
        <v>14</v>
      </c>
      <c r="T1024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1025" spans="1:20" ht="18" x14ac:dyDescent="0.35">
      <c r="A1025" s="3" t="s">
        <v>1068</v>
      </c>
      <c r="B1025" s="3" t="str">
        <f>IF(Table1[[#This Row],[Age]]&lt;25,"Under 25",IF(Table1[[#This Row],[Age]]&lt;35,"25-34",IF(Table1[[#This Row],[Age]]&lt;45,"35-44",IF(Table1[[#This Row],[Age]]&lt;55,"45-54","55+"))))</f>
        <v>25-34</v>
      </c>
      <c r="C1025" s="3">
        <v>27</v>
      </c>
      <c r="D1025" s="3" t="s">
        <v>7</v>
      </c>
      <c r="E1025" s="3" t="s">
        <v>51</v>
      </c>
      <c r="F1025" s="3" t="s">
        <v>80</v>
      </c>
      <c r="G1025" s="3" t="s">
        <v>25</v>
      </c>
      <c r="H1025" s="3" t="s">
        <v>19</v>
      </c>
      <c r="I1025" s="3">
        <v>70894</v>
      </c>
      <c r="J1025" s="3">
        <v>6</v>
      </c>
      <c r="K1025" s="3">
        <v>5</v>
      </c>
      <c r="L1025" s="3">
        <v>2</v>
      </c>
      <c r="M1025" s="3">
        <v>3</v>
      </c>
      <c r="N1025" s="3" t="s">
        <v>14</v>
      </c>
      <c r="O1025" s="3" t="s">
        <v>13</v>
      </c>
      <c r="P1025" s="3">
        <v>3</v>
      </c>
      <c r="Q1025" s="3">
        <v>1</v>
      </c>
      <c r="R1025" s="4" t="s">
        <v>12</v>
      </c>
      <c r="S1025" s="4" t="s">
        <v>14</v>
      </c>
      <c r="T1025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1026" spans="1:20" ht="18" x14ac:dyDescent="0.35">
      <c r="A1026" s="3" t="s">
        <v>1069</v>
      </c>
      <c r="B1026" s="3" t="str">
        <f>IF(Table1[[#This Row],[Age]]&lt;25,"Under 25",IF(Table1[[#This Row],[Age]]&lt;35,"25-34",IF(Table1[[#This Row],[Age]]&lt;45,"35-44",IF(Table1[[#This Row],[Age]]&lt;55,"45-54","55+"))))</f>
        <v>25-34</v>
      </c>
      <c r="C1026" s="3">
        <v>29</v>
      </c>
      <c r="D1026" s="3" t="s">
        <v>7</v>
      </c>
      <c r="E1026" s="3" t="s">
        <v>51</v>
      </c>
      <c r="F1026" s="3" t="s">
        <v>52</v>
      </c>
      <c r="G1026" s="3" t="s">
        <v>18</v>
      </c>
      <c r="H1026" s="3" t="s">
        <v>19</v>
      </c>
      <c r="I1026" s="3">
        <v>81942</v>
      </c>
      <c r="J1026" s="3">
        <v>4</v>
      </c>
      <c r="K1026" s="3">
        <v>4</v>
      </c>
      <c r="L1026" s="3">
        <v>3</v>
      </c>
      <c r="M1026" s="3">
        <v>3</v>
      </c>
      <c r="N1026" s="3" t="s">
        <v>12</v>
      </c>
      <c r="O1026" s="3" t="s">
        <v>13</v>
      </c>
      <c r="P1026" s="3">
        <v>2</v>
      </c>
      <c r="Q1026" s="3">
        <v>4</v>
      </c>
      <c r="R1026" s="4" t="s">
        <v>12</v>
      </c>
      <c r="S1026" s="4" t="s">
        <v>14</v>
      </c>
      <c r="T1026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1027" spans="1:20" ht="18" x14ac:dyDescent="0.35">
      <c r="A1027" s="3" t="s">
        <v>1070</v>
      </c>
      <c r="B1027" s="3" t="str">
        <f>IF(Table1[[#This Row],[Age]]&lt;25,"Under 25",IF(Table1[[#This Row],[Age]]&lt;35,"25-34",IF(Table1[[#This Row],[Age]]&lt;45,"35-44",IF(Table1[[#This Row],[Age]]&lt;55,"45-54","55+"))))</f>
        <v>35-44</v>
      </c>
      <c r="C1027" s="3">
        <v>39</v>
      </c>
      <c r="D1027" s="3" t="s">
        <v>22</v>
      </c>
      <c r="E1027" s="3" t="s">
        <v>8</v>
      </c>
      <c r="F1027" s="3" t="s">
        <v>9</v>
      </c>
      <c r="G1027" s="3" t="s">
        <v>18</v>
      </c>
      <c r="H1027" s="3" t="s">
        <v>19</v>
      </c>
      <c r="I1027" s="3">
        <v>99856</v>
      </c>
      <c r="J1027" s="3">
        <v>15</v>
      </c>
      <c r="K1027" s="3">
        <v>3</v>
      </c>
      <c r="L1027" s="3">
        <v>3</v>
      </c>
      <c r="M1027" s="3">
        <v>4</v>
      </c>
      <c r="N1027" s="3" t="s">
        <v>14</v>
      </c>
      <c r="O1027" s="3" t="s">
        <v>13</v>
      </c>
      <c r="P1027" s="3">
        <v>4</v>
      </c>
      <c r="Q1027" s="3">
        <v>5</v>
      </c>
      <c r="R1027" s="4" t="s">
        <v>14</v>
      </c>
      <c r="S1027" s="4" t="s">
        <v>14</v>
      </c>
      <c r="T1027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1028" spans="1:20" ht="18" x14ac:dyDescent="0.35">
      <c r="A1028" s="3" t="s">
        <v>1071</v>
      </c>
      <c r="B1028" s="3" t="str">
        <f>IF(Table1[[#This Row],[Age]]&lt;25,"Under 25",IF(Table1[[#This Row],[Age]]&lt;35,"25-34",IF(Table1[[#This Row],[Age]]&lt;45,"35-44",IF(Table1[[#This Row],[Age]]&lt;55,"45-54","55+"))))</f>
        <v>35-44</v>
      </c>
      <c r="C1028" s="3">
        <v>39</v>
      </c>
      <c r="D1028" s="3" t="s">
        <v>22</v>
      </c>
      <c r="E1028" s="3" t="s">
        <v>51</v>
      </c>
      <c r="F1028" s="3" t="s">
        <v>52</v>
      </c>
      <c r="G1028" s="3" t="s">
        <v>25</v>
      </c>
      <c r="H1028" s="3" t="s">
        <v>11</v>
      </c>
      <c r="I1028" s="3">
        <v>75548</v>
      </c>
      <c r="J1028" s="3">
        <v>21</v>
      </c>
      <c r="K1028" s="3">
        <v>5</v>
      </c>
      <c r="L1028" s="3">
        <v>3</v>
      </c>
      <c r="M1028" s="3">
        <v>2</v>
      </c>
      <c r="N1028" s="3" t="s">
        <v>14</v>
      </c>
      <c r="O1028" s="3" t="s">
        <v>13</v>
      </c>
      <c r="P1028" s="3">
        <v>2</v>
      </c>
      <c r="Q1028" s="3">
        <v>0</v>
      </c>
      <c r="R1028" s="4" t="s">
        <v>14</v>
      </c>
      <c r="S1028" s="4" t="s">
        <v>14</v>
      </c>
      <c r="T1028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1029" spans="1:20" ht="18" x14ac:dyDescent="0.35">
      <c r="A1029" s="3" t="s">
        <v>1072</v>
      </c>
      <c r="B1029" s="3" t="str">
        <f>IF(Table1[[#This Row],[Age]]&lt;25,"Under 25",IF(Table1[[#This Row],[Age]]&lt;35,"25-34",IF(Table1[[#This Row],[Age]]&lt;45,"35-44",IF(Table1[[#This Row],[Age]]&lt;55,"45-54","55+"))))</f>
        <v>45-54</v>
      </c>
      <c r="C1029" s="3">
        <v>49</v>
      </c>
      <c r="D1029" s="3" t="s">
        <v>22</v>
      </c>
      <c r="E1029" s="3" t="s">
        <v>34</v>
      </c>
      <c r="F1029" s="3" t="s">
        <v>54</v>
      </c>
      <c r="G1029" s="3" t="s">
        <v>10</v>
      </c>
      <c r="H1029" s="3" t="s">
        <v>11</v>
      </c>
      <c r="I1029" s="3">
        <v>58230</v>
      </c>
      <c r="J1029" s="3">
        <v>0</v>
      </c>
      <c r="K1029" s="3">
        <v>0</v>
      </c>
      <c r="L1029" s="3">
        <v>2</v>
      </c>
      <c r="M1029" s="3">
        <v>4</v>
      </c>
      <c r="N1029" s="3" t="s">
        <v>14</v>
      </c>
      <c r="O1029" s="3" t="s">
        <v>13</v>
      </c>
      <c r="P1029" s="3">
        <v>3</v>
      </c>
      <c r="Q1029" s="3">
        <v>1</v>
      </c>
      <c r="R1029" s="4" t="s">
        <v>14</v>
      </c>
      <c r="S1029" s="4" t="s">
        <v>12</v>
      </c>
      <c r="T1029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Less than 1 Year</v>
      </c>
    </row>
    <row r="1030" spans="1:20" ht="18" x14ac:dyDescent="0.35">
      <c r="A1030" s="3" t="s">
        <v>1073</v>
      </c>
      <c r="B1030" s="3" t="str">
        <f>IF(Table1[[#This Row],[Age]]&lt;25,"Under 25",IF(Table1[[#This Row],[Age]]&lt;35,"25-34",IF(Table1[[#This Row],[Age]]&lt;45,"35-44",IF(Table1[[#This Row],[Age]]&lt;55,"45-54","55+"))))</f>
        <v>35-44</v>
      </c>
      <c r="C1030" s="3">
        <v>38</v>
      </c>
      <c r="D1030" s="3" t="s">
        <v>22</v>
      </c>
      <c r="E1030" s="3" t="s">
        <v>8</v>
      </c>
      <c r="F1030" s="3" t="s">
        <v>9</v>
      </c>
      <c r="G1030" s="3" t="s">
        <v>25</v>
      </c>
      <c r="H1030" s="3" t="s">
        <v>42</v>
      </c>
      <c r="I1030" s="3">
        <v>37176</v>
      </c>
      <c r="J1030" s="3">
        <v>9</v>
      </c>
      <c r="K1030" s="3">
        <v>4</v>
      </c>
      <c r="L1030" s="3">
        <v>4</v>
      </c>
      <c r="M1030" s="3">
        <v>1</v>
      </c>
      <c r="N1030" s="3" t="s">
        <v>12</v>
      </c>
      <c r="O1030" s="3" t="s">
        <v>26</v>
      </c>
      <c r="P1030" s="3">
        <v>3</v>
      </c>
      <c r="Q1030" s="3">
        <v>2</v>
      </c>
      <c r="R1030" s="4" t="s">
        <v>12</v>
      </c>
      <c r="S1030" s="4" t="s">
        <v>14</v>
      </c>
      <c r="T1030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1031" spans="1:20" ht="18" x14ac:dyDescent="0.35">
      <c r="A1031" s="3" t="s">
        <v>1074</v>
      </c>
      <c r="B1031" s="3" t="str">
        <f>IF(Table1[[#This Row],[Age]]&lt;25,"Under 25",IF(Table1[[#This Row],[Age]]&lt;35,"25-34",IF(Table1[[#This Row],[Age]]&lt;45,"35-44",IF(Table1[[#This Row],[Age]]&lt;55,"45-54","55+"))))</f>
        <v>25-34</v>
      </c>
      <c r="C1031" s="3">
        <v>28</v>
      </c>
      <c r="D1031" s="3" t="s">
        <v>7</v>
      </c>
      <c r="E1031" s="3" t="s">
        <v>51</v>
      </c>
      <c r="F1031" s="3" t="s">
        <v>52</v>
      </c>
      <c r="G1031" s="3" t="s">
        <v>10</v>
      </c>
      <c r="H1031" s="3" t="s">
        <v>19</v>
      </c>
      <c r="I1031" s="3">
        <v>52617</v>
      </c>
      <c r="J1031" s="3">
        <v>2</v>
      </c>
      <c r="K1031" s="3">
        <v>2</v>
      </c>
      <c r="L1031" s="3">
        <v>1</v>
      </c>
      <c r="M1031" s="3">
        <v>3</v>
      </c>
      <c r="N1031" s="3" t="s">
        <v>12</v>
      </c>
      <c r="O1031" s="3" t="s">
        <v>13</v>
      </c>
      <c r="P1031" s="3">
        <v>3</v>
      </c>
      <c r="Q1031" s="3">
        <v>3</v>
      </c>
      <c r="R1031" s="4" t="s">
        <v>14</v>
      </c>
      <c r="S1031" s="4" t="s">
        <v>14</v>
      </c>
      <c r="T1031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1032" spans="1:20" ht="18" x14ac:dyDescent="0.35">
      <c r="A1032" s="3" t="s">
        <v>1075</v>
      </c>
      <c r="B1032" s="3" t="str">
        <f>IF(Table1[[#This Row],[Age]]&lt;25,"Under 25",IF(Table1[[#This Row],[Age]]&lt;35,"25-34",IF(Table1[[#This Row],[Age]]&lt;45,"35-44",IF(Table1[[#This Row],[Age]]&lt;55,"45-54","55+"))))</f>
        <v>25-34</v>
      </c>
      <c r="C1032" s="3">
        <v>34</v>
      </c>
      <c r="D1032" s="3" t="s">
        <v>7</v>
      </c>
      <c r="E1032" s="3" t="s">
        <v>16</v>
      </c>
      <c r="F1032" s="3" t="s">
        <v>47</v>
      </c>
      <c r="G1032" s="3" t="s">
        <v>45</v>
      </c>
      <c r="H1032" s="3" t="s">
        <v>11</v>
      </c>
      <c r="I1032" s="3">
        <v>87483</v>
      </c>
      <c r="J1032" s="3">
        <v>5</v>
      </c>
      <c r="K1032" s="3">
        <v>4</v>
      </c>
      <c r="L1032" s="3">
        <v>2</v>
      </c>
      <c r="M1032" s="3">
        <v>1</v>
      </c>
      <c r="N1032" s="3" t="s">
        <v>12</v>
      </c>
      <c r="O1032" s="3" t="s">
        <v>13</v>
      </c>
      <c r="P1032" s="3">
        <v>3</v>
      </c>
      <c r="Q1032" s="3">
        <v>1</v>
      </c>
      <c r="R1032" s="4" t="s">
        <v>14</v>
      </c>
      <c r="S1032" s="4" t="s">
        <v>14</v>
      </c>
      <c r="T1032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1033" spans="1:20" ht="18" x14ac:dyDescent="0.35">
      <c r="A1033" s="3" t="s">
        <v>1076</v>
      </c>
      <c r="B1033" s="3" t="str">
        <f>IF(Table1[[#This Row],[Age]]&lt;25,"Under 25",IF(Table1[[#This Row],[Age]]&lt;35,"25-34",IF(Table1[[#This Row],[Age]]&lt;45,"35-44",IF(Table1[[#This Row],[Age]]&lt;55,"45-54","55+"))))</f>
        <v>35-44</v>
      </c>
      <c r="C1033" s="3">
        <v>39</v>
      </c>
      <c r="D1033" s="3" t="s">
        <v>22</v>
      </c>
      <c r="E1033" s="3" t="s">
        <v>8</v>
      </c>
      <c r="F1033" s="3" t="s">
        <v>23</v>
      </c>
      <c r="G1033" s="3" t="s">
        <v>10</v>
      </c>
      <c r="H1033" s="3" t="s">
        <v>11</v>
      </c>
      <c r="I1033" s="3">
        <v>33032</v>
      </c>
      <c r="J1033" s="3">
        <v>17</v>
      </c>
      <c r="K1033" s="3">
        <v>10</v>
      </c>
      <c r="L1033" s="3">
        <v>4</v>
      </c>
      <c r="M1033" s="3">
        <v>3</v>
      </c>
      <c r="N1033" s="3" t="s">
        <v>14</v>
      </c>
      <c r="O1033" s="3" t="s">
        <v>20</v>
      </c>
      <c r="P1033" s="3">
        <v>3</v>
      </c>
      <c r="Q1033" s="3">
        <v>2</v>
      </c>
      <c r="R1033" s="4" t="s">
        <v>14</v>
      </c>
      <c r="S1033" s="4" t="s">
        <v>14</v>
      </c>
      <c r="T1033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1034" spans="1:20" ht="18" x14ac:dyDescent="0.35">
      <c r="A1034" s="3" t="s">
        <v>1077</v>
      </c>
      <c r="B1034" s="3" t="str">
        <f>IF(Table1[[#This Row],[Age]]&lt;25,"Under 25",IF(Table1[[#This Row],[Age]]&lt;35,"25-34",IF(Table1[[#This Row],[Age]]&lt;45,"35-44",IF(Table1[[#This Row],[Age]]&lt;55,"45-54","55+"))))</f>
        <v>Under 25</v>
      </c>
      <c r="C1034" s="3">
        <v>21</v>
      </c>
      <c r="D1034" s="3" t="s">
        <v>7</v>
      </c>
      <c r="E1034" s="3" t="s">
        <v>8</v>
      </c>
      <c r="F1034" s="3" t="s">
        <v>23</v>
      </c>
      <c r="G1034" s="3" t="s">
        <v>25</v>
      </c>
      <c r="H1034" s="3" t="s">
        <v>11</v>
      </c>
      <c r="I1034" s="3">
        <v>103567</v>
      </c>
      <c r="J1034" s="3">
        <v>3</v>
      </c>
      <c r="K1034" s="3">
        <v>3</v>
      </c>
      <c r="L1034" s="3">
        <v>4</v>
      </c>
      <c r="M1034" s="3">
        <v>2</v>
      </c>
      <c r="N1034" s="3" t="s">
        <v>14</v>
      </c>
      <c r="O1034" s="3" t="s">
        <v>13</v>
      </c>
      <c r="P1034" s="3">
        <v>3</v>
      </c>
      <c r="Q1034" s="3">
        <v>3</v>
      </c>
      <c r="R1034" s="4" t="s">
        <v>14</v>
      </c>
      <c r="S1034" s="4" t="s">
        <v>14</v>
      </c>
      <c r="T1034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1035" spans="1:20" ht="18" x14ac:dyDescent="0.35">
      <c r="A1035" s="3" t="s">
        <v>1078</v>
      </c>
      <c r="B1035" s="3" t="str">
        <f>IF(Table1[[#This Row],[Age]]&lt;25,"Under 25",IF(Table1[[#This Row],[Age]]&lt;35,"25-34",IF(Table1[[#This Row],[Age]]&lt;45,"35-44",IF(Table1[[#This Row],[Age]]&lt;55,"45-54","55+"))))</f>
        <v>45-54</v>
      </c>
      <c r="C1035" s="3">
        <v>49</v>
      </c>
      <c r="D1035" s="3" t="s">
        <v>22</v>
      </c>
      <c r="E1035" s="3" t="s">
        <v>34</v>
      </c>
      <c r="F1035" s="3" t="s">
        <v>91</v>
      </c>
      <c r="G1035" s="3" t="s">
        <v>10</v>
      </c>
      <c r="H1035" s="3" t="s">
        <v>11</v>
      </c>
      <c r="I1035" s="3">
        <v>37993</v>
      </c>
      <c r="J1035" s="3">
        <v>2</v>
      </c>
      <c r="K1035" s="3">
        <v>0</v>
      </c>
      <c r="L1035" s="3">
        <v>3</v>
      </c>
      <c r="M1035" s="3">
        <v>2</v>
      </c>
      <c r="N1035" s="3" t="s">
        <v>14</v>
      </c>
      <c r="O1035" s="3" t="s">
        <v>20</v>
      </c>
      <c r="P1035" s="3">
        <v>3</v>
      </c>
      <c r="Q1035" s="3">
        <v>2</v>
      </c>
      <c r="R1035" s="4" t="s">
        <v>12</v>
      </c>
      <c r="S1035" s="4" t="s">
        <v>14</v>
      </c>
      <c r="T1035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1036" spans="1:20" ht="18" x14ac:dyDescent="0.35">
      <c r="A1036" s="3" t="s">
        <v>1079</v>
      </c>
      <c r="B1036" s="3" t="str">
        <f>IF(Table1[[#This Row],[Age]]&lt;25,"Under 25",IF(Table1[[#This Row],[Age]]&lt;35,"25-34",IF(Table1[[#This Row],[Age]]&lt;45,"35-44",IF(Table1[[#This Row],[Age]]&lt;55,"45-54","55+"))))</f>
        <v>25-34</v>
      </c>
      <c r="C1036" s="3">
        <v>34</v>
      </c>
      <c r="D1036" s="3" t="s">
        <v>22</v>
      </c>
      <c r="E1036" s="3" t="s">
        <v>31</v>
      </c>
      <c r="F1036" s="3" t="s">
        <v>32</v>
      </c>
      <c r="G1036" s="3" t="s">
        <v>25</v>
      </c>
      <c r="H1036" s="3" t="s">
        <v>11</v>
      </c>
      <c r="I1036" s="3">
        <v>59293</v>
      </c>
      <c r="J1036" s="3">
        <v>15</v>
      </c>
      <c r="K1036" s="3">
        <v>3</v>
      </c>
      <c r="L1036" s="3">
        <v>3</v>
      </c>
      <c r="M1036" s="3">
        <v>4</v>
      </c>
      <c r="N1036" s="3" t="s">
        <v>12</v>
      </c>
      <c r="O1036" s="3" t="s">
        <v>13</v>
      </c>
      <c r="P1036" s="3">
        <v>3</v>
      </c>
      <c r="Q1036" s="3">
        <v>6</v>
      </c>
      <c r="R1036" s="4" t="s">
        <v>14</v>
      </c>
      <c r="S1036" s="4" t="s">
        <v>14</v>
      </c>
      <c r="T1036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1037" spans="1:20" ht="18" x14ac:dyDescent="0.35">
      <c r="A1037" s="3" t="s">
        <v>1080</v>
      </c>
      <c r="B1037" s="3" t="str">
        <f>IF(Table1[[#This Row],[Age]]&lt;25,"Under 25",IF(Table1[[#This Row],[Age]]&lt;35,"25-34",IF(Table1[[#This Row],[Age]]&lt;45,"35-44",IF(Table1[[#This Row],[Age]]&lt;55,"45-54","55+"))))</f>
        <v>35-44</v>
      </c>
      <c r="C1037" s="3">
        <v>36</v>
      </c>
      <c r="D1037" s="3" t="s">
        <v>22</v>
      </c>
      <c r="E1037" s="3" t="s">
        <v>51</v>
      </c>
      <c r="F1037" s="3" t="s">
        <v>52</v>
      </c>
      <c r="G1037" s="3" t="s">
        <v>10</v>
      </c>
      <c r="H1037" s="3" t="s">
        <v>19</v>
      </c>
      <c r="I1037" s="3">
        <v>43196</v>
      </c>
      <c r="J1037" s="3">
        <v>16</v>
      </c>
      <c r="K1037" s="3">
        <v>6</v>
      </c>
      <c r="L1037" s="3">
        <v>2</v>
      </c>
      <c r="M1037" s="3">
        <v>4</v>
      </c>
      <c r="N1037" s="3" t="s">
        <v>14</v>
      </c>
      <c r="O1037" s="3" t="s">
        <v>20</v>
      </c>
      <c r="P1037" s="3">
        <v>2</v>
      </c>
      <c r="Q1037" s="3">
        <v>4</v>
      </c>
      <c r="R1037" s="4" t="s">
        <v>14</v>
      </c>
      <c r="S1037" s="4" t="s">
        <v>14</v>
      </c>
      <c r="T1037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1038" spans="1:20" ht="18" x14ac:dyDescent="0.35">
      <c r="A1038" s="3" t="s">
        <v>1081</v>
      </c>
      <c r="B1038" s="3" t="str">
        <f>IF(Table1[[#This Row],[Age]]&lt;25,"Under 25",IF(Table1[[#This Row],[Age]]&lt;35,"25-34",IF(Table1[[#This Row],[Age]]&lt;45,"35-44",IF(Table1[[#This Row],[Age]]&lt;55,"45-54","55+"))))</f>
        <v>35-44</v>
      </c>
      <c r="C1038" s="3">
        <v>36</v>
      </c>
      <c r="D1038" s="3" t="s">
        <v>7</v>
      </c>
      <c r="E1038" s="3" t="s">
        <v>31</v>
      </c>
      <c r="F1038" s="3" t="s">
        <v>136</v>
      </c>
      <c r="G1038" s="3" t="s">
        <v>10</v>
      </c>
      <c r="H1038" s="3" t="s">
        <v>11</v>
      </c>
      <c r="I1038" s="3">
        <v>54695</v>
      </c>
      <c r="J1038" s="3">
        <v>11</v>
      </c>
      <c r="K1038" s="3">
        <v>5</v>
      </c>
      <c r="L1038" s="3">
        <v>3</v>
      </c>
      <c r="M1038" s="3">
        <v>4</v>
      </c>
      <c r="N1038" s="3" t="s">
        <v>12</v>
      </c>
      <c r="O1038" s="3" t="s">
        <v>20</v>
      </c>
      <c r="P1038" s="3">
        <v>3</v>
      </c>
      <c r="Q1038" s="3">
        <v>0</v>
      </c>
      <c r="R1038" s="4" t="s">
        <v>14</v>
      </c>
      <c r="S1038" s="4" t="s">
        <v>14</v>
      </c>
      <c r="T1038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1039" spans="1:20" ht="18" x14ac:dyDescent="0.35">
      <c r="A1039" s="3" t="s">
        <v>1082</v>
      </c>
      <c r="B1039" s="3" t="str">
        <f>IF(Table1[[#This Row],[Age]]&lt;25,"Under 25",IF(Table1[[#This Row],[Age]]&lt;35,"25-34",IF(Table1[[#This Row],[Age]]&lt;45,"35-44",IF(Table1[[#This Row],[Age]]&lt;55,"45-54","55+"))))</f>
        <v>35-44</v>
      </c>
      <c r="C1039" s="3">
        <v>43</v>
      </c>
      <c r="D1039" s="3" t="s">
        <v>7</v>
      </c>
      <c r="E1039" s="3" t="s">
        <v>38</v>
      </c>
      <c r="F1039" s="3" t="s">
        <v>59</v>
      </c>
      <c r="G1039" s="3" t="s">
        <v>18</v>
      </c>
      <c r="H1039" s="3" t="s">
        <v>11</v>
      </c>
      <c r="I1039" s="3">
        <v>37192</v>
      </c>
      <c r="J1039" s="3">
        <v>8</v>
      </c>
      <c r="K1039" s="3">
        <v>2</v>
      </c>
      <c r="L1039" s="3">
        <v>3</v>
      </c>
      <c r="M1039" s="3">
        <v>2</v>
      </c>
      <c r="N1039" s="3" t="s">
        <v>14</v>
      </c>
      <c r="O1039" s="3" t="s">
        <v>13</v>
      </c>
      <c r="P1039" s="3">
        <v>3</v>
      </c>
      <c r="Q1039" s="3">
        <v>5</v>
      </c>
      <c r="R1039" s="4" t="s">
        <v>12</v>
      </c>
      <c r="S1039" s="4" t="s">
        <v>14</v>
      </c>
      <c r="T1039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1040" spans="1:20" ht="18" x14ac:dyDescent="0.35">
      <c r="A1040" s="3" t="s">
        <v>1083</v>
      </c>
      <c r="B1040" s="3" t="str">
        <f>IF(Table1[[#This Row],[Age]]&lt;25,"Under 25",IF(Table1[[#This Row],[Age]]&lt;35,"25-34",IF(Table1[[#This Row],[Age]]&lt;45,"35-44",IF(Table1[[#This Row],[Age]]&lt;55,"45-54","55+"))))</f>
        <v>35-44</v>
      </c>
      <c r="C1040" s="3">
        <v>41</v>
      </c>
      <c r="D1040" s="3" t="s">
        <v>7</v>
      </c>
      <c r="E1040" s="3" t="s">
        <v>16</v>
      </c>
      <c r="F1040" s="3" t="s">
        <v>47</v>
      </c>
      <c r="G1040" s="3" t="s">
        <v>10</v>
      </c>
      <c r="H1040" s="3" t="s">
        <v>19</v>
      </c>
      <c r="I1040" s="3">
        <v>26501</v>
      </c>
      <c r="J1040" s="3">
        <v>14</v>
      </c>
      <c r="K1040" s="3">
        <v>6</v>
      </c>
      <c r="L1040" s="3">
        <v>3</v>
      </c>
      <c r="M1040" s="3">
        <v>3</v>
      </c>
      <c r="N1040" s="3" t="s">
        <v>14</v>
      </c>
      <c r="O1040" s="3" t="s">
        <v>13</v>
      </c>
      <c r="P1040" s="3">
        <v>3</v>
      </c>
      <c r="Q1040" s="3">
        <v>4</v>
      </c>
      <c r="R1040" s="4" t="s">
        <v>14</v>
      </c>
      <c r="S1040" s="4" t="s">
        <v>14</v>
      </c>
      <c r="T1040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1041" spans="1:20" ht="18" x14ac:dyDescent="0.35">
      <c r="A1041" s="3" t="s">
        <v>1084</v>
      </c>
      <c r="B1041" s="3" t="str">
        <f>IF(Table1[[#This Row],[Age]]&lt;25,"Under 25",IF(Table1[[#This Row],[Age]]&lt;35,"25-34",IF(Table1[[#This Row],[Age]]&lt;45,"35-44",IF(Table1[[#This Row],[Age]]&lt;55,"45-54","55+"))))</f>
        <v>25-34</v>
      </c>
      <c r="C1041" s="3">
        <v>31</v>
      </c>
      <c r="D1041" s="3" t="s">
        <v>7</v>
      </c>
      <c r="E1041" s="3" t="s">
        <v>8</v>
      </c>
      <c r="F1041" s="3" t="s">
        <v>66</v>
      </c>
      <c r="G1041" s="3" t="s">
        <v>25</v>
      </c>
      <c r="H1041" s="3" t="s">
        <v>11</v>
      </c>
      <c r="I1041" s="3">
        <v>95734</v>
      </c>
      <c r="J1041" s="3">
        <v>2</v>
      </c>
      <c r="K1041" s="3">
        <v>1</v>
      </c>
      <c r="L1041" s="3">
        <v>3</v>
      </c>
      <c r="M1041" s="3">
        <v>2</v>
      </c>
      <c r="N1041" s="3" t="s">
        <v>12</v>
      </c>
      <c r="O1041" s="3" t="s">
        <v>13</v>
      </c>
      <c r="P1041" s="3">
        <v>4</v>
      </c>
      <c r="Q1041" s="3">
        <v>6</v>
      </c>
      <c r="R1041" s="4" t="s">
        <v>14</v>
      </c>
      <c r="S1041" s="4" t="s">
        <v>14</v>
      </c>
      <c r="T1041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1042" spans="1:20" ht="18" x14ac:dyDescent="0.35">
      <c r="A1042" s="3" t="s">
        <v>1085</v>
      </c>
      <c r="B1042" s="3" t="str">
        <f>IF(Table1[[#This Row],[Age]]&lt;25,"Under 25",IF(Table1[[#This Row],[Age]]&lt;35,"25-34",IF(Table1[[#This Row],[Age]]&lt;45,"35-44",IF(Table1[[#This Row],[Age]]&lt;55,"45-54","55+"))))</f>
        <v>35-44</v>
      </c>
      <c r="C1042" s="3">
        <v>37</v>
      </c>
      <c r="D1042" s="3" t="s">
        <v>7</v>
      </c>
      <c r="E1042" s="3" t="s">
        <v>34</v>
      </c>
      <c r="F1042" s="3" t="s">
        <v>150</v>
      </c>
      <c r="G1042" s="3" t="s">
        <v>18</v>
      </c>
      <c r="H1042" s="3" t="s">
        <v>11</v>
      </c>
      <c r="I1042" s="3">
        <v>73981</v>
      </c>
      <c r="J1042" s="3">
        <v>14</v>
      </c>
      <c r="K1042" s="3">
        <v>8</v>
      </c>
      <c r="L1042" s="3">
        <v>3</v>
      </c>
      <c r="M1042" s="3">
        <v>2</v>
      </c>
      <c r="N1042" s="3" t="s">
        <v>14</v>
      </c>
      <c r="O1042" s="3" t="s">
        <v>20</v>
      </c>
      <c r="P1042" s="3">
        <v>3</v>
      </c>
      <c r="Q1042" s="3">
        <v>2</v>
      </c>
      <c r="R1042" s="4" t="s">
        <v>14</v>
      </c>
      <c r="S1042" s="4" t="s">
        <v>14</v>
      </c>
      <c r="T1042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1043" spans="1:20" ht="18" x14ac:dyDescent="0.35">
      <c r="A1043" s="3" t="s">
        <v>1086</v>
      </c>
      <c r="B1043" s="3" t="str">
        <f>IF(Table1[[#This Row],[Age]]&lt;25,"Under 25",IF(Table1[[#This Row],[Age]]&lt;35,"25-34",IF(Table1[[#This Row],[Age]]&lt;45,"35-44",IF(Table1[[#This Row],[Age]]&lt;55,"45-54","55+"))))</f>
        <v>25-34</v>
      </c>
      <c r="C1043" s="3">
        <v>27</v>
      </c>
      <c r="D1043" s="3" t="s">
        <v>7</v>
      </c>
      <c r="E1043" s="3" t="s">
        <v>16</v>
      </c>
      <c r="F1043" s="3" t="s">
        <v>47</v>
      </c>
      <c r="G1043" s="3" t="s">
        <v>18</v>
      </c>
      <c r="H1043" s="3" t="s">
        <v>11</v>
      </c>
      <c r="I1043" s="3">
        <v>55266</v>
      </c>
      <c r="J1043" s="3">
        <v>6</v>
      </c>
      <c r="K1043" s="3">
        <v>3</v>
      </c>
      <c r="L1043" s="3">
        <v>2</v>
      </c>
      <c r="M1043" s="3">
        <v>3</v>
      </c>
      <c r="N1043" s="3" t="s">
        <v>14</v>
      </c>
      <c r="O1043" s="3" t="s">
        <v>20</v>
      </c>
      <c r="P1043" s="3">
        <v>3</v>
      </c>
      <c r="Q1043" s="3">
        <v>4</v>
      </c>
      <c r="R1043" s="4" t="s">
        <v>14</v>
      </c>
      <c r="S1043" s="4" t="s">
        <v>14</v>
      </c>
      <c r="T1043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1044" spans="1:20" ht="18" x14ac:dyDescent="0.35">
      <c r="A1044" s="3" t="s">
        <v>1087</v>
      </c>
      <c r="B1044" s="3" t="str">
        <f>IF(Table1[[#This Row],[Age]]&lt;25,"Under 25",IF(Table1[[#This Row],[Age]]&lt;35,"25-34",IF(Table1[[#This Row],[Age]]&lt;45,"35-44",IF(Table1[[#This Row],[Age]]&lt;55,"45-54","55+"))))</f>
        <v>35-44</v>
      </c>
      <c r="C1044" s="3">
        <v>38</v>
      </c>
      <c r="D1044" s="3" t="s">
        <v>7</v>
      </c>
      <c r="E1044" s="3" t="s">
        <v>8</v>
      </c>
      <c r="F1044" s="3" t="s">
        <v>23</v>
      </c>
      <c r="G1044" s="3" t="s">
        <v>25</v>
      </c>
      <c r="H1044" s="3" t="s">
        <v>19</v>
      </c>
      <c r="I1044" s="3">
        <v>53495</v>
      </c>
      <c r="J1044" s="3">
        <v>1</v>
      </c>
      <c r="K1044" s="3">
        <v>1</v>
      </c>
      <c r="L1044" s="3">
        <v>3</v>
      </c>
      <c r="M1044" s="3">
        <v>1</v>
      </c>
      <c r="N1044" s="3" t="s">
        <v>14</v>
      </c>
      <c r="O1044" s="3" t="s">
        <v>13</v>
      </c>
      <c r="P1044" s="3">
        <v>3</v>
      </c>
      <c r="Q1044" s="3">
        <v>3</v>
      </c>
      <c r="R1044" s="4" t="s">
        <v>14</v>
      </c>
      <c r="S1044" s="4" t="s">
        <v>14</v>
      </c>
      <c r="T1044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1045" spans="1:20" ht="18" x14ac:dyDescent="0.35">
      <c r="A1045" s="3" t="s">
        <v>1088</v>
      </c>
      <c r="B1045" s="3" t="str">
        <f>IF(Table1[[#This Row],[Age]]&lt;25,"Under 25",IF(Table1[[#This Row],[Age]]&lt;35,"25-34",IF(Table1[[#This Row],[Age]]&lt;45,"35-44",IF(Table1[[#This Row],[Age]]&lt;55,"45-54","55+"))))</f>
        <v>25-34</v>
      </c>
      <c r="C1045" s="3">
        <v>27</v>
      </c>
      <c r="D1045" s="3" t="s">
        <v>7</v>
      </c>
      <c r="E1045" s="3" t="s">
        <v>16</v>
      </c>
      <c r="F1045" s="3" t="s">
        <v>28</v>
      </c>
      <c r="G1045" s="3" t="s">
        <v>25</v>
      </c>
      <c r="H1045" s="3" t="s">
        <v>11</v>
      </c>
      <c r="I1045" s="3">
        <v>48531</v>
      </c>
      <c r="J1045" s="3">
        <v>3</v>
      </c>
      <c r="K1045" s="3">
        <v>3</v>
      </c>
      <c r="L1045" s="3">
        <v>4</v>
      </c>
      <c r="M1045" s="3">
        <v>1</v>
      </c>
      <c r="N1045" s="3" t="s">
        <v>12</v>
      </c>
      <c r="O1045" s="3" t="s">
        <v>20</v>
      </c>
      <c r="P1045" s="3">
        <v>3</v>
      </c>
      <c r="Q1045" s="3">
        <v>3</v>
      </c>
      <c r="R1045" s="4" t="s">
        <v>14</v>
      </c>
      <c r="S1045" s="4" t="s">
        <v>14</v>
      </c>
      <c r="T1045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1046" spans="1:20" ht="18" x14ac:dyDescent="0.35">
      <c r="A1046" s="3" t="s">
        <v>1089</v>
      </c>
      <c r="B1046" s="3" t="str">
        <f>IF(Table1[[#This Row],[Age]]&lt;25,"Under 25",IF(Table1[[#This Row],[Age]]&lt;35,"25-34",IF(Table1[[#This Row],[Age]]&lt;45,"35-44",IF(Table1[[#This Row],[Age]]&lt;55,"45-54","55+"))))</f>
        <v>Under 25</v>
      </c>
      <c r="C1046" s="3">
        <v>21</v>
      </c>
      <c r="D1046" s="3" t="s">
        <v>22</v>
      </c>
      <c r="E1046" s="3" t="s">
        <v>16</v>
      </c>
      <c r="F1046" s="3" t="s">
        <v>47</v>
      </c>
      <c r="G1046" s="3" t="s">
        <v>10</v>
      </c>
      <c r="H1046" s="3" t="s">
        <v>19</v>
      </c>
      <c r="I1046" s="3">
        <v>66550</v>
      </c>
      <c r="J1046" s="3">
        <v>0</v>
      </c>
      <c r="K1046" s="3">
        <v>0</v>
      </c>
      <c r="L1046" s="3">
        <v>2</v>
      </c>
      <c r="M1046" s="3">
        <v>2</v>
      </c>
      <c r="N1046" s="3" t="s">
        <v>14</v>
      </c>
      <c r="O1046" s="3" t="s">
        <v>26</v>
      </c>
      <c r="P1046" s="3">
        <v>3</v>
      </c>
      <c r="Q1046" s="3">
        <v>1</v>
      </c>
      <c r="R1046" s="4" t="s">
        <v>14</v>
      </c>
      <c r="S1046" s="4" t="s">
        <v>14</v>
      </c>
      <c r="T1046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Less than 1 Year</v>
      </c>
    </row>
    <row r="1047" spans="1:20" ht="18" x14ac:dyDescent="0.35">
      <c r="A1047" s="3" t="s">
        <v>1090</v>
      </c>
      <c r="B1047" s="3" t="str">
        <f>IF(Table1[[#This Row],[Age]]&lt;25,"Under 25",IF(Table1[[#This Row],[Age]]&lt;35,"25-34",IF(Table1[[#This Row],[Age]]&lt;45,"35-44",IF(Table1[[#This Row],[Age]]&lt;55,"45-54","55+"))))</f>
        <v>35-44</v>
      </c>
      <c r="C1047" s="3">
        <v>39</v>
      </c>
      <c r="D1047" s="3" t="s">
        <v>7</v>
      </c>
      <c r="E1047" s="3" t="s">
        <v>38</v>
      </c>
      <c r="F1047" s="3" t="s">
        <v>59</v>
      </c>
      <c r="G1047" s="3" t="s">
        <v>25</v>
      </c>
      <c r="H1047" s="3" t="s">
        <v>19</v>
      </c>
      <c r="I1047" s="3">
        <v>31580</v>
      </c>
      <c r="J1047" s="3">
        <v>5</v>
      </c>
      <c r="K1047" s="3">
        <v>0</v>
      </c>
      <c r="L1047" s="3">
        <v>3</v>
      </c>
      <c r="M1047" s="3">
        <v>4</v>
      </c>
      <c r="N1047" s="3" t="s">
        <v>12</v>
      </c>
      <c r="O1047" s="3" t="s">
        <v>13</v>
      </c>
      <c r="P1047" s="3">
        <v>4</v>
      </c>
      <c r="Q1047" s="3">
        <v>3</v>
      </c>
      <c r="R1047" s="4" t="s">
        <v>14</v>
      </c>
      <c r="S1047" s="4" t="s">
        <v>12</v>
      </c>
      <c r="T1047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1048" spans="1:20" ht="18" x14ac:dyDescent="0.35">
      <c r="A1048" s="3" t="s">
        <v>1091</v>
      </c>
      <c r="B1048" s="3" t="str">
        <f>IF(Table1[[#This Row],[Age]]&lt;25,"Under 25",IF(Table1[[#This Row],[Age]]&lt;35,"25-34",IF(Table1[[#This Row],[Age]]&lt;45,"35-44",IF(Table1[[#This Row],[Age]]&lt;55,"45-54","55+"))))</f>
        <v>25-34</v>
      </c>
      <c r="C1048" s="3">
        <v>29</v>
      </c>
      <c r="D1048" s="3" t="s">
        <v>7</v>
      </c>
      <c r="E1048" s="3" t="s">
        <v>16</v>
      </c>
      <c r="F1048" s="3" t="s">
        <v>47</v>
      </c>
      <c r="G1048" s="3" t="s">
        <v>10</v>
      </c>
      <c r="H1048" s="3" t="s">
        <v>11</v>
      </c>
      <c r="I1048" s="3">
        <v>51427</v>
      </c>
      <c r="J1048" s="3">
        <v>9</v>
      </c>
      <c r="K1048" s="3">
        <v>3</v>
      </c>
      <c r="L1048" s="3">
        <v>3</v>
      </c>
      <c r="M1048" s="3">
        <v>3</v>
      </c>
      <c r="N1048" s="3" t="s">
        <v>12</v>
      </c>
      <c r="O1048" s="3" t="s">
        <v>26</v>
      </c>
      <c r="P1048" s="3">
        <v>3</v>
      </c>
      <c r="Q1048" s="3">
        <v>3</v>
      </c>
      <c r="R1048" s="4" t="s">
        <v>12</v>
      </c>
      <c r="S1048" s="4" t="s">
        <v>14</v>
      </c>
      <c r="T1048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1049" spans="1:20" ht="18" x14ac:dyDescent="0.35">
      <c r="A1049" s="3" t="s">
        <v>1092</v>
      </c>
      <c r="B1049" s="3" t="str">
        <f>IF(Table1[[#This Row],[Age]]&lt;25,"Under 25",IF(Table1[[#This Row],[Age]]&lt;35,"25-34",IF(Table1[[#This Row],[Age]]&lt;45,"35-44",IF(Table1[[#This Row],[Age]]&lt;55,"45-54","55+"))))</f>
        <v>25-34</v>
      </c>
      <c r="C1049" s="3">
        <v>31</v>
      </c>
      <c r="D1049" s="3" t="s">
        <v>7</v>
      </c>
      <c r="E1049" s="3" t="s">
        <v>16</v>
      </c>
      <c r="F1049" s="3" t="s">
        <v>47</v>
      </c>
      <c r="G1049" s="3" t="s">
        <v>10</v>
      </c>
      <c r="H1049" s="3" t="s">
        <v>19</v>
      </c>
      <c r="I1049" s="3">
        <v>44983</v>
      </c>
      <c r="J1049" s="3">
        <v>9</v>
      </c>
      <c r="K1049" s="3">
        <v>3</v>
      </c>
      <c r="L1049" s="3">
        <v>4</v>
      </c>
      <c r="M1049" s="3">
        <v>3</v>
      </c>
      <c r="N1049" s="3" t="s">
        <v>14</v>
      </c>
      <c r="O1049" s="3" t="s">
        <v>13</v>
      </c>
      <c r="P1049" s="3">
        <v>3</v>
      </c>
      <c r="Q1049" s="3">
        <v>6</v>
      </c>
      <c r="R1049" s="4" t="s">
        <v>14</v>
      </c>
      <c r="S1049" s="4" t="s">
        <v>14</v>
      </c>
      <c r="T1049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1050" spans="1:20" ht="18" x14ac:dyDescent="0.35">
      <c r="A1050" s="3" t="s">
        <v>1093</v>
      </c>
      <c r="B1050" s="3" t="str">
        <f>IF(Table1[[#This Row],[Age]]&lt;25,"Under 25",IF(Table1[[#This Row],[Age]]&lt;35,"25-34",IF(Table1[[#This Row],[Age]]&lt;45,"35-44",IF(Table1[[#This Row],[Age]]&lt;55,"45-54","55+"))))</f>
        <v>35-44</v>
      </c>
      <c r="C1050" s="3">
        <v>41</v>
      </c>
      <c r="D1050" s="3" t="s">
        <v>22</v>
      </c>
      <c r="E1050" s="3" t="s">
        <v>31</v>
      </c>
      <c r="F1050" s="3" t="s">
        <v>74</v>
      </c>
      <c r="G1050" s="3" t="s">
        <v>10</v>
      </c>
      <c r="H1050" s="3" t="s">
        <v>19</v>
      </c>
      <c r="I1050" s="3">
        <v>80494</v>
      </c>
      <c r="J1050" s="3">
        <v>11</v>
      </c>
      <c r="K1050" s="3">
        <v>7</v>
      </c>
      <c r="L1050" s="3">
        <v>3</v>
      </c>
      <c r="M1050" s="3">
        <v>3</v>
      </c>
      <c r="N1050" s="3" t="s">
        <v>14</v>
      </c>
      <c r="O1050" s="3" t="s">
        <v>13</v>
      </c>
      <c r="P1050" s="3">
        <v>3</v>
      </c>
      <c r="Q1050" s="3">
        <v>6</v>
      </c>
      <c r="R1050" s="4" t="s">
        <v>14</v>
      </c>
      <c r="S1050" s="4" t="s">
        <v>14</v>
      </c>
      <c r="T1050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1051" spans="1:20" ht="18" x14ac:dyDescent="0.35">
      <c r="A1051" s="3" t="s">
        <v>1094</v>
      </c>
      <c r="B1051" s="3" t="str">
        <f>IF(Table1[[#This Row],[Age]]&lt;25,"Under 25",IF(Table1[[#This Row],[Age]]&lt;35,"25-34",IF(Table1[[#This Row],[Age]]&lt;45,"35-44",IF(Table1[[#This Row],[Age]]&lt;55,"45-54","55+"))))</f>
        <v>35-44</v>
      </c>
      <c r="C1051" s="3">
        <v>41</v>
      </c>
      <c r="D1051" s="3" t="s">
        <v>22</v>
      </c>
      <c r="E1051" s="3" t="s">
        <v>31</v>
      </c>
      <c r="F1051" s="3" t="s">
        <v>32</v>
      </c>
      <c r="G1051" s="3" t="s">
        <v>45</v>
      </c>
      <c r="H1051" s="3" t="s">
        <v>11</v>
      </c>
      <c r="I1051" s="3">
        <v>83217</v>
      </c>
      <c r="J1051" s="3">
        <v>0</v>
      </c>
      <c r="K1051" s="3">
        <v>0</v>
      </c>
      <c r="L1051" s="3">
        <v>3</v>
      </c>
      <c r="M1051" s="3">
        <v>3</v>
      </c>
      <c r="N1051" s="3" t="s">
        <v>14</v>
      </c>
      <c r="O1051" s="3" t="s">
        <v>13</v>
      </c>
      <c r="P1051" s="3">
        <v>3</v>
      </c>
      <c r="Q1051" s="3">
        <v>0</v>
      </c>
      <c r="R1051" s="4" t="s">
        <v>14</v>
      </c>
      <c r="S1051" s="4" t="s">
        <v>14</v>
      </c>
      <c r="T1051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Less than 1 Year</v>
      </c>
    </row>
    <row r="1052" spans="1:20" ht="18" x14ac:dyDescent="0.35">
      <c r="A1052" s="3" t="s">
        <v>1095</v>
      </c>
      <c r="B1052" s="3" t="str">
        <f>IF(Table1[[#This Row],[Age]]&lt;25,"Under 25",IF(Table1[[#This Row],[Age]]&lt;35,"25-34",IF(Table1[[#This Row],[Age]]&lt;45,"35-44",IF(Table1[[#This Row],[Age]]&lt;55,"45-54","55+"))))</f>
        <v>25-34</v>
      </c>
      <c r="C1052" s="3">
        <v>27</v>
      </c>
      <c r="D1052" s="3" t="s">
        <v>7</v>
      </c>
      <c r="E1052" s="3" t="s">
        <v>34</v>
      </c>
      <c r="F1052" s="3" t="s">
        <v>150</v>
      </c>
      <c r="G1052" s="3" t="s">
        <v>25</v>
      </c>
      <c r="H1052" s="3" t="s">
        <v>42</v>
      </c>
      <c r="I1052" s="3">
        <v>56669</v>
      </c>
      <c r="J1052" s="3">
        <v>5</v>
      </c>
      <c r="K1052" s="3">
        <v>1</v>
      </c>
      <c r="L1052" s="3">
        <v>4</v>
      </c>
      <c r="M1052" s="3">
        <v>2</v>
      </c>
      <c r="N1052" s="3" t="s">
        <v>14</v>
      </c>
      <c r="O1052" s="3" t="s">
        <v>26</v>
      </c>
      <c r="P1052" s="3">
        <v>3</v>
      </c>
      <c r="Q1052" s="3">
        <v>5</v>
      </c>
      <c r="R1052" s="4" t="s">
        <v>14</v>
      </c>
      <c r="S1052" s="4" t="s">
        <v>14</v>
      </c>
      <c r="T1052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1053" spans="1:20" ht="18" x14ac:dyDescent="0.35">
      <c r="A1053" s="3" t="s">
        <v>1096</v>
      </c>
      <c r="B1053" s="3" t="str">
        <f>IF(Table1[[#This Row],[Age]]&lt;25,"Under 25",IF(Table1[[#This Row],[Age]]&lt;35,"25-34",IF(Table1[[#This Row],[Age]]&lt;45,"35-44",IF(Table1[[#This Row],[Age]]&lt;55,"45-54","55+"))))</f>
        <v>35-44</v>
      </c>
      <c r="C1053" s="3">
        <v>36</v>
      </c>
      <c r="D1053" s="3" t="s">
        <v>7</v>
      </c>
      <c r="E1053" s="3" t="s">
        <v>31</v>
      </c>
      <c r="F1053" s="3" t="s">
        <v>136</v>
      </c>
      <c r="G1053" s="3" t="s">
        <v>10</v>
      </c>
      <c r="H1053" s="3" t="s">
        <v>11</v>
      </c>
      <c r="I1053" s="3">
        <v>59892</v>
      </c>
      <c r="J1053" s="3">
        <v>8</v>
      </c>
      <c r="K1053" s="3">
        <v>1</v>
      </c>
      <c r="L1053" s="3">
        <v>3</v>
      </c>
      <c r="M1053" s="3">
        <v>2</v>
      </c>
      <c r="N1053" s="3" t="s">
        <v>14</v>
      </c>
      <c r="O1053" s="3" t="s">
        <v>26</v>
      </c>
      <c r="P1053" s="3">
        <v>3</v>
      </c>
      <c r="Q1053" s="3">
        <v>3</v>
      </c>
      <c r="R1053" s="4" t="s">
        <v>12</v>
      </c>
      <c r="S1053" s="4" t="s">
        <v>14</v>
      </c>
      <c r="T1053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1054" spans="1:20" ht="18" x14ac:dyDescent="0.35">
      <c r="A1054" s="3" t="s">
        <v>1097</v>
      </c>
      <c r="B1054" s="3" t="str">
        <f>IF(Table1[[#This Row],[Age]]&lt;25,"Under 25",IF(Table1[[#This Row],[Age]]&lt;35,"25-34",IF(Table1[[#This Row],[Age]]&lt;45,"35-44",IF(Table1[[#This Row],[Age]]&lt;55,"45-54","55+"))))</f>
        <v>45-54</v>
      </c>
      <c r="C1054" s="3">
        <v>48</v>
      </c>
      <c r="D1054" s="3" t="s">
        <v>7</v>
      </c>
      <c r="E1054" s="3" t="s">
        <v>16</v>
      </c>
      <c r="F1054" s="3" t="s">
        <v>28</v>
      </c>
      <c r="G1054" s="3" t="s">
        <v>25</v>
      </c>
      <c r="H1054" s="3" t="s">
        <v>11</v>
      </c>
      <c r="I1054" s="3">
        <v>48898</v>
      </c>
      <c r="J1054" s="3">
        <v>20</v>
      </c>
      <c r="K1054" s="3">
        <v>6</v>
      </c>
      <c r="L1054" s="3">
        <v>2</v>
      </c>
      <c r="M1054" s="3">
        <v>4</v>
      </c>
      <c r="N1054" s="3" t="s">
        <v>12</v>
      </c>
      <c r="O1054" s="3" t="s">
        <v>13</v>
      </c>
      <c r="P1054" s="3">
        <v>3</v>
      </c>
      <c r="Q1054" s="3">
        <v>6</v>
      </c>
      <c r="R1054" s="4" t="s">
        <v>14</v>
      </c>
      <c r="S1054" s="4" t="s">
        <v>12</v>
      </c>
      <c r="T1054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1055" spans="1:20" ht="18" x14ac:dyDescent="0.35">
      <c r="A1055" s="3" t="s">
        <v>1098</v>
      </c>
      <c r="B1055" s="3" t="str">
        <f>IF(Table1[[#This Row],[Age]]&lt;25,"Under 25",IF(Table1[[#This Row],[Age]]&lt;35,"25-34",IF(Table1[[#This Row],[Age]]&lt;45,"35-44",IF(Table1[[#This Row],[Age]]&lt;55,"45-54","55+"))))</f>
        <v>45-54</v>
      </c>
      <c r="C1055" s="3">
        <v>48</v>
      </c>
      <c r="D1055" s="3" t="s">
        <v>7</v>
      </c>
      <c r="E1055" s="3" t="s">
        <v>16</v>
      </c>
      <c r="F1055" s="3" t="s">
        <v>47</v>
      </c>
      <c r="G1055" s="3" t="s">
        <v>25</v>
      </c>
      <c r="H1055" s="3" t="s">
        <v>19</v>
      </c>
      <c r="I1055" s="3">
        <v>72834</v>
      </c>
      <c r="J1055" s="3">
        <v>0</v>
      </c>
      <c r="K1055" s="3">
        <v>0</v>
      </c>
      <c r="L1055" s="3">
        <v>2</v>
      </c>
      <c r="M1055" s="3">
        <v>2</v>
      </c>
      <c r="N1055" s="3" t="s">
        <v>14</v>
      </c>
      <c r="O1055" s="3" t="s">
        <v>26</v>
      </c>
      <c r="P1055" s="3">
        <v>4</v>
      </c>
      <c r="Q1055" s="3">
        <v>3</v>
      </c>
      <c r="R1055" s="4" t="s">
        <v>12</v>
      </c>
      <c r="S1055" s="4" t="s">
        <v>14</v>
      </c>
      <c r="T1055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Less than 1 Year</v>
      </c>
    </row>
    <row r="1056" spans="1:20" ht="18" x14ac:dyDescent="0.35">
      <c r="A1056" s="3" t="s">
        <v>1099</v>
      </c>
      <c r="B1056" s="3" t="str">
        <f>IF(Table1[[#This Row],[Age]]&lt;25,"Under 25",IF(Table1[[#This Row],[Age]]&lt;35,"25-34",IF(Table1[[#This Row],[Age]]&lt;45,"35-44",IF(Table1[[#This Row],[Age]]&lt;55,"45-54","55+"))))</f>
        <v>25-34</v>
      </c>
      <c r="C1056" s="3">
        <v>33</v>
      </c>
      <c r="D1056" s="3" t="s">
        <v>22</v>
      </c>
      <c r="E1056" s="3" t="s">
        <v>8</v>
      </c>
      <c r="F1056" s="3" t="s">
        <v>23</v>
      </c>
      <c r="G1056" s="3" t="s">
        <v>18</v>
      </c>
      <c r="H1056" s="3" t="s">
        <v>11</v>
      </c>
      <c r="I1056" s="3">
        <v>60707</v>
      </c>
      <c r="J1056" s="3">
        <v>0</v>
      </c>
      <c r="K1056" s="3">
        <v>0</v>
      </c>
      <c r="L1056" s="3">
        <v>2</v>
      </c>
      <c r="M1056" s="3">
        <v>3</v>
      </c>
      <c r="N1056" s="3" t="s">
        <v>12</v>
      </c>
      <c r="O1056" s="3" t="s">
        <v>13</v>
      </c>
      <c r="P1056" s="3">
        <v>3</v>
      </c>
      <c r="Q1056" s="3">
        <v>5</v>
      </c>
      <c r="R1056" s="4" t="s">
        <v>14</v>
      </c>
      <c r="S1056" s="4" t="s">
        <v>14</v>
      </c>
      <c r="T1056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Less than 1 Year</v>
      </c>
    </row>
    <row r="1057" spans="1:20" ht="18" x14ac:dyDescent="0.35">
      <c r="A1057" s="3" t="s">
        <v>1100</v>
      </c>
      <c r="B1057" s="3" t="str">
        <f>IF(Table1[[#This Row],[Age]]&lt;25,"Under 25",IF(Table1[[#This Row],[Age]]&lt;35,"25-34",IF(Table1[[#This Row],[Age]]&lt;45,"35-44",IF(Table1[[#This Row],[Age]]&lt;55,"45-54","55+"))))</f>
        <v>25-34</v>
      </c>
      <c r="C1057" s="3">
        <v>27</v>
      </c>
      <c r="D1057" s="3" t="s">
        <v>7</v>
      </c>
      <c r="E1057" s="3" t="s">
        <v>16</v>
      </c>
      <c r="F1057" s="3" t="s">
        <v>47</v>
      </c>
      <c r="G1057" s="3" t="s">
        <v>10</v>
      </c>
      <c r="H1057" s="3" t="s">
        <v>19</v>
      </c>
      <c r="I1057" s="3">
        <v>52801</v>
      </c>
      <c r="J1057" s="3">
        <v>2</v>
      </c>
      <c r="K1057" s="3">
        <v>1</v>
      </c>
      <c r="L1057" s="3">
        <v>1</v>
      </c>
      <c r="M1057" s="3">
        <v>4</v>
      </c>
      <c r="N1057" s="3" t="s">
        <v>14</v>
      </c>
      <c r="O1057" s="3" t="s">
        <v>13</v>
      </c>
      <c r="P1057" s="3">
        <v>2</v>
      </c>
      <c r="Q1057" s="3">
        <v>2</v>
      </c>
      <c r="R1057" s="4" t="s">
        <v>14</v>
      </c>
      <c r="S1057" s="4" t="s">
        <v>14</v>
      </c>
      <c r="T1057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1058" spans="1:20" ht="18" x14ac:dyDescent="0.35">
      <c r="A1058" s="3" t="s">
        <v>1101</v>
      </c>
      <c r="B1058" s="3" t="str">
        <f>IF(Table1[[#This Row],[Age]]&lt;25,"Under 25",IF(Table1[[#This Row],[Age]]&lt;35,"25-34",IF(Table1[[#This Row],[Age]]&lt;45,"35-44",IF(Table1[[#This Row],[Age]]&lt;55,"45-54","55+"))))</f>
        <v>25-34</v>
      </c>
      <c r="C1058" s="3">
        <v>34</v>
      </c>
      <c r="D1058" s="3" t="s">
        <v>7</v>
      </c>
      <c r="E1058" s="3" t="s">
        <v>51</v>
      </c>
      <c r="F1058" s="3" t="s">
        <v>52</v>
      </c>
      <c r="G1058" s="3" t="s">
        <v>25</v>
      </c>
      <c r="H1058" s="3" t="s">
        <v>11</v>
      </c>
      <c r="I1058" s="3">
        <v>46236</v>
      </c>
      <c r="J1058" s="3">
        <v>3</v>
      </c>
      <c r="K1058" s="3">
        <v>0</v>
      </c>
      <c r="L1058" s="3">
        <v>4</v>
      </c>
      <c r="M1058" s="3">
        <v>3</v>
      </c>
      <c r="N1058" s="3" t="s">
        <v>14</v>
      </c>
      <c r="O1058" s="3" t="s">
        <v>20</v>
      </c>
      <c r="P1058" s="3">
        <v>3</v>
      </c>
      <c r="Q1058" s="3">
        <v>4</v>
      </c>
      <c r="R1058" s="4" t="s">
        <v>14</v>
      </c>
      <c r="S1058" s="4" t="s">
        <v>14</v>
      </c>
      <c r="T1058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1059" spans="1:20" ht="18" x14ac:dyDescent="0.35">
      <c r="A1059" s="3" t="s">
        <v>1102</v>
      </c>
      <c r="B1059" s="3" t="str">
        <f>IF(Table1[[#This Row],[Age]]&lt;25,"Under 25",IF(Table1[[#This Row],[Age]]&lt;35,"25-34",IF(Table1[[#This Row],[Age]]&lt;45,"35-44",IF(Table1[[#This Row],[Age]]&lt;55,"45-54","55+"))))</f>
        <v>25-34</v>
      </c>
      <c r="C1059" s="3">
        <v>32</v>
      </c>
      <c r="D1059" s="3" t="s">
        <v>7</v>
      </c>
      <c r="E1059" s="3" t="s">
        <v>31</v>
      </c>
      <c r="F1059" s="3" t="s">
        <v>32</v>
      </c>
      <c r="G1059" s="3" t="s">
        <v>10</v>
      </c>
      <c r="H1059" s="3" t="s">
        <v>11</v>
      </c>
      <c r="I1059" s="3">
        <v>47790</v>
      </c>
      <c r="J1059" s="3">
        <v>0</v>
      </c>
      <c r="K1059" s="3">
        <v>0</v>
      </c>
      <c r="L1059" s="3">
        <v>4</v>
      </c>
      <c r="M1059" s="3">
        <v>3</v>
      </c>
      <c r="N1059" s="3" t="s">
        <v>14</v>
      </c>
      <c r="O1059" s="3" t="s">
        <v>13</v>
      </c>
      <c r="P1059" s="3">
        <v>2</v>
      </c>
      <c r="Q1059" s="3">
        <v>1</v>
      </c>
      <c r="R1059" s="4" t="s">
        <v>14</v>
      </c>
      <c r="S1059" s="4" t="s">
        <v>14</v>
      </c>
      <c r="T1059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Less than 1 Year</v>
      </c>
    </row>
    <row r="1060" spans="1:20" ht="18" x14ac:dyDescent="0.35">
      <c r="A1060" s="3" t="s">
        <v>1103</v>
      </c>
      <c r="B1060" s="3" t="str">
        <f>IF(Table1[[#This Row],[Age]]&lt;25,"Under 25",IF(Table1[[#This Row],[Age]]&lt;35,"25-34",IF(Table1[[#This Row],[Age]]&lt;45,"35-44",IF(Table1[[#This Row],[Age]]&lt;55,"45-54","55+"))))</f>
        <v>25-34</v>
      </c>
      <c r="C1060" s="3">
        <v>34</v>
      </c>
      <c r="D1060" s="3" t="s">
        <v>7</v>
      </c>
      <c r="E1060" s="3" t="s">
        <v>8</v>
      </c>
      <c r="F1060" s="3" t="s">
        <v>66</v>
      </c>
      <c r="G1060" s="3" t="s">
        <v>10</v>
      </c>
      <c r="H1060" s="3" t="s">
        <v>19</v>
      </c>
      <c r="I1060" s="3">
        <v>63280</v>
      </c>
      <c r="J1060" s="3">
        <v>0</v>
      </c>
      <c r="K1060" s="3">
        <v>0</v>
      </c>
      <c r="L1060" s="3">
        <v>4</v>
      </c>
      <c r="M1060" s="3">
        <v>3</v>
      </c>
      <c r="N1060" s="3" t="s">
        <v>14</v>
      </c>
      <c r="O1060" s="3" t="s">
        <v>13</v>
      </c>
      <c r="P1060" s="3">
        <v>4</v>
      </c>
      <c r="Q1060" s="3">
        <v>4</v>
      </c>
      <c r="R1060" s="4" t="s">
        <v>12</v>
      </c>
      <c r="S1060" s="4" t="s">
        <v>14</v>
      </c>
      <c r="T1060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Less than 1 Year</v>
      </c>
    </row>
    <row r="1061" spans="1:20" ht="18" x14ac:dyDescent="0.35">
      <c r="A1061" s="3" t="s">
        <v>1104</v>
      </c>
      <c r="B1061" s="3" t="str">
        <f>IF(Table1[[#This Row],[Age]]&lt;25,"Under 25",IF(Table1[[#This Row],[Age]]&lt;35,"25-34",IF(Table1[[#This Row],[Age]]&lt;45,"35-44",IF(Table1[[#This Row],[Age]]&lt;55,"45-54","55+"))))</f>
        <v>35-44</v>
      </c>
      <c r="C1061" s="3">
        <v>38</v>
      </c>
      <c r="D1061" s="3" t="s">
        <v>7</v>
      </c>
      <c r="E1061" s="3" t="s">
        <v>38</v>
      </c>
      <c r="F1061" s="3" t="s">
        <v>39</v>
      </c>
      <c r="G1061" s="3" t="s">
        <v>25</v>
      </c>
      <c r="H1061" s="3" t="s">
        <v>19</v>
      </c>
      <c r="I1061" s="3">
        <v>105752</v>
      </c>
      <c r="J1061" s="3">
        <v>4</v>
      </c>
      <c r="K1061" s="3">
        <v>1</v>
      </c>
      <c r="L1061" s="3">
        <v>2</v>
      </c>
      <c r="M1061" s="3">
        <v>2</v>
      </c>
      <c r="N1061" s="3" t="s">
        <v>12</v>
      </c>
      <c r="O1061" s="3" t="s">
        <v>20</v>
      </c>
      <c r="P1061" s="3">
        <v>2</v>
      </c>
      <c r="Q1061" s="3">
        <v>4</v>
      </c>
      <c r="R1061" s="4" t="s">
        <v>14</v>
      </c>
      <c r="S1061" s="4" t="s">
        <v>12</v>
      </c>
      <c r="T1061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1062" spans="1:20" ht="18" x14ac:dyDescent="0.35">
      <c r="A1062" s="3" t="s">
        <v>1105</v>
      </c>
      <c r="B1062" s="3" t="str">
        <f>IF(Table1[[#This Row],[Age]]&lt;25,"Under 25",IF(Table1[[#This Row],[Age]]&lt;35,"25-34",IF(Table1[[#This Row],[Age]]&lt;45,"35-44",IF(Table1[[#This Row],[Age]]&lt;55,"45-54","55+"))))</f>
        <v>35-44</v>
      </c>
      <c r="C1062" s="3">
        <v>43</v>
      </c>
      <c r="D1062" s="3" t="s">
        <v>22</v>
      </c>
      <c r="E1062" s="3" t="s">
        <v>31</v>
      </c>
      <c r="F1062" s="3" t="s">
        <v>136</v>
      </c>
      <c r="G1062" s="3" t="s">
        <v>10</v>
      </c>
      <c r="H1062" s="3" t="s">
        <v>11</v>
      </c>
      <c r="I1062" s="3">
        <v>96688</v>
      </c>
      <c r="J1062" s="3">
        <v>6</v>
      </c>
      <c r="K1062" s="3">
        <v>5</v>
      </c>
      <c r="L1062" s="3">
        <v>4</v>
      </c>
      <c r="M1062" s="3">
        <v>4</v>
      </c>
      <c r="N1062" s="3" t="s">
        <v>14</v>
      </c>
      <c r="O1062" s="3" t="s">
        <v>20</v>
      </c>
      <c r="P1062" s="3">
        <v>3</v>
      </c>
      <c r="Q1062" s="3">
        <v>3</v>
      </c>
      <c r="R1062" s="4" t="s">
        <v>14</v>
      </c>
      <c r="S1062" s="4" t="s">
        <v>14</v>
      </c>
      <c r="T1062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1063" spans="1:20" ht="18" x14ac:dyDescent="0.35">
      <c r="A1063" s="3" t="s">
        <v>1106</v>
      </c>
      <c r="B1063" s="3" t="str">
        <f>IF(Table1[[#This Row],[Age]]&lt;25,"Under 25",IF(Table1[[#This Row],[Age]]&lt;35,"25-34",IF(Table1[[#This Row],[Age]]&lt;45,"35-44",IF(Table1[[#This Row],[Age]]&lt;55,"45-54","55+"))))</f>
        <v>Under 25</v>
      </c>
      <c r="C1063" s="3">
        <v>21</v>
      </c>
      <c r="D1063" s="3" t="s">
        <v>22</v>
      </c>
      <c r="E1063" s="3" t="s">
        <v>38</v>
      </c>
      <c r="F1063" s="3" t="s">
        <v>39</v>
      </c>
      <c r="G1063" s="3" t="s">
        <v>10</v>
      </c>
      <c r="H1063" s="3" t="s">
        <v>19</v>
      </c>
      <c r="I1063" s="3">
        <v>22000</v>
      </c>
      <c r="J1063" s="3">
        <v>2</v>
      </c>
      <c r="K1063" s="3">
        <v>0</v>
      </c>
      <c r="L1063" s="3">
        <v>2</v>
      </c>
      <c r="M1063" s="3">
        <v>4</v>
      </c>
      <c r="N1063" s="3" t="s">
        <v>14</v>
      </c>
      <c r="O1063" s="3" t="s">
        <v>20</v>
      </c>
      <c r="P1063" s="3">
        <v>3</v>
      </c>
      <c r="Q1063" s="3">
        <v>3</v>
      </c>
      <c r="R1063" s="4" t="s">
        <v>12</v>
      </c>
      <c r="S1063" s="4" t="s">
        <v>14</v>
      </c>
      <c r="T1063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1064" spans="1:20" ht="18" x14ac:dyDescent="0.35">
      <c r="A1064" s="3" t="s">
        <v>1107</v>
      </c>
      <c r="B1064" s="3" t="str">
        <f>IF(Table1[[#This Row],[Age]]&lt;25,"Under 25",IF(Table1[[#This Row],[Age]]&lt;35,"25-34",IF(Table1[[#This Row],[Age]]&lt;45,"35-44",IF(Table1[[#This Row],[Age]]&lt;55,"45-54","55+"))))</f>
        <v>35-44</v>
      </c>
      <c r="C1064" s="3">
        <v>43</v>
      </c>
      <c r="D1064" s="3" t="s">
        <v>7</v>
      </c>
      <c r="E1064" s="3" t="s">
        <v>16</v>
      </c>
      <c r="F1064" s="3" t="s">
        <v>47</v>
      </c>
      <c r="G1064" s="3" t="s">
        <v>10</v>
      </c>
      <c r="H1064" s="3" t="s">
        <v>11</v>
      </c>
      <c r="I1064" s="3">
        <v>69254</v>
      </c>
      <c r="J1064" s="3">
        <v>17</v>
      </c>
      <c r="K1064" s="3">
        <v>7</v>
      </c>
      <c r="L1064" s="3">
        <v>3</v>
      </c>
      <c r="M1064" s="3">
        <v>3</v>
      </c>
      <c r="N1064" s="3" t="s">
        <v>12</v>
      </c>
      <c r="O1064" s="3" t="s">
        <v>13</v>
      </c>
      <c r="P1064" s="3">
        <v>2</v>
      </c>
      <c r="Q1064" s="3">
        <v>3</v>
      </c>
      <c r="R1064" s="4" t="s">
        <v>14</v>
      </c>
      <c r="S1064" s="4" t="s">
        <v>14</v>
      </c>
      <c r="T1064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1065" spans="1:20" ht="18" x14ac:dyDescent="0.35">
      <c r="A1065" s="3" t="s">
        <v>1108</v>
      </c>
      <c r="B1065" s="3" t="str">
        <f>IF(Table1[[#This Row],[Age]]&lt;25,"Under 25",IF(Table1[[#This Row],[Age]]&lt;35,"25-34",IF(Table1[[#This Row],[Age]]&lt;45,"35-44",IF(Table1[[#This Row],[Age]]&lt;55,"45-54","55+"))))</f>
        <v>35-44</v>
      </c>
      <c r="C1065" s="3">
        <v>35</v>
      </c>
      <c r="D1065" s="3" t="s">
        <v>22</v>
      </c>
      <c r="E1065" s="3" t="s">
        <v>16</v>
      </c>
      <c r="F1065" s="3" t="s">
        <v>17</v>
      </c>
      <c r="G1065" s="3" t="s">
        <v>25</v>
      </c>
      <c r="H1065" s="3" t="s">
        <v>11</v>
      </c>
      <c r="I1065" s="3">
        <v>67124</v>
      </c>
      <c r="J1065" s="3">
        <v>8</v>
      </c>
      <c r="K1065" s="3">
        <v>3</v>
      </c>
      <c r="L1065" s="3">
        <v>4</v>
      </c>
      <c r="M1065" s="3">
        <v>3</v>
      </c>
      <c r="N1065" s="3" t="s">
        <v>14</v>
      </c>
      <c r="O1065" s="3" t="s">
        <v>20</v>
      </c>
      <c r="P1065" s="3">
        <v>3</v>
      </c>
      <c r="Q1065" s="3">
        <v>3</v>
      </c>
      <c r="R1065" s="4" t="s">
        <v>14</v>
      </c>
      <c r="S1065" s="4" t="s">
        <v>14</v>
      </c>
      <c r="T1065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1066" spans="1:20" ht="18" x14ac:dyDescent="0.35">
      <c r="A1066" s="3" t="s">
        <v>1109</v>
      </c>
      <c r="B1066" s="3" t="str">
        <f>IF(Table1[[#This Row],[Age]]&lt;25,"Under 25",IF(Table1[[#This Row],[Age]]&lt;35,"25-34",IF(Table1[[#This Row],[Age]]&lt;45,"35-44",IF(Table1[[#This Row],[Age]]&lt;55,"45-54","55+"))))</f>
        <v>45-54</v>
      </c>
      <c r="C1066" s="3">
        <v>47</v>
      </c>
      <c r="D1066" s="3" t="s">
        <v>22</v>
      </c>
      <c r="E1066" s="3" t="s">
        <v>38</v>
      </c>
      <c r="F1066" s="3" t="s">
        <v>89</v>
      </c>
      <c r="G1066" s="3" t="s">
        <v>10</v>
      </c>
      <c r="H1066" s="3" t="s">
        <v>19</v>
      </c>
      <c r="I1066" s="3">
        <v>64559</v>
      </c>
      <c r="J1066" s="3">
        <v>6</v>
      </c>
      <c r="K1066" s="3">
        <v>3</v>
      </c>
      <c r="L1066" s="3">
        <v>2</v>
      </c>
      <c r="M1066" s="3">
        <v>4</v>
      </c>
      <c r="N1066" s="3" t="s">
        <v>12</v>
      </c>
      <c r="O1066" s="3" t="s">
        <v>13</v>
      </c>
      <c r="P1066" s="3">
        <v>3</v>
      </c>
      <c r="Q1066" s="3">
        <v>4</v>
      </c>
      <c r="R1066" s="4" t="s">
        <v>14</v>
      </c>
      <c r="S1066" s="4" t="s">
        <v>14</v>
      </c>
      <c r="T1066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1067" spans="1:20" ht="18" x14ac:dyDescent="0.35">
      <c r="A1067" s="3" t="s">
        <v>1110</v>
      </c>
      <c r="B1067" s="3" t="str">
        <f>IF(Table1[[#This Row],[Age]]&lt;25,"Under 25",IF(Table1[[#This Row],[Age]]&lt;35,"25-34",IF(Table1[[#This Row],[Age]]&lt;45,"35-44",IF(Table1[[#This Row],[Age]]&lt;55,"45-54","55+"))))</f>
        <v>25-34</v>
      </c>
      <c r="C1067" s="3">
        <v>28</v>
      </c>
      <c r="D1067" s="3" t="s">
        <v>7</v>
      </c>
      <c r="E1067" s="3" t="s">
        <v>8</v>
      </c>
      <c r="F1067" s="3" t="s">
        <v>9</v>
      </c>
      <c r="G1067" s="3" t="s">
        <v>25</v>
      </c>
      <c r="H1067" s="3" t="s">
        <v>11</v>
      </c>
      <c r="I1067" s="3">
        <v>85221</v>
      </c>
      <c r="J1067" s="3">
        <v>6</v>
      </c>
      <c r="K1067" s="3">
        <v>6</v>
      </c>
      <c r="L1067" s="3">
        <v>2</v>
      </c>
      <c r="M1067" s="3">
        <v>2</v>
      </c>
      <c r="N1067" s="3" t="s">
        <v>14</v>
      </c>
      <c r="O1067" s="3" t="s">
        <v>13</v>
      </c>
      <c r="P1067" s="3">
        <v>3</v>
      </c>
      <c r="Q1067" s="3">
        <v>4</v>
      </c>
      <c r="R1067" s="4" t="s">
        <v>14</v>
      </c>
      <c r="S1067" s="4" t="s">
        <v>14</v>
      </c>
      <c r="T1067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1068" spans="1:20" ht="18" x14ac:dyDescent="0.35">
      <c r="A1068" s="3" t="s">
        <v>1111</v>
      </c>
      <c r="B1068" s="3" t="str">
        <f>IF(Table1[[#This Row],[Age]]&lt;25,"Under 25",IF(Table1[[#This Row],[Age]]&lt;35,"25-34",IF(Table1[[#This Row],[Age]]&lt;45,"35-44",IF(Table1[[#This Row],[Age]]&lt;55,"45-54","55+"))))</f>
        <v>45-54</v>
      </c>
      <c r="C1068" s="3">
        <v>47</v>
      </c>
      <c r="D1068" s="3" t="s">
        <v>22</v>
      </c>
      <c r="E1068" s="3" t="s">
        <v>16</v>
      </c>
      <c r="F1068" s="3" t="s">
        <v>17</v>
      </c>
      <c r="G1068" s="3" t="s">
        <v>18</v>
      </c>
      <c r="H1068" s="3" t="s">
        <v>11</v>
      </c>
      <c r="I1068" s="3">
        <v>29779</v>
      </c>
      <c r="J1068" s="3">
        <v>7</v>
      </c>
      <c r="K1068" s="3">
        <v>2</v>
      </c>
      <c r="L1068" s="3">
        <v>2</v>
      </c>
      <c r="M1068" s="3">
        <v>2</v>
      </c>
      <c r="N1068" s="3" t="s">
        <v>12</v>
      </c>
      <c r="O1068" s="3" t="s">
        <v>26</v>
      </c>
      <c r="P1068" s="3">
        <v>3</v>
      </c>
      <c r="Q1068" s="3">
        <v>1</v>
      </c>
      <c r="R1068" s="4" t="s">
        <v>14</v>
      </c>
      <c r="S1068" s="4" t="s">
        <v>14</v>
      </c>
      <c r="T1068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1069" spans="1:20" ht="18" x14ac:dyDescent="0.35">
      <c r="A1069" s="3" t="s">
        <v>1112</v>
      </c>
      <c r="B1069" s="3" t="str">
        <f>IF(Table1[[#This Row],[Age]]&lt;25,"Under 25",IF(Table1[[#This Row],[Age]]&lt;35,"25-34",IF(Table1[[#This Row],[Age]]&lt;45,"35-44",IF(Table1[[#This Row],[Age]]&lt;55,"45-54","55+"))))</f>
        <v>35-44</v>
      </c>
      <c r="C1069" s="3">
        <v>42</v>
      </c>
      <c r="D1069" s="3" t="s">
        <v>22</v>
      </c>
      <c r="E1069" s="3" t="s">
        <v>34</v>
      </c>
      <c r="F1069" s="3" t="s">
        <v>54</v>
      </c>
      <c r="G1069" s="3" t="s">
        <v>10</v>
      </c>
      <c r="H1069" s="3" t="s">
        <v>42</v>
      </c>
      <c r="I1069" s="3">
        <v>32597</v>
      </c>
      <c r="J1069" s="3">
        <v>23</v>
      </c>
      <c r="K1069" s="3">
        <v>8</v>
      </c>
      <c r="L1069" s="3">
        <v>2</v>
      </c>
      <c r="M1069" s="3">
        <v>3</v>
      </c>
      <c r="N1069" s="3" t="s">
        <v>14</v>
      </c>
      <c r="O1069" s="3" t="s">
        <v>13</v>
      </c>
      <c r="P1069" s="3">
        <v>4</v>
      </c>
      <c r="Q1069" s="3">
        <v>3</v>
      </c>
      <c r="R1069" s="4" t="s">
        <v>14</v>
      </c>
      <c r="S1069" s="4" t="s">
        <v>14</v>
      </c>
      <c r="T1069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1070" spans="1:20" ht="18" x14ac:dyDescent="0.35">
      <c r="A1070" s="3" t="s">
        <v>1113</v>
      </c>
      <c r="B1070" s="3" t="str">
        <f>IF(Table1[[#This Row],[Age]]&lt;25,"Under 25",IF(Table1[[#This Row],[Age]]&lt;35,"25-34",IF(Table1[[#This Row],[Age]]&lt;45,"35-44",IF(Table1[[#This Row],[Age]]&lt;55,"45-54","55+"))))</f>
        <v>35-44</v>
      </c>
      <c r="C1070" s="3">
        <v>43</v>
      </c>
      <c r="D1070" s="3" t="s">
        <v>7</v>
      </c>
      <c r="E1070" s="3" t="s">
        <v>8</v>
      </c>
      <c r="F1070" s="3" t="s">
        <v>66</v>
      </c>
      <c r="G1070" s="3" t="s">
        <v>18</v>
      </c>
      <c r="H1070" s="3" t="s">
        <v>11</v>
      </c>
      <c r="I1070" s="3">
        <v>95490</v>
      </c>
      <c r="J1070" s="3">
        <v>2</v>
      </c>
      <c r="K1070" s="3">
        <v>2</v>
      </c>
      <c r="L1070" s="3">
        <v>4</v>
      </c>
      <c r="M1070" s="3">
        <v>3</v>
      </c>
      <c r="N1070" s="3" t="s">
        <v>14</v>
      </c>
      <c r="O1070" s="3" t="s">
        <v>13</v>
      </c>
      <c r="P1070" s="3">
        <v>3</v>
      </c>
      <c r="Q1070" s="3">
        <v>0</v>
      </c>
      <c r="R1070" s="4" t="s">
        <v>14</v>
      </c>
      <c r="S1070" s="4" t="s">
        <v>14</v>
      </c>
      <c r="T1070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1071" spans="1:20" ht="18" x14ac:dyDescent="0.35">
      <c r="A1071" s="3" t="s">
        <v>1114</v>
      </c>
      <c r="B1071" s="3" t="str">
        <f>IF(Table1[[#This Row],[Age]]&lt;25,"Under 25",IF(Table1[[#This Row],[Age]]&lt;35,"25-34",IF(Table1[[#This Row],[Age]]&lt;45,"35-44",IF(Table1[[#This Row],[Age]]&lt;55,"45-54","55+"))))</f>
        <v>25-34</v>
      </c>
      <c r="C1071" s="3">
        <v>34</v>
      </c>
      <c r="D1071" s="3" t="s">
        <v>7</v>
      </c>
      <c r="E1071" s="3" t="s">
        <v>34</v>
      </c>
      <c r="F1071" s="3" t="s">
        <v>35</v>
      </c>
      <c r="G1071" s="3" t="s">
        <v>10</v>
      </c>
      <c r="H1071" s="3" t="s">
        <v>19</v>
      </c>
      <c r="I1071" s="3">
        <v>51023</v>
      </c>
      <c r="J1071" s="3">
        <v>5</v>
      </c>
      <c r="K1071" s="3">
        <v>3</v>
      </c>
      <c r="L1071" s="3">
        <v>3</v>
      </c>
      <c r="M1071" s="3">
        <v>4</v>
      </c>
      <c r="N1071" s="3" t="s">
        <v>14</v>
      </c>
      <c r="O1071" s="3" t="s">
        <v>13</v>
      </c>
      <c r="P1071" s="3">
        <v>4</v>
      </c>
      <c r="Q1071" s="3">
        <v>0</v>
      </c>
      <c r="R1071" s="4" t="s">
        <v>12</v>
      </c>
      <c r="S1071" s="4" t="s">
        <v>14</v>
      </c>
      <c r="T1071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1072" spans="1:20" ht="18" x14ac:dyDescent="0.35">
      <c r="A1072" s="3" t="s">
        <v>1115</v>
      </c>
      <c r="B1072" s="3" t="str">
        <f>IF(Table1[[#This Row],[Age]]&lt;25,"Under 25",IF(Table1[[#This Row],[Age]]&lt;35,"25-34",IF(Table1[[#This Row],[Age]]&lt;45,"35-44",IF(Table1[[#This Row],[Age]]&lt;55,"45-54","55+"))))</f>
        <v>35-44</v>
      </c>
      <c r="C1072" s="3">
        <v>43</v>
      </c>
      <c r="D1072" s="3" t="s">
        <v>22</v>
      </c>
      <c r="E1072" s="3" t="s">
        <v>31</v>
      </c>
      <c r="F1072" s="3" t="s">
        <v>32</v>
      </c>
      <c r="G1072" s="3" t="s">
        <v>10</v>
      </c>
      <c r="H1072" s="3" t="s">
        <v>11</v>
      </c>
      <c r="I1072" s="3">
        <v>41984</v>
      </c>
      <c r="J1072" s="3">
        <v>0</v>
      </c>
      <c r="K1072" s="3">
        <v>0</v>
      </c>
      <c r="L1072" s="3">
        <v>3</v>
      </c>
      <c r="M1072" s="3">
        <v>3</v>
      </c>
      <c r="N1072" s="3" t="s">
        <v>14</v>
      </c>
      <c r="O1072" s="3" t="s">
        <v>13</v>
      </c>
      <c r="P1072" s="3">
        <v>3</v>
      </c>
      <c r="Q1072" s="3">
        <v>5</v>
      </c>
      <c r="R1072" s="4" t="s">
        <v>14</v>
      </c>
      <c r="S1072" s="4" t="s">
        <v>14</v>
      </c>
      <c r="T1072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Less than 1 Year</v>
      </c>
    </row>
    <row r="1073" spans="1:20" ht="18" x14ac:dyDescent="0.35">
      <c r="A1073" s="3" t="s">
        <v>1116</v>
      </c>
      <c r="B1073" s="3" t="str">
        <f>IF(Table1[[#This Row],[Age]]&lt;25,"Under 25",IF(Table1[[#This Row],[Age]]&lt;35,"25-34",IF(Table1[[#This Row],[Age]]&lt;45,"35-44",IF(Table1[[#This Row],[Age]]&lt;55,"45-54","55+"))))</f>
        <v>35-44</v>
      </c>
      <c r="C1073" s="3">
        <v>41</v>
      </c>
      <c r="D1073" s="3" t="s">
        <v>22</v>
      </c>
      <c r="E1073" s="3" t="s">
        <v>8</v>
      </c>
      <c r="F1073" s="3" t="s">
        <v>23</v>
      </c>
      <c r="G1073" s="3" t="s">
        <v>10</v>
      </c>
      <c r="H1073" s="3" t="s">
        <v>11</v>
      </c>
      <c r="I1073" s="3">
        <v>52226</v>
      </c>
      <c r="J1073" s="3">
        <v>9</v>
      </c>
      <c r="K1073" s="3">
        <v>8</v>
      </c>
      <c r="L1073" s="3">
        <v>3</v>
      </c>
      <c r="M1073" s="3">
        <v>4</v>
      </c>
      <c r="N1073" s="3" t="s">
        <v>14</v>
      </c>
      <c r="O1073" s="3" t="s">
        <v>26</v>
      </c>
      <c r="P1073" s="3">
        <v>4</v>
      </c>
      <c r="Q1073" s="3">
        <v>4</v>
      </c>
      <c r="R1073" s="4" t="s">
        <v>12</v>
      </c>
      <c r="S1073" s="4" t="s">
        <v>14</v>
      </c>
      <c r="T1073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1074" spans="1:20" ht="18" x14ac:dyDescent="0.35">
      <c r="A1074" s="3" t="s">
        <v>1117</v>
      </c>
      <c r="B1074" s="3" t="str">
        <f>IF(Table1[[#This Row],[Age]]&lt;25,"Under 25",IF(Table1[[#This Row],[Age]]&lt;35,"25-34",IF(Table1[[#This Row],[Age]]&lt;45,"35-44",IF(Table1[[#This Row],[Age]]&lt;55,"45-54","55+"))))</f>
        <v>45-54</v>
      </c>
      <c r="C1074" s="3">
        <v>45</v>
      </c>
      <c r="D1074" s="3" t="s">
        <v>7</v>
      </c>
      <c r="E1074" s="3" t="s">
        <v>8</v>
      </c>
      <c r="F1074" s="3" t="s">
        <v>9</v>
      </c>
      <c r="G1074" s="3" t="s">
        <v>18</v>
      </c>
      <c r="H1074" s="3" t="s">
        <v>11</v>
      </c>
      <c r="I1074" s="3">
        <v>36255</v>
      </c>
      <c r="J1074" s="3">
        <v>20</v>
      </c>
      <c r="K1074" s="3">
        <v>6</v>
      </c>
      <c r="L1074" s="3">
        <v>1</v>
      </c>
      <c r="M1074" s="3">
        <v>2</v>
      </c>
      <c r="N1074" s="3" t="s">
        <v>12</v>
      </c>
      <c r="O1074" s="3" t="s">
        <v>13</v>
      </c>
      <c r="P1074" s="3">
        <v>3</v>
      </c>
      <c r="Q1074" s="3">
        <v>3</v>
      </c>
      <c r="R1074" s="4" t="s">
        <v>14</v>
      </c>
      <c r="S1074" s="4" t="s">
        <v>14</v>
      </c>
      <c r="T1074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1075" spans="1:20" ht="18" x14ac:dyDescent="0.35">
      <c r="A1075" s="3" t="s">
        <v>1118</v>
      </c>
      <c r="B1075" s="3" t="str">
        <f>IF(Table1[[#This Row],[Age]]&lt;25,"Under 25",IF(Table1[[#This Row],[Age]]&lt;35,"25-34",IF(Table1[[#This Row],[Age]]&lt;45,"35-44",IF(Table1[[#This Row],[Age]]&lt;55,"45-54","55+"))))</f>
        <v>45-54</v>
      </c>
      <c r="C1075" s="3">
        <v>48</v>
      </c>
      <c r="D1075" s="3" t="s">
        <v>7</v>
      </c>
      <c r="E1075" s="3" t="s">
        <v>31</v>
      </c>
      <c r="F1075" s="3" t="s">
        <v>32</v>
      </c>
      <c r="G1075" s="3" t="s">
        <v>25</v>
      </c>
      <c r="H1075" s="3" t="s">
        <v>11</v>
      </c>
      <c r="I1075" s="3">
        <v>52140</v>
      </c>
      <c r="J1075" s="3">
        <v>1</v>
      </c>
      <c r="K1075" s="3">
        <v>0</v>
      </c>
      <c r="L1075" s="3">
        <v>4</v>
      </c>
      <c r="M1075" s="3">
        <v>3</v>
      </c>
      <c r="N1075" s="3" t="s">
        <v>14</v>
      </c>
      <c r="O1075" s="3" t="s">
        <v>13</v>
      </c>
      <c r="P1075" s="3">
        <v>3</v>
      </c>
      <c r="Q1075" s="3">
        <v>4</v>
      </c>
      <c r="R1075" s="4" t="s">
        <v>14</v>
      </c>
      <c r="S1075" s="4" t="s">
        <v>14</v>
      </c>
      <c r="T1075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1076" spans="1:20" ht="18" x14ac:dyDescent="0.35">
      <c r="A1076" s="3" t="s">
        <v>1119</v>
      </c>
      <c r="B1076" s="3" t="str">
        <f>IF(Table1[[#This Row],[Age]]&lt;25,"Under 25",IF(Table1[[#This Row],[Age]]&lt;35,"25-34",IF(Table1[[#This Row],[Age]]&lt;45,"35-44",IF(Table1[[#This Row],[Age]]&lt;55,"45-54","55+"))))</f>
        <v>25-34</v>
      </c>
      <c r="C1076" s="3">
        <v>32</v>
      </c>
      <c r="D1076" s="3" t="s">
        <v>22</v>
      </c>
      <c r="E1076" s="3" t="s">
        <v>51</v>
      </c>
      <c r="F1076" s="3" t="s">
        <v>52</v>
      </c>
      <c r="G1076" s="3" t="s">
        <v>25</v>
      </c>
      <c r="H1076" s="3" t="s">
        <v>11</v>
      </c>
      <c r="I1076" s="3">
        <v>104092</v>
      </c>
      <c r="J1076" s="3">
        <v>11</v>
      </c>
      <c r="K1076" s="3">
        <v>0</v>
      </c>
      <c r="L1076" s="3">
        <v>3</v>
      </c>
      <c r="M1076" s="3">
        <v>3</v>
      </c>
      <c r="N1076" s="3" t="s">
        <v>14</v>
      </c>
      <c r="O1076" s="3" t="s">
        <v>13</v>
      </c>
      <c r="P1076" s="3">
        <v>3</v>
      </c>
      <c r="Q1076" s="3">
        <v>6</v>
      </c>
      <c r="R1076" s="4" t="s">
        <v>14</v>
      </c>
      <c r="S1076" s="4" t="s">
        <v>14</v>
      </c>
      <c r="T1076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1077" spans="1:20" ht="18" x14ac:dyDescent="0.35">
      <c r="A1077" s="3" t="s">
        <v>1120</v>
      </c>
      <c r="B1077" s="3" t="str">
        <f>IF(Table1[[#This Row],[Age]]&lt;25,"Under 25",IF(Table1[[#This Row],[Age]]&lt;35,"25-34",IF(Table1[[#This Row],[Age]]&lt;45,"35-44",IF(Table1[[#This Row],[Age]]&lt;55,"45-54","55+"))))</f>
        <v>25-34</v>
      </c>
      <c r="C1077" s="3">
        <v>32</v>
      </c>
      <c r="D1077" s="3" t="s">
        <v>22</v>
      </c>
      <c r="E1077" s="3" t="s">
        <v>16</v>
      </c>
      <c r="F1077" s="3" t="s">
        <v>28</v>
      </c>
      <c r="G1077" s="3" t="s">
        <v>25</v>
      </c>
      <c r="H1077" s="3" t="s">
        <v>19</v>
      </c>
      <c r="I1077" s="3">
        <v>68344</v>
      </c>
      <c r="J1077" s="3">
        <v>8</v>
      </c>
      <c r="K1077" s="3">
        <v>5</v>
      </c>
      <c r="L1077" s="3">
        <v>1</v>
      </c>
      <c r="M1077" s="3">
        <v>3</v>
      </c>
      <c r="N1077" s="3" t="s">
        <v>12</v>
      </c>
      <c r="O1077" s="3" t="s">
        <v>20</v>
      </c>
      <c r="P1077" s="3">
        <v>3</v>
      </c>
      <c r="Q1077" s="3">
        <v>2</v>
      </c>
      <c r="R1077" s="4" t="s">
        <v>14</v>
      </c>
      <c r="S1077" s="4" t="s">
        <v>14</v>
      </c>
      <c r="T1077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1078" spans="1:20" ht="18" x14ac:dyDescent="0.35">
      <c r="A1078" s="3" t="s">
        <v>1121</v>
      </c>
      <c r="B1078" s="3" t="str">
        <f>IF(Table1[[#This Row],[Age]]&lt;25,"Under 25",IF(Table1[[#This Row],[Age]]&lt;35,"25-34",IF(Table1[[#This Row],[Age]]&lt;45,"35-44",IF(Table1[[#This Row],[Age]]&lt;55,"45-54","55+"))))</f>
        <v>35-44</v>
      </c>
      <c r="C1078" s="3">
        <v>39</v>
      </c>
      <c r="D1078" s="3" t="s">
        <v>22</v>
      </c>
      <c r="E1078" s="3" t="s">
        <v>8</v>
      </c>
      <c r="F1078" s="3" t="s">
        <v>23</v>
      </c>
      <c r="G1078" s="3" t="s">
        <v>10</v>
      </c>
      <c r="H1078" s="3" t="s">
        <v>11</v>
      </c>
      <c r="I1078" s="3">
        <v>96703</v>
      </c>
      <c r="J1078" s="3">
        <v>14</v>
      </c>
      <c r="K1078" s="3">
        <v>7</v>
      </c>
      <c r="L1078" s="3">
        <v>3</v>
      </c>
      <c r="M1078" s="3">
        <v>3</v>
      </c>
      <c r="N1078" s="3" t="s">
        <v>14</v>
      </c>
      <c r="O1078" s="3" t="s">
        <v>13</v>
      </c>
      <c r="P1078" s="3">
        <v>3</v>
      </c>
      <c r="Q1078" s="3">
        <v>2</v>
      </c>
      <c r="R1078" s="4" t="s">
        <v>14</v>
      </c>
      <c r="S1078" s="4" t="s">
        <v>14</v>
      </c>
      <c r="T1078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1079" spans="1:20" ht="18" x14ac:dyDescent="0.35">
      <c r="A1079" s="3" t="s">
        <v>1122</v>
      </c>
      <c r="B1079" s="3" t="str">
        <f>IF(Table1[[#This Row],[Age]]&lt;25,"Under 25",IF(Table1[[#This Row],[Age]]&lt;35,"25-34",IF(Table1[[#This Row],[Age]]&lt;45,"35-44",IF(Table1[[#This Row],[Age]]&lt;55,"45-54","55+"))))</f>
        <v>25-34</v>
      </c>
      <c r="C1079" s="3">
        <v>33</v>
      </c>
      <c r="D1079" s="3" t="s">
        <v>7</v>
      </c>
      <c r="E1079" s="3" t="s">
        <v>34</v>
      </c>
      <c r="F1079" s="3" t="s">
        <v>91</v>
      </c>
      <c r="G1079" s="3" t="s">
        <v>25</v>
      </c>
      <c r="H1079" s="3" t="s">
        <v>11</v>
      </c>
      <c r="I1079" s="3">
        <v>52555</v>
      </c>
      <c r="J1079" s="3">
        <v>6</v>
      </c>
      <c r="K1079" s="3">
        <v>0</v>
      </c>
      <c r="L1079" s="3">
        <v>3</v>
      </c>
      <c r="M1079" s="3">
        <v>1</v>
      </c>
      <c r="N1079" s="3" t="s">
        <v>12</v>
      </c>
      <c r="O1079" s="3" t="s">
        <v>13</v>
      </c>
      <c r="P1079" s="3">
        <v>3</v>
      </c>
      <c r="Q1079" s="3">
        <v>0</v>
      </c>
      <c r="R1079" s="4" t="s">
        <v>14</v>
      </c>
      <c r="S1079" s="4" t="s">
        <v>14</v>
      </c>
      <c r="T1079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1080" spans="1:20" ht="18" x14ac:dyDescent="0.35">
      <c r="A1080" s="3" t="s">
        <v>1123</v>
      </c>
      <c r="B1080" s="3" t="str">
        <f>IF(Table1[[#This Row],[Age]]&lt;25,"Under 25",IF(Table1[[#This Row],[Age]]&lt;35,"25-34",IF(Table1[[#This Row],[Age]]&lt;45,"35-44",IF(Table1[[#This Row],[Age]]&lt;55,"45-54","55+"))))</f>
        <v>25-34</v>
      </c>
      <c r="C1080" s="3">
        <v>25</v>
      </c>
      <c r="D1080" s="3" t="s">
        <v>7</v>
      </c>
      <c r="E1080" s="3" t="s">
        <v>8</v>
      </c>
      <c r="F1080" s="3" t="s">
        <v>66</v>
      </c>
      <c r="G1080" s="3" t="s">
        <v>25</v>
      </c>
      <c r="H1080" s="3" t="s">
        <v>11</v>
      </c>
      <c r="I1080" s="3">
        <v>90474</v>
      </c>
      <c r="J1080" s="3">
        <v>7</v>
      </c>
      <c r="K1080" s="3">
        <v>0</v>
      </c>
      <c r="L1080" s="3">
        <v>2</v>
      </c>
      <c r="M1080" s="3">
        <v>4</v>
      </c>
      <c r="N1080" s="3" t="s">
        <v>14</v>
      </c>
      <c r="O1080" s="3" t="s">
        <v>13</v>
      </c>
      <c r="P1080" s="3">
        <v>4</v>
      </c>
      <c r="Q1080" s="3">
        <v>0</v>
      </c>
      <c r="R1080" s="4" t="s">
        <v>14</v>
      </c>
      <c r="S1080" s="4" t="s">
        <v>14</v>
      </c>
      <c r="T1080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1081" spans="1:20" ht="18" x14ac:dyDescent="0.35">
      <c r="A1081" s="3" t="s">
        <v>1124</v>
      </c>
      <c r="B1081" s="3" t="str">
        <f>IF(Table1[[#This Row],[Age]]&lt;25,"Under 25",IF(Table1[[#This Row],[Age]]&lt;35,"25-34",IF(Table1[[#This Row],[Age]]&lt;45,"35-44",IF(Table1[[#This Row],[Age]]&lt;55,"45-54","55+"))))</f>
        <v>Under 25</v>
      </c>
      <c r="C1081" s="3">
        <v>21</v>
      </c>
      <c r="D1081" s="3" t="s">
        <v>22</v>
      </c>
      <c r="E1081" s="3" t="s">
        <v>8</v>
      </c>
      <c r="F1081" s="3" t="s">
        <v>9</v>
      </c>
      <c r="G1081" s="3" t="s">
        <v>10</v>
      </c>
      <c r="H1081" s="3" t="s">
        <v>11</v>
      </c>
      <c r="I1081" s="3">
        <v>60775</v>
      </c>
      <c r="J1081" s="3">
        <v>3</v>
      </c>
      <c r="K1081" s="3">
        <v>3</v>
      </c>
      <c r="L1081" s="3">
        <v>1</v>
      </c>
      <c r="M1081" s="3">
        <v>3</v>
      </c>
      <c r="N1081" s="3" t="s">
        <v>14</v>
      </c>
      <c r="O1081" s="3" t="s">
        <v>13</v>
      </c>
      <c r="P1081" s="3">
        <v>3</v>
      </c>
      <c r="Q1081" s="3">
        <v>2</v>
      </c>
      <c r="R1081" s="4" t="s">
        <v>14</v>
      </c>
      <c r="S1081" s="4" t="s">
        <v>12</v>
      </c>
      <c r="T1081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1082" spans="1:20" ht="18" x14ac:dyDescent="0.35">
      <c r="A1082" s="3" t="s">
        <v>1125</v>
      </c>
      <c r="B1082" s="3" t="str">
        <f>IF(Table1[[#This Row],[Age]]&lt;25,"Under 25",IF(Table1[[#This Row],[Age]]&lt;35,"25-34",IF(Table1[[#This Row],[Age]]&lt;45,"35-44",IF(Table1[[#This Row],[Age]]&lt;55,"45-54","55+"))))</f>
        <v>35-44</v>
      </c>
      <c r="C1082" s="3">
        <v>38</v>
      </c>
      <c r="D1082" s="3" t="s">
        <v>7</v>
      </c>
      <c r="E1082" s="3" t="s">
        <v>34</v>
      </c>
      <c r="F1082" s="3" t="s">
        <v>54</v>
      </c>
      <c r="G1082" s="3" t="s">
        <v>10</v>
      </c>
      <c r="H1082" s="3" t="s">
        <v>11</v>
      </c>
      <c r="I1082" s="3">
        <v>64828</v>
      </c>
      <c r="J1082" s="3">
        <v>0</v>
      </c>
      <c r="K1082" s="3">
        <v>0</v>
      </c>
      <c r="L1082" s="3">
        <v>2</v>
      </c>
      <c r="M1082" s="3">
        <v>4</v>
      </c>
      <c r="N1082" s="3" t="s">
        <v>14</v>
      </c>
      <c r="O1082" s="3" t="s">
        <v>13</v>
      </c>
      <c r="P1082" s="3">
        <v>4</v>
      </c>
      <c r="Q1082" s="3">
        <v>5</v>
      </c>
      <c r="R1082" s="4" t="s">
        <v>12</v>
      </c>
      <c r="S1082" s="4" t="s">
        <v>14</v>
      </c>
      <c r="T1082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Less than 1 Year</v>
      </c>
    </row>
    <row r="1083" spans="1:20" ht="18" x14ac:dyDescent="0.35">
      <c r="A1083" s="3" t="s">
        <v>1126</v>
      </c>
      <c r="B1083" s="3" t="str">
        <f>IF(Table1[[#This Row],[Age]]&lt;25,"Under 25",IF(Table1[[#This Row],[Age]]&lt;35,"25-34",IF(Table1[[#This Row],[Age]]&lt;45,"35-44",IF(Table1[[#This Row],[Age]]&lt;55,"45-54","55+"))))</f>
        <v>35-44</v>
      </c>
      <c r="C1083" s="3">
        <v>37</v>
      </c>
      <c r="D1083" s="3" t="s">
        <v>7</v>
      </c>
      <c r="E1083" s="3" t="s">
        <v>8</v>
      </c>
      <c r="F1083" s="3" t="s">
        <v>9</v>
      </c>
      <c r="G1083" s="3" t="s">
        <v>45</v>
      </c>
      <c r="H1083" s="3" t="s">
        <v>19</v>
      </c>
      <c r="I1083" s="3">
        <v>34405</v>
      </c>
      <c r="J1083" s="3">
        <v>11</v>
      </c>
      <c r="K1083" s="3">
        <v>0</v>
      </c>
      <c r="L1083" s="3">
        <v>1</v>
      </c>
      <c r="M1083" s="3">
        <v>4</v>
      </c>
      <c r="N1083" s="3" t="s">
        <v>12</v>
      </c>
      <c r="O1083" s="3" t="s">
        <v>13</v>
      </c>
      <c r="P1083" s="3">
        <v>3</v>
      </c>
      <c r="Q1083" s="3">
        <v>5</v>
      </c>
      <c r="R1083" s="4" t="s">
        <v>12</v>
      </c>
      <c r="S1083" s="4" t="s">
        <v>14</v>
      </c>
      <c r="T1083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1084" spans="1:20" ht="18" x14ac:dyDescent="0.35">
      <c r="A1084" s="3" t="s">
        <v>1127</v>
      </c>
      <c r="B1084" s="3" t="str">
        <f>IF(Table1[[#This Row],[Age]]&lt;25,"Under 25",IF(Table1[[#This Row],[Age]]&lt;35,"25-34",IF(Table1[[#This Row],[Age]]&lt;45,"35-44",IF(Table1[[#This Row],[Age]]&lt;55,"45-54","55+"))))</f>
        <v>35-44</v>
      </c>
      <c r="C1084" s="3">
        <v>37</v>
      </c>
      <c r="D1084" s="3" t="s">
        <v>22</v>
      </c>
      <c r="E1084" s="3" t="s">
        <v>16</v>
      </c>
      <c r="F1084" s="3" t="s">
        <v>17</v>
      </c>
      <c r="G1084" s="3" t="s">
        <v>10</v>
      </c>
      <c r="H1084" s="3" t="s">
        <v>11</v>
      </c>
      <c r="I1084" s="3">
        <v>34466</v>
      </c>
      <c r="J1084" s="3">
        <v>19</v>
      </c>
      <c r="K1084" s="3">
        <v>8</v>
      </c>
      <c r="L1084" s="3">
        <v>3</v>
      </c>
      <c r="M1084" s="3">
        <v>2</v>
      </c>
      <c r="N1084" s="3" t="s">
        <v>14</v>
      </c>
      <c r="O1084" s="3" t="s">
        <v>20</v>
      </c>
      <c r="P1084" s="3">
        <v>3</v>
      </c>
      <c r="Q1084" s="3">
        <v>3</v>
      </c>
      <c r="R1084" s="4" t="s">
        <v>14</v>
      </c>
      <c r="S1084" s="4" t="s">
        <v>14</v>
      </c>
      <c r="T1084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1085" spans="1:20" ht="18" x14ac:dyDescent="0.35">
      <c r="A1085" s="3" t="s">
        <v>1128</v>
      </c>
      <c r="B1085" s="3" t="str">
        <f>IF(Table1[[#This Row],[Age]]&lt;25,"Under 25",IF(Table1[[#This Row],[Age]]&lt;35,"25-34",IF(Table1[[#This Row],[Age]]&lt;45,"35-44",IF(Table1[[#This Row],[Age]]&lt;55,"45-54","55+"))))</f>
        <v>35-44</v>
      </c>
      <c r="C1085" s="3">
        <v>41</v>
      </c>
      <c r="D1085" s="3" t="s">
        <v>7</v>
      </c>
      <c r="E1085" s="3" t="s">
        <v>38</v>
      </c>
      <c r="F1085" s="3" t="s">
        <v>39</v>
      </c>
      <c r="G1085" s="3" t="s">
        <v>25</v>
      </c>
      <c r="H1085" s="3" t="s">
        <v>42</v>
      </c>
      <c r="I1085" s="3">
        <v>70956</v>
      </c>
      <c r="J1085" s="3">
        <v>18</v>
      </c>
      <c r="K1085" s="3">
        <v>4</v>
      </c>
      <c r="L1085" s="3">
        <v>4</v>
      </c>
      <c r="M1085" s="3">
        <v>4</v>
      </c>
      <c r="N1085" s="3" t="s">
        <v>14</v>
      </c>
      <c r="O1085" s="3" t="s">
        <v>13</v>
      </c>
      <c r="P1085" s="3">
        <v>3</v>
      </c>
      <c r="Q1085" s="3">
        <v>3</v>
      </c>
      <c r="R1085" s="4" t="s">
        <v>14</v>
      </c>
      <c r="S1085" s="4" t="s">
        <v>14</v>
      </c>
      <c r="T1085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1086" spans="1:20" ht="18" x14ac:dyDescent="0.35">
      <c r="A1086" s="3" t="s">
        <v>1129</v>
      </c>
      <c r="B1086" s="3" t="str">
        <f>IF(Table1[[#This Row],[Age]]&lt;25,"Under 25",IF(Table1[[#This Row],[Age]]&lt;35,"25-34",IF(Table1[[#This Row],[Age]]&lt;45,"35-44",IF(Table1[[#This Row],[Age]]&lt;55,"45-54","55+"))))</f>
        <v>35-44</v>
      </c>
      <c r="C1086" s="3">
        <v>42</v>
      </c>
      <c r="D1086" s="3" t="s">
        <v>22</v>
      </c>
      <c r="E1086" s="3" t="s">
        <v>16</v>
      </c>
      <c r="F1086" s="3" t="s">
        <v>28</v>
      </c>
      <c r="G1086" s="3" t="s">
        <v>10</v>
      </c>
      <c r="H1086" s="3" t="s">
        <v>11</v>
      </c>
      <c r="I1086" s="3">
        <v>62050</v>
      </c>
      <c r="J1086" s="3">
        <v>12</v>
      </c>
      <c r="K1086" s="3">
        <v>11</v>
      </c>
      <c r="L1086" s="3">
        <v>3</v>
      </c>
      <c r="M1086" s="3">
        <v>1</v>
      </c>
      <c r="N1086" s="3" t="s">
        <v>14</v>
      </c>
      <c r="O1086" s="3" t="s">
        <v>13</v>
      </c>
      <c r="P1086" s="3">
        <v>3</v>
      </c>
      <c r="Q1086" s="3">
        <v>3</v>
      </c>
      <c r="R1086" s="4" t="s">
        <v>14</v>
      </c>
      <c r="S1086" s="4" t="s">
        <v>14</v>
      </c>
      <c r="T1086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1087" spans="1:20" ht="18" x14ac:dyDescent="0.35">
      <c r="A1087" s="3" t="s">
        <v>1130</v>
      </c>
      <c r="B1087" s="3" t="str">
        <f>IF(Table1[[#This Row],[Age]]&lt;25,"Under 25",IF(Table1[[#This Row],[Age]]&lt;35,"25-34",IF(Table1[[#This Row],[Age]]&lt;45,"35-44",IF(Table1[[#This Row],[Age]]&lt;55,"45-54","55+"))))</f>
        <v>35-44</v>
      </c>
      <c r="C1087" s="3">
        <v>40</v>
      </c>
      <c r="D1087" s="3" t="s">
        <v>22</v>
      </c>
      <c r="E1087" s="3" t="s">
        <v>51</v>
      </c>
      <c r="F1087" s="3" t="s">
        <v>52</v>
      </c>
      <c r="G1087" s="3" t="s">
        <v>25</v>
      </c>
      <c r="H1087" s="3" t="s">
        <v>19</v>
      </c>
      <c r="I1087" s="3">
        <v>54624</v>
      </c>
      <c r="J1087" s="3">
        <v>17</v>
      </c>
      <c r="K1087" s="3">
        <v>3</v>
      </c>
      <c r="L1087" s="3">
        <v>1</v>
      </c>
      <c r="M1087" s="3">
        <v>3</v>
      </c>
      <c r="N1087" s="3" t="s">
        <v>14</v>
      </c>
      <c r="O1087" s="3" t="s">
        <v>13</v>
      </c>
      <c r="P1087" s="3">
        <v>4</v>
      </c>
      <c r="Q1087" s="3">
        <v>4</v>
      </c>
      <c r="R1087" s="4" t="s">
        <v>14</v>
      </c>
      <c r="S1087" s="4" t="s">
        <v>14</v>
      </c>
      <c r="T1087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1088" spans="1:20" ht="18" x14ac:dyDescent="0.35">
      <c r="A1088" s="3" t="s">
        <v>1131</v>
      </c>
      <c r="B1088" s="3" t="str">
        <f>IF(Table1[[#This Row],[Age]]&lt;25,"Under 25",IF(Table1[[#This Row],[Age]]&lt;35,"25-34",IF(Table1[[#This Row],[Age]]&lt;45,"35-44",IF(Table1[[#This Row],[Age]]&lt;55,"45-54","55+"))))</f>
        <v>35-44</v>
      </c>
      <c r="C1088" s="3">
        <v>39</v>
      </c>
      <c r="D1088" s="3" t="s">
        <v>22</v>
      </c>
      <c r="E1088" s="3" t="s">
        <v>8</v>
      </c>
      <c r="F1088" s="3" t="s">
        <v>23</v>
      </c>
      <c r="G1088" s="3" t="s">
        <v>18</v>
      </c>
      <c r="H1088" s="3" t="s">
        <v>11</v>
      </c>
      <c r="I1088" s="3">
        <v>65186</v>
      </c>
      <c r="J1088" s="3">
        <v>10</v>
      </c>
      <c r="K1088" s="3">
        <v>7</v>
      </c>
      <c r="L1088" s="3">
        <v>3</v>
      </c>
      <c r="M1088" s="3">
        <v>2</v>
      </c>
      <c r="N1088" s="3" t="s">
        <v>14</v>
      </c>
      <c r="O1088" s="3" t="s">
        <v>20</v>
      </c>
      <c r="P1088" s="3">
        <v>2</v>
      </c>
      <c r="Q1088" s="3">
        <v>6</v>
      </c>
      <c r="R1088" s="4" t="s">
        <v>14</v>
      </c>
      <c r="S1088" s="4" t="s">
        <v>14</v>
      </c>
      <c r="T1088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1089" spans="1:20" ht="18" x14ac:dyDescent="0.35">
      <c r="A1089" s="3" t="s">
        <v>1132</v>
      </c>
      <c r="B1089" s="3" t="str">
        <f>IF(Table1[[#This Row],[Age]]&lt;25,"Under 25",IF(Table1[[#This Row],[Age]]&lt;35,"25-34",IF(Table1[[#This Row],[Age]]&lt;45,"35-44",IF(Table1[[#This Row],[Age]]&lt;55,"45-54","55+"))))</f>
        <v>45-54</v>
      </c>
      <c r="C1089" s="3">
        <v>45</v>
      </c>
      <c r="D1089" s="3" t="s">
        <v>7</v>
      </c>
      <c r="E1089" s="3" t="s">
        <v>31</v>
      </c>
      <c r="F1089" s="3" t="s">
        <v>74</v>
      </c>
      <c r="G1089" s="3" t="s">
        <v>25</v>
      </c>
      <c r="H1089" s="3" t="s">
        <v>11</v>
      </c>
      <c r="I1089" s="3">
        <v>68735</v>
      </c>
      <c r="J1089" s="3">
        <v>4</v>
      </c>
      <c r="K1089" s="3">
        <v>2</v>
      </c>
      <c r="L1089" s="3">
        <v>4</v>
      </c>
      <c r="M1089" s="3">
        <v>2</v>
      </c>
      <c r="N1089" s="3" t="s">
        <v>14</v>
      </c>
      <c r="O1089" s="3" t="s">
        <v>20</v>
      </c>
      <c r="P1089" s="3">
        <v>3</v>
      </c>
      <c r="Q1089" s="3">
        <v>2</v>
      </c>
      <c r="R1089" s="4" t="s">
        <v>14</v>
      </c>
      <c r="S1089" s="4" t="s">
        <v>14</v>
      </c>
      <c r="T1089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1090" spans="1:20" ht="18" x14ac:dyDescent="0.35">
      <c r="A1090" s="3" t="s">
        <v>1133</v>
      </c>
      <c r="B1090" s="3" t="str">
        <f>IF(Table1[[#This Row],[Age]]&lt;25,"Under 25",IF(Table1[[#This Row],[Age]]&lt;35,"25-34",IF(Table1[[#This Row],[Age]]&lt;45,"35-44",IF(Table1[[#This Row],[Age]]&lt;55,"45-54","55+"))))</f>
        <v>35-44</v>
      </c>
      <c r="C1090" s="3">
        <v>35</v>
      </c>
      <c r="D1090" s="3" t="s">
        <v>22</v>
      </c>
      <c r="E1090" s="3" t="s">
        <v>16</v>
      </c>
      <c r="F1090" s="3" t="s">
        <v>28</v>
      </c>
      <c r="G1090" s="3" t="s">
        <v>25</v>
      </c>
      <c r="H1090" s="3" t="s">
        <v>11</v>
      </c>
      <c r="I1090" s="3">
        <v>97180</v>
      </c>
      <c r="J1090" s="3">
        <v>12</v>
      </c>
      <c r="K1090" s="3">
        <v>2</v>
      </c>
      <c r="L1090" s="3">
        <v>3</v>
      </c>
      <c r="M1090" s="3">
        <v>3</v>
      </c>
      <c r="N1090" s="3" t="s">
        <v>12</v>
      </c>
      <c r="O1090" s="3" t="s">
        <v>13</v>
      </c>
      <c r="P1090" s="3">
        <v>3</v>
      </c>
      <c r="Q1090" s="3">
        <v>6</v>
      </c>
      <c r="R1090" s="4" t="s">
        <v>14</v>
      </c>
      <c r="S1090" s="4" t="s">
        <v>12</v>
      </c>
      <c r="T1090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1091" spans="1:20" ht="18" x14ac:dyDescent="0.35">
      <c r="A1091" s="3" t="s">
        <v>1134</v>
      </c>
      <c r="B1091" s="3" t="str">
        <f>IF(Table1[[#This Row],[Age]]&lt;25,"Under 25",IF(Table1[[#This Row],[Age]]&lt;35,"25-34",IF(Table1[[#This Row],[Age]]&lt;45,"35-44",IF(Table1[[#This Row],[Age]]&lt;55,"45-54","55+"))))</f>
        <v>Under 25</v>
      </c>
      <c r="C1091" s="3">
        <v>24</v>
      </c>
      <c r="D1091" s="3" t="s">
        <v>7</v>
      </c>
      <c r="E1091" s="3" t="s">
        <v>51</v>
      </c>
      <c r="F1091" s="3" t="s">
        <v>52</v>
      </c>
      <c r="G1091" s="3" t="s">
        <v>25</v>
      </c>
      <c r="H1091" s="3" t="s">
        <v>19</v>
      </c>
      <c r="I1091" s="3">
        <v>52355</v>
      </c>
      <c r="J1091" s="3">
        <v>6</v>
      </c>
      <c r="K1091" s="3">
        <v>6</v>
      </c>
      <c r="L1091" s="3">
        <v>4</v>
      </c>
      <c r="M1091" s="3">
        <v>3</v>
      </c>
      <c r="N1091" s="3" t="s">
        <v>14</v>
      </c>
      <c r="O1091" s="3" t="s">
        <v>26</v>
      </c>
      <c r="P1091" s="3">
        <v>3</v>
      </c>
      <c r="Q1091" s="3">
        <v>0</v>
      </c>
      <c r="R1091" s="4" t="s">
        <v>14</v>
      </c>
      <c r="S1091" s="4" t="s">
        <v>14</v>
      </c>
      <c r="T1091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1092" spans="1:20" ht="18" x14ac:dyDescent="0.35">
      <c r="A1092" s="3" t="s">
        <v>1135</v>
      </c>
      <c r="B1092" s="3" t="str">
        <f>IF(Table1[[#This Row],[Age]]&lt;25,"Under 25",IF(Table1[[#This Row],[Age]]&lt;35,"25-34",IF(Table1[[#This Row],[Age]]&lt;45,"35-44",IF(Table1[[#This Row],[Age]]&lt;55,"45-54","55+"))))</f>
        <v>25-34</v>
      </c>
      <c r="C1092" s="3">
        <v>34</v>
      </c>
      <c r="D1092" s="3" t="s">
        <v>22</v>
      </c>
      <c r="E1092" s="3" t="s">
        <v>51</v>
      </c>
      <c r="F1092" s="3" t="s">
        <v>72</v>
      </c>
      <c r="G1092" s="3" t="s">
        <v>45</v>
      </c>
      <c r="H1092" s="3" t="s">
        <v>11</v>
      </c>
      <c r="I1092" s="3">
        <v>49779</v>
      </c>
      <c r="J1092" s="3">
        <v>7</v>
      </c>
      <c r="K1092" s="3">
        <v>3</v>
      </c>
      <c r="L1092" s="3">
        <v>4</v>
      </c>
      <c r="M1092" s="3">
        <v>2</v>
      </c>
      <c r="N1092" s="3" t="s">
        <v>12</v>
      </c>
      <c r="O1092" s="3" t="s">
        <v>13</v>
      </c>
      <c r="P1092" s="3">
        <v>2</v>
      </c>
      <c r="Q1092" s="3">
        <v>5</v>
      </c>
      <c r="R1092" s="4" t="s">
        <v>14</v>
      </c>
      <c r="S1092" s="4" t="s">
        <v>12</v>
      </c>
      <c r="T1092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1093" spans="1:20" ht="18" x14ac:dyDescent="0.35">
      <c r="A1093" s="3" t="s">
        <v>1136</v>
      </c>
      <c r="B1093" s="3" t="str">
        <f>IF(Table1[[#This Row],[Age]]&lt;25,"Under 25",IF(Table1[[#This Row],[Age]]&lt;35,"25-34",IF(Table1[[#This Row],[Age]]&lt;45,"35-44",IF(Table1[[#This Row],[Age]]&lt;55,"45-54","55+"))))</f>
        <v>25-34</v>
      </c>
      <c r="C1093" s="3">
        <v>30</v>
      </c>
      <c r="D1093" s="3" t="s">
        <v>7</v>
      </c>
      <c r="E1093" s="3" t="s">
        <v>51</v>
      </c>
      <c r="F1093" s="3" t="s">
        <v>80</v>
      </c>
      <c r="G1093" s="3" t="s">
        <v>10</v>
      </c>
      <c r="H1093" s="3" t="s">
        <v>11</v>
      </c>
      <c r="I1093" s="3">
        <v>35062</v>
      </c>
      <c r="J1093" s="3">
        <v>0</v>
      </c>
      <c r="K1093" s="3">
        <v>0</v>
      </c>
      <c r="L1093" s="3">
        <v>4</v>
      </c>
      <c r="M1093" s="3">
        <v>2</v>
      </c>
      <c r="N1093" s="3" t="s">
        <v>14</v>
      </c>
      <c r="O1093" s="3" t="s">
        <v>13</v>
      </c>
      <c r="P1093" s="3">
        <v>4</v>
      </c>
      <c r="Q1093" s="3">
        <v>3</v>
      </c>
      <c r="R1093" s="4" t="s">
        <v>14</v>
      </c>
      <c r="S1093" s="4" t="s">
        <v>14</v>
      </c>
      <c r="T1093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Less than 1 Year</v>
      </c>
    </row>
    <row r="1094" spans="1:20" ht="18" x14ac:dyDescent="0.35">
      <c r="A1094" s="3" t="s">
        <v>1137</v>
      </c>
      <c r="B1094" s="3" t="str">
        <f>IF(Table1[[#This Row],[Age]]&lt;25,"Under 25",IF(Table1[[#This Row],[Age]]&lt;35,"25-34",IF(Table1[[#This Row],[Age]]&lt;45,"35-44",IF(Table1[[#This Row],[Age]]&lt;55,"45-54","55+"))))</f>
        <v>35-44</v>
      </c>
      <c r="C1094" s="3">
        <v>38</v>
      </c>
      <c r="D1094" s="3" t="s">
        <v>7</v>
      </c>
      <c r="E1094" s="3" t="s">
        <v>38</v>
      </c>
      <c r="F1094" s="3" t="s">
        <v>39</v>
      </c>
      <c r="G1094" s="3" t="s">
        <v>25</v>
      </c>
      <c r="H1094" s="3" t="s">
        <v>19</v>
      </c>
      <c r="I1094" s="3">
        <v>42613</v>
      </c>
      <c r="J1094" s="3">
        <v>19</v>
      </c>
      <c r="K1094" s="3">
        <v>9</v>
      </c>
      <c r="L1094" s="3">
        <v>3</v>
      </c>
      <c r="M1094" s="3">
        <v>4</v>
      </c>
      <c r="N1094" s="3" t="s">
        <v>14</v>
      </c>
      <c r="O1094" s="3" t="s">
        <v>20</v>
      </c>
      <c r="P1094" s="3">
        <v>3</v>
      </c>
      <c r="Q1094" s="3">
        <v>6</v>
      </c>
      <c r="R1094" s="4" t="s">
        <v>14</v>
      </c>
      <c r="S1094" s="4" t="s">
        <v>14</v>
      </c>
      <c r="T1094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1095" spans="1:20" ht="18" x14ac:dyDescent="0.35">
      <c r="A1095" s="3" t="s">
        <v>1138</v>
      </c>
      <c r="B1095" s="3" t="str">
        <f>IF(Table1[[#This Row],[Age]]&lt;25,"Under 25",IF(Table1[[#This Row],[Age]]&lt;35,"25-34",IF(Table1[[#This Row],[Age]]&lt;45,"35-44",IF(Table1[[#This Row],[Age]]&lt;55,"45-54","55+"))))</f>
        <v>45-54</v>
      </c>
      <c r="C1095" s="3">
        <v>45</v>
      </c>
      <c r="D1095" s="3" t="s">
        <v>22</v>
      </c>
      <c r="E1095" s="3" t="s">
        <v>34</v>
      </c>
      <c r="F1095" s="3" t="s">
        <v>91</v>
      </c>
      <c r="G1095" s="3" t="s">
        <v>25</v>
      </c>
      <c r="H1095" s="3" t="s">
        <v>19</v>
      </c>
      <c r="I1095" s="3">
        <v>97605</v>
      </c>
      <c r="J1095" s="3">
        <v>23</v>
      </c>
      <c r="K1095" s="3">
        <v>6</v>
      </c>
      <c r="L1095" s="3">
        <v>3</v>
      </c>
      <c r="M1095" s="3">
        <v>4</v>
      </c>
      <c r="N1095" s="3" t="s">
        <v>14</v>
      </c>
      <c r="O1095" s="3" t="s">
        <v>20</v>
      </c>
      <c r="P1095" s="3">
        <v>4</v>
      </c>
      <c r="Q1095" s="3">
        <v>6</v>
      </c>
      <c r="R1095" s="4" t="s">
        <v>14</v>
      </c>
      <c r="S1095" s="4" t="s">
        <v>14</v>
      </c>
      <c r="T1095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1096" spans="1:20" ht="18" x14ac:dyDescent="0.35">
      <c r="A1096" s="3" t="s">
        <v>1139</v>
      </c>
      <c r="B1096" s="3" t="str">
        <f>IF(Table1[[#This Row],[Age]]&lt;25,"Under 25",IF(Table1[[#This Row],[Age]]&lt;35,"25-34",IF(Table1[[#This Row],[Age]]&lt;45,"35-44",IF(Table1[[#This Row],[Age]]&lt;55,"45-54","55+"))))</f>
        <v>35-44</v>
      </c>
      <c r="C1096" s="3">
        <v>43</v>
      </c>
      <c r="D1096" s="3" t="s">
        <v>22</v>
      </c>
      <c r="E1096" s="3" t="s">
        <v>8</v>
      </c>
      <c r="F1096" s="3" t="s">
        <v>66</v>
      </c>
      <c r="G1096" s="3" t="s">
        <v>10</v>
      </c>
      <c r="H1096" s="3" t="s">
        <v>19</v>
      </c>
      <c r="I1096" s="3">
        <v>74407</v>
      </c>
      <c r="J1096" s="3">
        <v>8</v>
      </c>
      <c r="K1096" s="3">
        <v>5</v>
      </c>
      <c r="L1096" s="3">
        <v>1</v>
      </c>
      <c r="M1096" s="3">
        <v>4</v>
      </c>
      <c r="N1096" s="3" t="s">
        <v>14</v>
      </c>
      <c r="O1096" s="3" t="s">
        <v>13</v>
      </c>
      <c r="P1096" s="3">
        <v>3</v>
      </c>
      <c r="Q1096" s="3">
        <v>6</v>
      </c>
      <c r="R1096" s="4" t="s">
        <v>14</v>
      </c>
      <c r="S1096" s="4" t="s">
        <v>14</v>
      </c>
      <c r="T1096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1097" spans="1:20" ht="18" x14ac:dyDescent="0.35">
      <c r="A1097" s="3" t="s">
        <v>1140</v>
      </c>
      <c r="B1097" s="3" t="str">
        <f>IF(Table1[[#This Row],[Age]]&lt;25,"Under 25",IF(Table1[[#This Row],[Age]]&lt;35,"25-34",IF(Table1[[#This Row],[Age]]&lt;45,"35-44",IF(Table1[[#This Row],[Age]]&lt;55,"45-54","55+"))))</f>
        <v>Under 25</v>
      </c>
      <c r="C1097" s="3">
        <v>21</v>
      </c>
      <c r="D1097" s="3" t="s">
        <v>7</v>
      </c>
      <c r="E1097" s="3" t="s">
        <v>16</v>
      </c>
      <c r="F1097" s="3" t="s">
        <v>28</v>
      </c>
      <c r="G1097" s="3" t="s">
        <v>25</v>
      </c>
      <c r="H1097" s="3" t="s">
        <v>42</v>
      </c>
      <c r="I1097" s="3">
        <v>62027</v>
      </c>
      <c r="J1097" s="3">
        <v>0</v>
      </c>
      <c r="K1097" s="3">
        <v>0</v>
      </c>
      <c r="L1097" s="3">
        <v>2</v>
      </c>
      <c r="M1097" s="3">
        <v>4</v>
      </c>
      <c r="N1097" s="3" t="s">
        <v>12</v>
      </c>
      <c r="O1097" s="3" t="s">
        <v>20</v>
      </c>
      <c r="P1097" s="3">
        <v>2</v>
      </c>
      <c r="Q1097" s="3">
        <v>6</v>
      </c>
      <c r="R1097" s="4" t="s">
        <v>14</v>
      </c>
      <c r="S1097" s="4" t="s">
        <v>14</v>
      </c>
      <c r="T1097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Less than 1 Year</v>
      </c>
    </row>
    <row r="1098" spans="1:20" ht="18" x14ac:dyDescent="0.35">
      <c r="A1098" s="3" t="s">
        <v>1141</v>
      </c>
      <c r="B1098" s="3" t="str">
        <f>IF(Table1[[#This Row],[Age]]&lt;25,"Under 25",IF(Table1[[#This Row],[Age]]&lt;35,"25-34",IF(Table1[[#This Row],[Age]]&lt;45,"35-44",IF(Table1[[#This Row],[Age]]&lt;55,"45-54","55+"))))</f>
        <v>25-34</v>
      </c>
      <c r="C1098" s="3">
        <v>33</v>
      </c>
      <c r="D1098" s="3" t="s">
        <v>22</v>
      </c>
      <c r="E1098" s="3" t="s">
        <v>51</v>
      </c>
      <c r="F1098" s="3" t="s">
        <v>80</v>
      </c>
      <c r="G1098" s="3" t="s">
        <v>10</v>
      </c>
      <c r="H1098" s="3" t="s">
        <v>11</v>
      </c>
      <c r="I1098" s="3">
        <v>73584</v>
      </c>
      <c r="J1098" s="3">
        <v>4</v>
      </c>
      <c r="K1098" s="3">
        <v>1</v>
      </c>
      <c r="L1098" s="3">
        <v>4</v>
      </c>
      <c r="M1098" s="3">
        <v>2</v>
      </c>
      <c r="N1098" s="3" t="s">
        <v>14</v>
      </c>
      <c r="O1098" s="3" t="s">
        <v>20</v>
      </c>
      <c r="P1098" s="3">
        <v>2</v>
      </c>
      <c r="Q1098" s="3">
        <v>6</v>
      </c>
      <c r="R1098" s="4" t="s">
        <v>14</v>
      </c>
      <c r="S1098" s="4" t="s">
        <v>12</v>
      </c>
      <c r="T1098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1099" spans="1:20" ht="18" x14ac:dyDescent="0.35">
      <c r="A1099" s="3" t="s">
        <v>1142</v>
      </c>
      <c r="B1099" s="3" t="str">
        <f>IF(Table1[[#This Row],[Age]]&lt;25,"Under 25",IF(Table1[[#This Row],[Age]]&lt;35,"25-34",IF(Table1[[#This Row],[Age]]&lt;45,"35-44",IF(Table1[[#This Row],[Age]]&lt;55,"45-54","55+"))))</f>
        <v>35-44</v>
      </c>
      <c r="C1099" s="3">
        <v>38</v>
      </c>
      <c r="D1099" s="3" t="s">
        <v>22</v>
      </c>
      <c r="E1099" s="3" t="s">
        <v>8</v>
      </c>
      <c r="F1099" s="3" t="s">
        <v>9</v>
      </c>
      <c r="G1099" s="3" t="s">
        <v>10</v>
      </c>
      <c r="H1099" s="3" t="s">
        <v>19</v>
      </c>
      <c r="I1099" s="3">
        <v>44879</v>
      </c>
      <c r="J1099" s="3">
        <v>9</v>
      </c>
      <c r="K1099" s="3">
        <v>3</v>
      </c>
      <c r="L1099" s="3">
        <v>3</v>
      </c>
      <c r="M1099" s="3">
        <v>3</v>
      </c>
      <c r="N1099" s="3" t="s">
        <v>14</v>
      </c>
      <c r="O1099" s="3" t="s">
        <v>20</v>
      </c>
      <c r="P1099" s="3">
        <v>3</v>
      </c>
      <c r="Q1099" s="3">
        <v>4</v>
      </c>
      <c r="R1099" s="4" t="s">
        <v>14</v>
      </c>
      <c r="S1099" s="4" t="s">
        <v>14</v>
      </c>
      <c r="T1099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1100" spans="1:20" ht="18" x14ac:dyDescent="0.35">
      <c r="A1100" s="3" t="s">
        <v>1143</v>
      </c>
      <c r="B1100" s="3" t="str">
        <f>IF(Table1[[#This Row],[Age]]&lt;25,"Under 25",IF(Table1[[#This Row],[Age]]&lt;35,"25-34",IF(Table1[[#This Row],[Age]]&lt;45,"35-44",IF(Table1[[#This Row],[Age]]&lt;55,"45-54","55+"))))</f>
        <v>35-44</v>
      </c>
      <c r="C1100" s="3">
        <v>35</v>
      </c>
      <c r="D1100" s="3" t="s">
        <v>7</v>
      </c>
      <c r="E1100" s="3" t="s">
        <v>34</v>
      </c>
      <c r="F1100" s="3" t="s">
        <v>35</v>
      </c>
      <c r="G1100" s="3" t="s">
        <v>25</v>
      </c>
      <c r="H1100" s="3" t="s">
        <v>11</v>
      </c>
      <c r="I1100" s="3">
        <v>42384</v>
      </c>
      <c r="J1100" s="3">
        <v>11</v>
      </c>
      <c r="K1100" s="3">
        <v>8</v>
      </c>
      <c r="L1100" s="3">
        <v>2</v>
      </c>
      <c r="M1100" s="3">
        <v>1</v>
      </c>
      <c r="N1100" s="3" t="s">
        <v>14</v>
      </c>
      <c r="O1100" s="3" t="s">
        <v>13</v>
      </c>
      <c r="P1100" s="3">
        <v>3</v>
      </c>
      <c r="Q1100" s="3">
        <v>4</v>
      </c>
      <c r="R1100" s="4" t="s">
        <v>14</v>
      </c>
      <c r="S1100" s="4" t="s">
        <v>14</v>
      </c>
      <c r="T1100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1101" spans="1:20" ht="18" x14ac:dyDescent="0.35">
      <c r="A1101" s="3" t="s">
        <v>1144</v>
      </c>
      <c r="B1101" s="3" t="str">
        <f>IF(Table1[[#This Row],[Age]]&lt;25,"Under 25",IF(Table1[[#This Row],[Age]]&lt;35,"25-34",IF(Table1[[#This Row],[Age]]&lt;45,"35-44",IF(Table1[[#This Row],[Age]]&lt;55,"45-54","55+"))))</f>
        <v>35-44</v>
      </c>
      <c r="C1101" s="3">
        <v>41</v>
      </c>
      <c r="D1101" s="3" t="s">
        <v>22</v>
      </c>
      <c r="E1101" s="3" t="s">
        <v>38</v>
      </c>
      <c r="F1101" s="3" t="s">
        <v>89</v>
      </c>
      <c r="G1101" s="3" t="s">
        <v>25</v>
      </c>
      <c r="H1101" s="3" t="s">
        <v>19</v>
      </c>
      <c r="I1101" s="3">
        <v>56074</v>
      </c>
      <c r="J1101" s="3">
        <v>3</v>
      </c>
      <c r="K1101" s="3">
        <v>2</v>
      </c>
      <c r="L1101" s="3">
        <v>2</v>
      </c>
      <c r="M1101" s="3">
        <v>3</v>
      </c>
      <c r="N1101" s="3" t="s">
        <v>14</v>
      </c>
      <c r="O1101" s="3" t="s">
        <v>13</v>
      </c>
      <c r="P1101" s="3">
        <v>4</v>
      </c>
      <c r="Q1101" s="3">
        <v>4</v>
      </c>
      <c r="R1101" s="4" t="s">
        <v>14</v>
      </c>
      <c r="S1101" s="4" t="s">
        <v>14</v>
      </c>
      <c r="T1101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1102" spans="1:20" ht="18" x14ac:dyDescent="0.35">
      <c r="A1102" s="3" t="s">
        <v>1145</v>
      </c>
      <c r="B1102" s="3" t="str">
        <f>IF(Table1[[#This Row],[Age]]&lt;25,"Under 25",IF(Table1[[#This Row],[Age]]&lt;35,"25-34",IF(Table1[[#This Row],[Age]]&lt;45,"35-44",IF(Table1[[#This Row],[Age]]&lt;55,"45-54","55+"))))</f>
        <v>25-34</v>
      </c>
      <c r="C1102" s="3">
        <v>30</v>
      </c>
      <c r="D1102" s="3" t="s">
        <v>7</v>
      </c>
      <c r="E1102" s="3" t="s">
        <v>51</v>
      </c>
      <c r="F1102" s="3" t="s">
        <v>72</v>
      </c>
      <c r="G1102" s="3" t="s">
        <v>10</v>
      </c>
      <c r="H1102" s="3" t="s">
        <v>19</v>
      </c>
      <c r="I1102" s="3">
        <v>89420</v>
      </c>
      <c r="J1102" s="3">
        <v>3</v>
      </c>
      <c r="K1102" s="3">
        <v>0</v>
      </c>
      <c r="L1102" s="3">
        <v>3</v>
      </c>
      <c r="M1102" s="3">
        <v>3</v>
      </c>
      <c r="N1102" s="3" t="s">
        <v>14</v>
      </c>
      <c r="O1102" s="3" t="s">
        <v>20</v>
      </c>
      <c r="P1102" s="3">
        <v>2</v>
      </c>
      <c r="Q1102" s="3">
        <v>4</v>
      </c>
      <c r="R1102" s="4" t="s">
        <v>14</v>
      </c>
      <c r="S1102" s="4" t="s">
        <v>12</v>
      </c>
      <c r="T1102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1103" spans="1:20" ht="18" x14ac:dyDescent="0.35">
      <c r="A1103" s="3" t="s">
        <v>1146</v>
      </c>
      <c r="B1103" s="3" t="str">
        <f>IF(Table1[[#This Row],[Age]]&lt;25,"Under 25",IF(Table1[[#This Row],[Age]]&lt;35,"25-34",IF(Table1[[#This Row],[Age]]&lt;45,"35-44",IF(Table1[[#This Row],[Age]]&lt;55,"45-54","55+"))))</f>
        <v>25-34</v>
      </c>
      <c r="C1103" s="3">
        <v>32</v>
      </c>
      <c r="D1103" s="3" t="s">
        <v>7</v>
      </c>
      <c r="E1103" s="3" t="s">
        <v>34</v>
      </c>
      <c r="F1103" s="3" t="s">
        <v>91</v>
      </c>
      <c r="G1103" s="3" t="s">
        <v>45</v>
      </c>
      <c r="H1103" s="3" t="s">
        <v>19</v>
      </c>
      <c r="I1103" s="3">
        <v>52610</v>
      </c>
      <c r="J1103" s="3">
        <v>13</v>
      </c>
      <c r="K1103" s="3">
        <v>9</v>
      </c>
      <c r="L1103" s="3">
        <v>1</v>
      </c>
      <c r="M1103" s="3">
        <v>3</v>
      </c>
      <c r="N1103" s="3" t="s">
        <v>14</v>
      </c>
      <c r="O1103" s="3" t="s">
        <v>20</v>
      </c>
      <c r="P1103" s="3">
        <v>2</v>
      </c>
      <c r="Q1103" s="3">
        <v>2</v>
      </c>
      <c r="R1103" s="4" t="s">
        <v>14</v>
      </c>
      <c r="S1103" s="4" t="s">
        <v>14</v>
      </c>
      <c r="T1103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1104" spans="1:20" ht="18" x14ac:dyDescent="0.35">
      <c r="A1104" s="3" t="s">
        <v>1147</v>
      </c>
      <c r="B1104" s="3" t="str">
        <f>IF(Table1[[#This Row],[Age]]&lt;25,"Under 25",IF(Table1[[#This Row],[Age]]&lt;35,"25-34",IF(Table1[[#This Row],[Age]]&lt;45,"35-44",IF(Table1[[#This Row],[Age]]&lt;55,"45-54","55+"))))</f>
        <v>25-34</v>
      </c>
      <c r="C1104" s="3">
        <v>31</v>
      </c>
      <c r="D1104" s="3" t="s">
        <v>7</v>
      </c>
      <c r="E1104" s="3" t="s">
        <v>8</v>
      </c>
      <c r="F1104" s="3" t="s">
        <v>9</v>
      </c>
      <c r="G1104" s="3" t="s">
        <v>25</v>
      </c>
      <c r="H1104" s="3" t="s">
        <v>11</v>
      </c>
      <c r="I1104" s="3">
        <v>50000</v>
      </c>
      <c r="J1104" s="3">
        <v>6</v>
      </c>
      <c r="K1104" s="3">
        <v>6</v>
      </c>
      <c r="L1104" s="3">
        <v>1</v>
      </c>
      <c r="M1104" s="3">
        <v>2</v>
      </c>
      <c r="N1104" s="3" t="s">
        <v>12</v>
      </c>
      <c r="O1104" s="3" t="s">
        <v>20</v>
      </c>
      <c r="P1104" s="3">
        <v>3</v>
      </c>
      <c r="Q1104" s="3">
        <v>2</v>
      </c>
      <c r="R1104" s="4" t="s">
        <v>14</v>
      </c>
      <c r="S1104" s="4" t="s">
        <v>14</v>
      </c>
      <c r="T1104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1105" spans="1:20" ht="18" x14ac:dyDescent="0.35">
      <c r="A1105" s="3" t="s">
        <v>1148</v>
      </c>
      <c r="B1105" s="3" t="str">
        <f>IF(Table1[[#This Row],[Age]]&lt;25,"Under 25",IF(Table1[[#This Row],[Age]]&lt;35,"25-34",IF(Table1[[#This Row],[Age]]&lt;45,"35-44",IF(Table1[[#This Row],[Age]]&lt;55,"45-54","55+"))))</f>
        <v>35-44</v>
      </c>
      <c r="C1105" s="3">
        <v>36</v>
      </c>
      <c r="D1105" s="3" t="s">
        <v>7</v>
      </c>
      <c r="E1105" s="3" t="s">
        <v>16</v>
      </c>
      <c r="F1105" s="3" t="s">
        <v>17</v>
      </c>
      <c r="G1105" s="3" t="s">
        <v>45</v>
      </c>
      <c r="H1105" s="3" t="s">
        <v>11</v>
      </c>
      <c r="I1105" s="3">
        <v>66173</v>
      </c>
      <c r="J1105" s="3">
        <v>12</v>
      </c>
      <c r="K1105" s="3">
        <v>2</v>
      </c>
      <c r="L1105" s="3">
        <v>3</v>
      </c>
      <c r="M1105" s="3">
        <v>3</v>
      </c>
      <c r="N1105" s="3" t="s">
        <v>12</v>
      </c>
      <c r="O1105" s="3" t="s">
        <v>13</v>
      </c>
      <c r="P1105" s="3">
        <v>3</v>
      </c>
      <c r="Q1105" s="3">
        <v>2</v>
      </c>
      <c r="R1105" s="4" t="s">
        <v>14</v>
      </c>
      <c r="S1105" s="4" t="s">
        <v>14</v>
      </c>
      <c r="T1105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1106" spans="1:20" ht="18" x14ac:dyDescent="0.35">
      <c r="A1106" s="3" t="s">
        <v>1149</v>
      </c>
      <c r="B1106" s="3" t="str">
        <f>IF(Table1[[#This Row],[Age]]&lt;25,"Under 25",IF(Table1[[#This Row],[Age]]&lt;35,"25-34",IF(Table1[[#This Row],[Age]]&lt;45,"35-44",IF(Table1[[#This Row],[Age]]&lt;55,"45-54","55+"))))</f>
        <v>25-34</v>
      </c>
      <c r="C1106" s="3">
        <v>30</v>
      </c>
      <c r="D1106" s="3" t="s">
        <v>22</v>
      </c>
      <c r="E1106" s="3" t="s">
        <v>38</v>
      </c>
      <c r="F1106" s="3" t="s">
        <v>59</v>
      </c>
      <c r="G1106" s="3" t="s">
        <v>25</v>
      </c>
      <c r="H1106" s="3" t="s">
        <v>19</v>
      </c>
      <c r="I1106" s="3">
        <v>35900</v>
      </c>
      <c r="J1106" s="3">
        <v>8</v>
      </c>
      <c r="K1106" s="3">
        <v>3</v>
      </c>
      <c r="L1106" s="3">
        <v>2</v>
      </c>
      <c r="M1106" s="3">
        <v>2</v>
      </c>
      <c r="N1106" s="3" t="s">
        <v>12</v>
      </c>
      <c r="O1106" s="3" t="s">
        <v>13</v>
      </c>
      <c r="P1106" s="3">
        <v>3</v>
      </c>
      <c r="Q1106" s="3">
        <v>5</v>
      </c>
      <c r="R1106" s="4" t="s">
        <v>14</v>
      </c>
      <c r="S1106" s="4" t="s">
        <v>12</v>
      </c>
      <c r="T1106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1107" spans="1:20" ht="18" x14ac:dyDescent="0.35">
      <c r="A1107" s="3" t="s">
        <v>1150</v>
      </c>
      <c r="B1107" s="3" t="str">
        <f>IF(Table1[[#This Row],[Age]]&lt;25,"Under 25",IF(Table1[[#This Row],[Age]]&lt;35,"25-34",IF(Table1[[#This Row],[Age]]&lt;45,"35-44",IF(Table1[[#This Row],[Age]]&lt;55,"45-54","55+"))))</f>
        <v>35-44</v>
      </c>
      <c r="C1107" s="3">
        <v>42</v>
      </c>
      <c r="D1107" s="3" t="s">
        <v>7</v>
      </c>
      <c r="E1107" s="3" t="s">
        <v>34</v>
      </c>
      <c r="F1107" s="3" t="s">
        <v>35</v>
      </c>
      <c r="G1107" s="3" t="s">
        <v>45</v>
      </c>
      <c r="H1107" s="3" t="s">
        <v>11</v>
      </c>
      <c r="I1107" s="3">
        <v>58557</v>
      </c>
      <c r="J1107" s="3">
        <v>20</v>
      </c>
      <c r="K1107" s="3">
        <v>8</v>
      </c>
      <c r="L1107" s="3">
        <v>2</v>
      </c>
      <c r="M1107" s="3">
        <v>4</v>
      </c>
      <c r="N1107" s="3" t="s">
        <v>12</v>
      </c>
      <c r="O1107" s="3" t="s">
        <v>13</v>
      </c>
      <c r="P1107" s="3">
        <v>3</v>
      </c>
      <c r="Q1107" s="3">
        <v>4</v>
      </c>
      <c r="R1107" s="4" t="s">
        <v>14</v>
      </c>
      <c r="S1107" s="4" t="s">
        <v>14</v>
      </c>
      <c r="T1107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1108" spans="1:20" ht="18" x14ac:dyDescent="0.35">
      <c r="A1108" s="3" t="s">
        <v>1151</v>
      </c>
      <c r="B1108" s="3" t="str">
        <f>IF(Table1[[#This Row],[Age]]&lt;25,"Under 25",IF(Table1[[#This Row],[Age]]&lt;35,"25-34",IF(Table1[[#This Row],[Age]]&lt;45,"35-44",IF(Table1[[#This Row],[Age]]&lt;55,"45-54","55+"))))</f>
        <v>35-44</v>
      </c>
      <c r="C1108" s="3">
        <v>40</v>
      </c>
      <c r="D1108" s="3" t="s">
        <v>22</v>
      </c>
      <c r="E1108" s="3" t="s">
        <v>8</v>
      </c>
      <c r="F1108" s="3" t="s">
        <v>9</v>
      </c>
      <c r="G1108" s="3" t="s">
        <v>18</v>
      </c>
      <c r="H1108" s="3" t="s">
        <v>11</v>
      </c>
      <c r="I1108" s="3">
        <v>47963</v>
      </c>
      <c r="J1108" s="3">
        <v>17</v>
      </c>
      <c r="K1108" s="3">
        <v>9</v>
      </c>
      <c r="L1108" s="3">
        <v>3</v>
      </c>
      <c r="M1108" s="3">
        <v>3</v>
      </c>
      <c r="N1108" s="3" t="s">
        <v>14</v>
      </c>
      <c r="O1108" s="3" t="s">
        <v>20</v>
      </c>
      <c r="P1108" s="3">
        <v>3</v>
      </c>
      <c r="Q1108" s="3">
        <v>3</v>
      </c>
      <c r="R1108" s="4" t="s">
        <v>14</v>
      </c>
      <c r="S1108" s="4" t="s">
        <v>14</v>
      </c>
      <c r="T1108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1109" spans="1:20" ht="18" x14ac:dyDescent="0.35">
      <c r="A1109" s="3" t="s">
        <v>1152</v>
      </c>
      <c r="B1109" s="3" t="str">
        <f>IF(Table1[[#This Row],[Age]]&lt;25,"Under 25",IF(Table1[[#This Row],[Age]]&lt;35,"25-34",IF(Table1[[#This Row],[Age]]&lt;45,"35-44",IF(Table1[[#This Row],[Age]]&lt;55,"45-54","55+"))))</f>
        <v>45-54</v>
      </c>
      <c r="C1109" s="3">
        <v>50</v>
      </c>
      <c r="D1109" s="3" t="s">
        <v>7</v>
      </c>
      <c r="E1109" s="3" t="s">
        <v>31</v>
      </c>
      <c r="F1109" s="3" t="s">
        <v>136</v>
      </c>
      <c r="G1109" s="3" t="s">
        <v>10</v>
      </c>
      <c r="H1109" s="3" t="s">
        <v>11</v>
      </c>
      <c r="I1109" s="3">
        <v>43140</v>
      </c>
      <c r="J1109" s="3">
        <v>3</v>
      </c>
      <c r="K1109" s="3">
        <v>2</v>
      </c>
      <c r="L1109" s="3">
        <v>1</v>
      </c>
      <c r="M1109" s="3">
        <v>2</v>
      </c>
      <c r="N1109" s="3" t="s">
        <v>14</v>
      </c>
      <c r="O1109" s="3" t="s">
        <v>26</v>
      </c>
      <c r="P1109" s="3">
        <v>3</v>
      </c>
      <c r="Q1109" s="3">
        <v>0</v>
      </c>
      <c r="R1109" s="4" t="s">
        <v>14</v>
      </c>
      <c r="S1109" s="4" t="s">
        <v>14</v>
      </c>
      <c r="T1109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1110" spans="1:20" ht="18" x14ac:dyDescent="0.35">
      <c r="A1110" s="3" t="s">
        <v>1153</v>
      </c>
      <c r="B1110" s="3" t="str">
        <f>IF(Table1[[#This Row],[Age]]&lt;25,"Under 25",IF(Table1[[#This Row],[Age]]&lt;35,"25-34",IF(Table1[[#This Row],[Age]]&lt;45,"35-44",IF(Table1[[#This Row],[Age]]&lt;55,"45-54","55+"))))</f>
        <v>35-44</v>
      </c>
      <c r="C1110" s="3">
        <v>36</v>
      </c>
      <c r="D1110" s="3" t="s">
        <v>22</v>
      </c>
      <c r="E1110" s="3" t="s">
        <v>34</v>
      </c>
      <c r="F1110" s="3" t="s">
        <v>54</v>
      </c>
      <c r="G1110" s="3" t="s">
        <v>25</v>
      </c>
      <c r="H1110" s="3" t="s">
        <v>42</v>
      </c>
      <c r="I1110" s="3">
        <v>74652</v>
      </c>
      <c r="J1110" s="3">
        <v>0</v>
      </c>
      <c r="K1110" s="3">
        <v>0</v>
      </c>
      <c r="L1110" s="3">
        <v>2</v>
      </c>
      <c r="M1110" s="3">
        <v>4</v>
      </c>
      <c r="N1110" s="3" t="s">
        <v>14</v>
      </c>
      <c r="O1110" s="3" t="s">
        <v>26</v>
      </c>
      <c r="P1110" s="3">
        <v>4</v>
      </c>
      <c r="Q1110" s="3">
        <v>4</v>
      </c>
      <c r="R1110" s="4" t="s">
        <v>14</v>
      </c>
      <c r="S1110" s="4" t="s">
        <v>12</v>
      </c>
      <c r="T1110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Less than 1 Year</v>
      </c>
    </row>
    <row r="1111" spans="1:20" ht="18" x14ac:dyDescent="0.35">
      <c r="A1111" s="3" t="s">
        <v>1154</v>
      </c>
      <c r="B1111" s="3" t="str">
        <f>IF(Table1[[#This Row],[Age]]&lt;25,"Under 25",IF(Table1[[#This Row],[Age]]&lt;35,"25-34",IF(Table1[[#This Row],[Age]]&lt;45,"35-44",IF(Table1[[#This Row],[Age]]&lt;55,"45-54","55+"))))</f>
        <v>35-44</v>
      </c>
      <c r="C1111" s="3">
        <v>44</v>
      </c>
      <c r="D1111" s="3" t="s">
        <v>7</v>
      </c>
      <c r="E1111" s="3" t="s">
        <v>8</v>
      </c>
      <c r="F1111" s="3" t="s">
        <v>9</v>
      </c>
      <c r="G1111" s="3" t="s">
        <v>10</v>
      </c>
      <c r="H1111" s="3" t="s">
        <v>19</v>
      </c>
      <c r="I1111" s="3">
        <v>115291</v>
      </c>
      <c r="J1111" s="3">
        <v>12</v>
      </c>
      <c r="K1111" s="3">
        <v>0</v>
      </c>
      <c r="L1111" s="3">
        <v>2</v>
      </c>
      <c r="M1111" s="3">
        <v>2</v>
      </c>
      <c r="N1111" s="3" t="s">
        <v>14</v>
      </c>
      <c r="O1111" s="3" t="s">
        <v>20</v>
      </c>
      <c r="P1111" s="3">
        <v>4</v>
      </c>
      <c r="Q1111" s="3">
        <v>2</v>
      </c>
      <c r="R1111" s="4" t="s">
        <v>14</v>
      </c>
      <c r="S1111" s="4" t="s">
        <v>14</v>
      </c>
      <c r="T1111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1112" spans="1:20" ht="18" x14ac:dyDescent="0.35">
      <c r="A1112" s="3" t="s">
        <v>1155</v>
      </c>
      <c r="B1112" s="3" t="str">
        <f>IF(Table1[[#This Row],[Age]]&lt;25,"Under 25",IF(Table1[[#This Row],[Age]]&lt;35,"25-34",IF(Table1[[#This Row],[Age]]&lt;45,"35-44",IF(Table1[[#This Row],[Age]]&lt;55,"45-54","55+"))))</f>
        <v>25-34</v>
      </c>
      <c r="C1112" s="3">
        <v>25</v>
      </c>
      <c r="D1112" s="3" t="s">
        <v>7</v>
      </c>
      <c r="E1112" s="3" t="s">
        <v>34</v>
      </c>
      <c r="F1112" s="3" t="s">
        <v>35</v>
      </c>
      <c r="G1112" s="3" t="s">
        <v>25</v>
      </c>
      <c r="H1112" s="3" t="s">
        <v>11</v>
      </c>
      <c r="I1112" s="3">
        <v>55680</v>
      </c>
      <c r="J1112" s="3">
        <v>0</v>
      </c>
      <c r="K1112" s="3">
        <v>0</v>
      </c>
      <c r="L1112" s="3">
        <v>4</v>
      </c>
      <c r="M1112" s="3">
        <v>2</v>
      </c>
      <c r="N1112" s="3" t="s">
        <v>12</v>
      </c>
      <c r="O1112" s="3" t="s">
        <v>26</v>
      </c>
      <c r="P1112" s="3">
        <v>3</v>
      </c>
      <c r="Q1112" s="3">
        <v>6</v>
      </c>
      <c r="R1112" s="4" t="s">
        <v>14</v>
      </c>
      <c r="S1112" s="4" t="s">
        <v>14</v>
      </c>
      <c r="T1112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Less than 1 Year</v>
      </c>
    </row>
    <row r="1113" spans="1:20" ht="18" x14ac:dyDescent="0.35">
      <c r="A1113" s="3" t="s">
        <v>1156</v>
      </c>
      <c r="B1113" s="3" t="str">
        <f>IF(Table1[[#This Row],[Age]]&lt;25,"Under 25",IF(Table1[[#This Row],[Age]]&lt;35,"25-34",IF(Table1[[#This Row],[Age]]&lt;45,"35-44",IF(Table1[[#This Row],[Age]]&lt;55,"45-54","55+"))))</f>
        <v>25-34</v>
      </c>
      <c r="C1113" s="3">
        <v>30</v>
      </c>
      <c r="D1113" s="3" t="s">
        <v>22</v>
      </c>
      <c r="E1113" s="3" t="s">
        <v>31</v>
      </c>
      <c r="F1113" s="3" t="s">
        <v>32</v>
      </c>
      <c r="G1113" s="3" t="s">
        <v>25</v>
      </c>
      <c r="H1113" s="3" t="s">
        <v>19</v>
      </c>
      <c r="I1113" s="3">
        <v>58678</v>
      </c>
      <c r="J1113" s="3">
        <v>7</v>
      </c>
      <c r="K1113" s="3">
        <v>6</v>
      </c>
      <c r="L1113" s="3">
        <v>2</v>
      </c>
      <c r="M1113" s="3">
        <v>3</v>
      </c>
      <c r="N1113" s="3" t="s">
        <v>14</v>
      </c>
      <c r="O1113" s="3" t="s">
        <v>20</v>
      </c>
      <c r="P1113" s="3">
        <v>3</v>
      </c>
      <c r="Q1113" s="3">
        <v>1</v>
      </c>
      <c r="R1113" s="4" t="s">
        <v>14</v>
      </c>
      <c r="S1113" s="4" t="s">
        <v>14</v>
      </c>
      <c r="T1113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1114" spans="1:20" ht="18" x14ac:dyDescent="0.35">
      <c r="A1114" s="3" t="s">
        <v>1157</v>
      </c>
      <c r="B1114" s="3" t="str">
        <f>IF(Table1[[#This Row],[Age]]&lt;25,"Under 25",IF(Table1[[#This Row],[Age]]&lt;35,"25-34",IF(Table1[[#This Row],[Age]]&lt;45,"35-44",IF(Table1[[#This Row],[Age]]&lt;55,"45-54","55+"))))</f>
        <v>25-34</v>
      </c>
      <c r="C1114" s="3">
        <v>25</v>
      </c>
      <c r="D1114" s="3" t="s">
        <v>22</v>
      </c>
      <c r="E1114" s="3" t="s">
        <v>38</v>
      </c>
      <c r="F1114" s="3" t="s">
        <v>59</v>
      </c>
      <c r="G1114" s="3" t="s">
        <v>25</v>
      </c>
      <c r="H1114" s="3" t="s">
        <v>11</v>
      </c>
      <c r="I1114" s="3">
        <v>45632</v>
      </c>
      <c r="J1114" s="3">
        <v>5</v>
      </c>
      <c r="K1114" s="3">
        <v>5</v>
      </c>
      <c r="L1114" s="3">
        <v>2</v>
      </c>
      <c r="M1114" s="3">
        <v>2</v>
      </c>
      <c r="N1114" s="3" t="s">
        <v>14</v>
      </c>
      <c r="O1114" s="3" t="s">
        <v>26</v>
      </c>
      <c r="P1114" s="3">
        <v>3</v>
      </c>
      <c r="Q1114" s="3">
        <v>0</v>
      </c>
      <c r="R1114" s="4" t="s">
        <v>14</v>
      </c>
      <c r="S1114" s="4" t="s">
        <v>14</v>
      </c>
      <c r="T1114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1115" spans="1:20" ht="18" x14ac:dyDescent="0.35">
      <c r="A1115" s="3" t="s">
        <v>1158</v>
      </c>
      <c r="B1115" s="3" t="str">
        <f>IF(Table1[[#This Row],[Age]]&lt;25,"Under 25",IF(Table1[[#This Row],[Age]]&lt;35,"25-34",IF(Table1[[#This Row],[Age]]&lt;45,"35-44",IF(Table1[[#This Row],[Age]]&lt;55,"45-54","55+"))))</f>
        <v>Under 25</v>
      </c>
      <c r="C1115" s="3">
        <v>21</v>
      </c>
      <c r="D1115" s="3" t="s">
        <v>7</v>
      </c>
      <c r="E1115" s="3" t="s">
        <v>38</v>
      </c>
      <c r="F1115" s="3" t="s">
        <v>59</v>
      </c>
      <c r="G1115" s="3" t="s">
        <v>10</v>
      </c>
      <c r="H1115" s="3" t="s">
        <v>19</v>
      </c>
      <c r="I1115" s="3">
        <v>34513</v>
      </c>
      <c r="J1115" s="3">
        <v>2</v>
      </c>
      <c r="K1115" s="3">
        <v>0</v>
      </c>
      <c r="L1115" s="3">
        <v>3</v>
      </c>
      <c r="M1115" s="3">
        <v>2</v>
      </c>
      <c r="N1115" s="3" t="s">
        <v>14</v>
      </c>
      <c r="O1115" s="3" t="s">
        <v>26</v>
      </c>
      <c r="P1115" s="3">
        <v>3</v>
      </c>
      <c r="Q1115" s="3">
        <v>5</v>
      </c>
      <c r="R1115" s="4" t="s">
        <v>14</v>
      </c>
      <c r="S1115" s="4" t="s">
        <v>14</v>
      </c>
      <c r="T1115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1116" spans="1:20" ht="18" x14ac:dyDescent="0.35">
      <c r="A1116" s="3" t="s">
        <v>1159</v>
      </c>
      <c r="B1116" s="3" t="str">
        <f>IF(Table1[[#This Row],[Age]]&lt;25,"Under 25",IF(Table1[[#This Row],[Age]]&lt;35,"25-34",IF(Table1[[#This Row],[Age]]&lt;45,"35-44",IF(Table1[[#This Row],[Age]]&lt;55,"45-54","55+"))))</f>
        <v>35-44</v>
      </c>
      <c r="C1116" s="3">
        <v>43</v>
      </c>
      <c r="D1116" s="3" t="s">
        <v>7</v>
      </c>
      <c r="E1116" s="3" t="s">
        <v>34</v>
      </c>
      <c r="F1116" s="3" t="s">
        <v>150</v>
      </c>
      <c r="G1116" s="3" t="s">
        <v>18</v>
      </c>
      <c r="H1116" s="3" t="s">
        <v>11</v>
      </c>
      <c r="I1116" s="3">
        <v>74660</v>
      </c>
      <c r="J1116" s="3">
        <v>1</v>
      </c>
      <c r="K1116" s="3">
        <v>1</v>
      </c>
      <c r="L1116" s="3">
        <v>3</v>
      </c>
      <c r="M1116" s="3">
        <v>2</v>
      </c>
      <c r="N1116" s="3" t="s">
        <v>12</v>
      </c>
      <c r="O1116" s="3" t="s">
        <v>20</v>
      </c>
      <c r="P1116" s="3">
        <v>3</v>
      </c>
      <c r="Q1116" s="3">
        <v>5</v>
      </c>
      <c r="R1116" s="4" t="s">
        <v>14</v>
      </c>
      <c r="S1116" s="4" t="s">
        <v>12</v>
      </c>
      <c r="T1116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1117" spans="1:20" ht="18" x14ac:dyDescent="0.35">
      <c r="A1117" s="3" t="s">
        <v>1160</v>
      </c>
      <c r="B1117" s="3" t="str">
        <f>IF(Table1[[#This Row],[Age]]&lt;25,"Under 25",IF(Table1[[#This Row],[Age]]&lt;35,"25-34",IF(Table1[[#This Row],[Age]]&lt;45,"35-44",IF(Table1[[#This Row],[Age]]&lt;55,"45-54","55+"))))</f>
        <v>25-34</v>
      </c>
      <c r="C1117" s="3">
        <v>27</v>
      </c>
      <c r="D1117" s="3" t="s">
        <v>7</v>
      </c>
      <c r="E1117" s="3" t="s">
        <v>8</v>
      </c>
      <c r="F1117" s="3" t="s">
        <v>66</v>
      </c>
      <c r="G1117" s="3" t="s">
        <v>25</v>
      </c>
      <c r="H1117" s="3" t="s">
        <v>19</v>
      </c>
      <c r="I1117" s="3">
        <v>47429</v>
      </c>
      <c r="J1117" s="3">
        <v>4</v>
      </c>
      <c r="K1117" s="3">
        <v>0</v>
      </c>
      <c r="L1117" s="3">
        <v>1</v>
      </c>
      <c r="M1117" s="3">
        <v>4</v>
      </c>
      <c r="N1117" s="3" t="s">
        <v>12</v>
      </c>
      <c r="O1117" s="3" t="s">
        <v>13</v>
      </c>
      <c r="P1117" s="3">
        <v>3</v>
      </c>
      <c r="Q1117" s="3">
        <v>2</v>
      </c>
      <c r="R1117" s="4" t="s">
        <v>14</v>
      </c>
      <c r="S1117" s="4" t="s">
        <v>12</v>
      </c>
      <c r="T1117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1118" spans="1:20" ht="18" x14ac:dyDescent="0.35">
      <c r="A1118" s="3" t="s">
        <v>1161</v>
      </c>
      <c r="B1118" s="3" t="str">
        <f>IF(Table1[[#This Row],[Age]]&lt;25,"Under 25",IF(Table1[[#This Row],[Age]]&lt;35,"25-34",IF(Table1[[#This Row],[Age]]&lt;45,"35-44",IF(Table1[[#This Row],[Age]]&lt;55,"45-54","55+"))))</f>
        <v>45-54</v>
      </c>
      <c r="C1118" s="3">
        <v>49</v>
      </c>
      <c r="D1118" s="3" t="s">
        <v>22</v>
      </c>
      <c r="E1118" s="3" t="s">
        <v>51</v>
      </c>
      <c r="F1118" s="3" t="s">
        <v>72</v>
      </c>
      <c r="G1118" s="3" t="s">
        <v>10</v>
      </c>
      <c r="H1118" s="3" t="s">
        <v>11</v>
      </c>
      <c r="I1118" s="3">
        <v>54334</v>
      </c>
      <c r="J1118" s="3">
        <v>8</v>
      </c>
      <c r="K1118" s="3">
        <v>6</v>
      </c>
      <c r="L1118" s="3">
        <v>4</v>
      </c>
      <c r="M1118" s="3">
        <v>2</v>
      </c>
      <c r="N1118" s="3" t="s">
        <v>14</v>
      </c>
      <c r="O1118" s="3" t="s">
        <v>26</v>
      </c>
      <c r="P1118" s="3">
        <v>3</v>
      </c>
      <c r="Q1118" s="3">
        <v>3</v>
      </c>
      <c r="R1118" s="4" t="s">
        <v>14</v>
      </c>
      <c r="S1118" s="4" t="s">
        <v>14</v>
      </c>
      <c r="T1118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1119" spans="1:20" ht="18" x14ac:dyDescent="0.35">
      <c r="A1119" s="3" t="s">
        <v>1162</v>
      </c>
      <c r="B1119" s="3" t="str">
        <f>IF(Table1[[#This Row],[Age]]&lt;25,"Under 25",IF(Table1[[#This Row],[Age]]&lt;35,"25-34",IF(Table1[[#This Row],[Age]]&lt;45,"35-44",IF(Table1[[#This Row],[Age]]&lt;55,"45-54","55+"))))</f>
        <v>25-34</v>
      </c>
      <c r="C1119" s="3">
        <v>30</v>
      </c>
      <c r="D1119" s="3" t="s">
        <v>22</v>
      </c>
      <c r="E1119" s="3" t="s">
        <v>8</v>
      </c>
      <c r="F1119" s="3" t="s">
        <v>66</v>
      </c>
      <c r="G1119" s="3" t="s">
        <v>25</v>
      </c>
      <c r="H1119" s="3" t="s">
        <v>42</v>
      </c>
      <c r="I1119" s="3">
        <v>77391</v>
      </c>
      <c r="J1119" s="3">
        <v>7</v>
      </c>
      <c r="K1119" s="3">
        <v>5</v>
      </c>
      <c r="L1119" s="3">
        <v>2</v>
      </c>
      <c r="M1119" s="3">
        <v>3</v>
      </c>
      <c r="N1119" s="3" t="s">
        <v>14</v>
      </c>
      <c r="O1119" s="3" t="s">
        <v>20</v>
      </c>
      <c r="P1119" s="3">
        <v>3</v>
      </c>
      <c r="Q1119" s="3">
        <v>6</v>
      </c>
      <c r="R1119" s="4" t="s">
        <v>14</v>
      </c>
      <c r="S1119" s="4" t="s">
        <v>14</v>
      </c>
      <c r="T1119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1120" spans="1:20" ht="18" x14ac:dyDescent="0.35">
      <c r="A1120" s="3" t="s">
        <v>1163</v>
      </c>
      <c r="B1120" s="3" t="str">
        <f>IF(Table1[[#This Row],[Age]]&lt;25,"Under 25",IF(Table1[[#This Row],[Age]]&lt;35,"25-34",IF(Table1[[#This Row],[Age]]&lt;45,"35-44",IF(Table1[[#This Row],[Age]]&lt;55,"45-54","55+"))))</f>
        <v>45-54</v>
      </c>
      <c r="C1120" s="3">
        <v>46</v>
      </c>
      <c r="D1120" s="3" t="s">
        <v>7</v>
      </c>
      <c r="E1120" s="3" t="s">
        <v>16</v>
      </c>
      <c r="F1120" s="3" t="s">
        <v>47</v>
      </c>
      <c r="G1120" s="3" t="s">
        <v>18</v>
      </c>
      <c r="H1120" s="3" t="s">
        <v>19</v>
      </c>
      <c r="I1120" s="3">
        <v>104562</v>
      </c>
      <c r="J1120" s="3">
        <v>22</v>
      </c>
      <c r="K1120" s="3">
        <v>7</v>
      </c>
      <c r="L1120" s="3">
        <v>1</v>
      </c>
      <c r="M1120" s="3">
        <v>4</v>
      </c>
      <c r="N1120" s="3" t="s">
        <v>14</v>
      </c>
      <c r="O1120" s="3" t="s">
        <v>26</v>
      </c>
      <c r="P1120" s="3">
        <v>4</v>
      </c>
      <c r="Q1120" s="3">
        <v>2</v>
      </c>
      <c r="R1120" s="4" t="s">
        <v>14</v>
      </c>
      <c r="S1120" s="4" t="s">
        <v>14</v>
      </c>
      <c r="T1120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1121" spans="1:20" ht="18" x14ac:dyDescent="0.35">
      <c r="A1121" s="3" t="s">
        <v>1164</v>
      </c>
      <c r="B1121" s="3" t="str">
        <f>IF(Table1[[#This Row],[Age]]&lt;25,"Under 25",IF(Table1[[#This Row],[Age]]&lt;35,"25-34",IF(Table1[[#This Row],[Age]]&lt;45,"35-44",IF(Table1[[#This Row],[Age]]&lt;55,"45-54","55+"))))</f>
        <v>35-44</v>
      </c>
      <c r="C1121" s="3">
        <v>37</v>
      </c>
      <c r="D1121" s="3" t="s">
        <v>22</v>
      </c>
      <c r="E1121" s="3" t="s">
        <v>34</v>
      </c>
      <c r="F1121" s="3" t="s">
        <v>35</v>
      </c>
      <c r="G1121" s="3" t="s">
        <v>18</v>
      </c>
      <c r="H1121" s="3" t="s">
        <v>11</v>
      </c>
      <c r="I1121" s="3">
        <v>62269</v>
      </c>
      <c r="J1121" s="3">
        <v>19</v>
      </c>
      <c r="K1121" s="3">
        <v>0</v>
      </c>
      <c r="L1121" s="3">
        <v>4</v>
      </c>
      <c r="M1121" s="3">
        <v>2</v>
      </c>
      <c r="N1121" s="3" t="s">
        <v>14</v>
      </c>
      <c r="O1121" s="3" t="s">
        <v>13</v>
      </c>
      <c r="P1121" s="3">
        <v>2</v>
      </c>
      <c r="Q1121" s="3">
        <v>0</v>
      </c>
      <c r="R1121" s="4" t="s">
        <v>12</v>
      </c>
      <c r="S1121" s="4" t="s">
        <v>14</v>
      </c>
      <c r="T1121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1122" spans="1:20" ht="18" x14ac:dyDescent="0.35">
      <c r="A1122" s="3" t="s">
        <v>1165</v>
      </c>
      <c r="B1122" s="3" t="str">
        <f>IF(Table1[[#This Row],[Age]]&lt;25,"Under 25",IF(Table1[[#This Row],[Age]]&lt;35,"25-34",IF(Table1[[#This Row],[Age]]&lt;45,"35-44",IF(Table1[[#This Row],[Age]]&lt;55,"45-54","55+"))))</f>
        <v>35-44</v>
      </c>
      <c r="C1122" s="3">
        <v>35</v>
      </c>
      <c r="D1122" s="3" t="s">
        <v>22</v>
      </c>
      <c r="E1122" s="3" t="s">
        <v>8</v>
      </c>
      <c r="F1122" s="3" t="s">
        <v>66</v>
      </c>
      <c r="G1122" s="3" t="s">
        <v>18</v>
      </c>
      <c r="H1122" s="3" t="s">
        <v>11</v>
      </c>
      <c r="I1122" s="3">
        <v>54076</v>
      </c>
      <c r="J1122" s="3">
        <v>1</v>
      </c>
      <c r="K1122" s="3">
        <v>1</v>
      </c>
      <c r="L1122" s="3">
        <v>4</v>
      </c>
      <c r="M1122" s="3">
        <v>2</v>
      </c>
      <c r="N1122" s="3" t="s">
        <v>14</v>
      </c>
      <c r="O1122" s="3" t="s">
        <v>13</v>
      </c>
      <c r="P1122" s="3">
        <v>3</v>
      </c>
      <c r="Q1122" s="3">
        <v>6</v>
      </c>
      <c r="R1122" s="4" t="s">
        <v>14</v>
      </c>
      <c r="S1122" s="4" t="s">
        <v>14</v>
      </c>
      <c r="T1122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1123" spans="1:20" ht="18" x14ac:dyDescent="0.35">
      <c r="A1123" s="3" t="s">
        <v>1166</v>
      </c>
      <c r="B1123" s="3" t="str">
        <f>IF(Table1[[#This Row],[Age]]&lt;25,"Under 25",IF(Table1[[#This Row],[Age]]&lt;35,"25-34",IF(Table1[[#This Row],[Age]]&lt;45,"35-44",IF(Table1[[#This Row],[Age]]&lt;55,"45-54","55+"))))</f>
        <v>25-34</v>
      </c>
      <c r="C1123" s="3">
        <v>34</v>
      </c>
      <c r="D1123" s="3" t="s">
        <v>22</v>
      </c>
      <c r="E1123" s="3" t="s">
        <v>34</v>
      </c>
      <c r="F1123" s="3" t="s">
        <v>35</v>
      </c>
      <c r="G1123" s="3" t="s">
        <v>25</v>
      </c>
      <c r="H1123" s="3" t="s">
        <v>11</v>
      </c>
      <c r="I1123" s="3">
        <v>41919</v>
      </c>
      <c r="J1123" s="3">
        <v>2</v>
      </c>
      <c r="K1123" s="3">
        <v>0</v>
      </c>
      <c r="L1123" s="3">
        <v>3</v>
      </c>
      <c r="M1123" s="3">
        <v>1</v>
      </c>
      <c r="N1123" s="3" t="s">
        <v>12</v>
      </c>
      <c r="O1123" s="3" t="s">
        <v>20</v>
      </c>
      <c r="P1123" s="3">
        <v>3</v>
      </c>
      <c r="Q1123" s="3">
        <v>5</v>
      </c>
      <c r="R1123" s="4" t="s">
        <v>14</v>
      </c>
      <c r="S1123" s="4" t="s">
        <v>14</v>
      </c>
      <c r="T1123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1124" spans="1:20" ht="18" x14ac:dyDescent="0.35">
      <c r="A1124" s="3" t="s">
        <v>1167</v>
      </c>
      <c r="B1124" s="3" t="str">
        <f>IF(Table1[[#This Row],[Age]]&lt;25,"Under 25",IF(Table1[[#This Row],[Age]]&lt;35,"25-34",IF(Table1[[#This Row],[Age]]&lt;45,"35-44",IF(Table1[[#This Row],[Age]]&lt;55,"45-54","55+"))))</f>
        <v>35-44</v>
      </c>
      <c r="C1124" s="3">
        <v>36</v>
      </c>
      <c r="D1124" s="3" t="s">
        <v>22</v>
      </c>
      <c r="E1124" s="3" t="s">
        <v>16</v>
      </c>
      <c r="F1124" s="3" t="s">
        <v>17</v>
      </c>
      <c r="G1124" s="3" t="s">
        <v>25</v>
      </c>
      <c r="H1124" s="3" t="s">
        <v>11</v>
      </c>
      <c r="I1124" s="3">
        <v>62274</v>
      </c>
      <c r="J1124" s="3">
        <v>9</v>
      </c>
      <c r="K1124" s="3">
        <v>6</v>
      </c>
      <c r="L1124" s="3">
        <v>3</v>
      </c>
      <c r="M1124" s="3">
        <v>3</v>
      </c>
      <c r="N1124" s="3" t="s">
        <v>14</v>
      </c>
      <c r="O1124" s="3" t="s">
        <v>20</v>
      </c>
      <c r="P1124" s="3">
        <v>3</v>
      </c>
      <c r="Q1124" s="3">
        <v>1</v>
      </c>
      <c r="R1124" s="4" t="s">
        <v>14</v>
      </c>
      <c r="S1124" s="4" t="s">
        <v>14</v>
      </c>
      <c r="T1124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1125" spans="1:20" ht="18" x14ac:dyDescent="0.35">
      <c r="A1125" s="3" t="s">
        <v>1168</v>
      </c>
      <c r="B1125" s="3" t="str">
        <f>IF(Table1[[#This Row],[Age]]&lt;25,"Under 25",IF(Table1[[#This Row],[Age]]&lt;35,"25-34",IF(Table1[[#This Row],[Age]]&lt;45,"35-44",IF(Table1[[#This Row],[Age]]&lt;55,"45-54","55+"))))</f>
        <v>25-34</v>
      </c>
      <c r="C1125" s="3">
        <v>34</v>
      </c>
      <c r="D1125" s="3" t="s">
        <v>7</v>
      </c>
      <c r="E1125" s="3" t="s">
        <v>38</v>
      </c>
      <c r="F1125" s="3" t="s">
        <v>59</v>
      </c>
      <c r="G1125" s="3" t="s">
        <v>10</v>
      </c>
      <c r="H1125" s="3" t="s">
        <v>11</v>
      </c>
      <c r="I1125" s="3">
        <v>22000</v>
      </c>
      <c r="J1125" s="3">
        <v>2</v>
      </c>
      <c r="K1125" s="3">
        <v>1</v>
      </c>
      <c r="L1125" s="3">
        <v>4</v>
      </c>
      <c r="M1125" s="3">
        <v>4</v>
      </c>
      <c r="N1125" s="3" t="s">
        <v>14</v>
      </c>
      <c r="O1125" s="3" t="s">
        <v>13</v>
      </c>
      <c r="P1125" s="3">
        <v>4</v>
      </c>
      <c r="Q1125" s="3">
        <v>4</v>
      </c>
      <c r="R1125" s="4" t="s">
        <v>12</v>
      </c>
      <c r="S1125" s="4" t="s">
        <v>14</v>
      </c>
      <c r="T1125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1126" spans="1:20" ht="18" x14ac:dyDescent="0.35">
      <c r="A1126" s="3" t="s">
        <v>1169</v>
      </c>
      <c r="B1126" s="3" t="str">
        <f>IF(Table1[[#This Row],[Age]]&lt;25,"Under 25",IF(Table1[[#This Row],[Age]]&lt;35,"25-34",IF(Table1[[#This Row],[Age]]&lt;45,"35-44",IF(Table1[[#This Row],[Age]]&lt;55,"45-54","55+"))))</f>
        <v>35-44</v>
      </c>
      <c r="C1126" s="3">
        <v>37</v>
      </c>
      <c r="D1126" s="3" t="s">
        <v>22</v>
      </c>
      <c r="E1126" s="3" t="s">
        <v>34</v>
      </c>
      <c r="F1126" s="3" t="s">
        <v>91</v>
      </c>
      <c r="G1126" s="3" t="s">
        <v>25</v>
      </c>
      <c r="H1126" s="3" t="s">
        <v>42</v>
      </c>
      <c r="I1126" s="3">
        <v>33471</v>
      </c>
      <c r="J1126" s="3">
        <v>6</v>
      </c>
      <c r="K1126" s="3">
        <v>1</v>
      </c>
      <c r="L1126" s="3">
        <v>3</v>
      </c>
      <c r="M1126" s="3">
        <v>2</v>
      </c>
      <c r="N1126" s="3" t="s">
        <v>14</v>
      </c>
      <c r="O1126" s="3" t="s">
        <v>13</v>
      </c>
      <c r="P1126" s="3">
        <v>3</v>
      </c>
      <c r="Q1126" s="3">
        <v>4</v>
      </c>
      <c r="R1126" s="4" t="s">
        <v>12</v>
      </c>
      <c r="S1126" s="4" t="s">
        <v>14</v>
      </c>
      <c r="T1126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1127" spans="1:20" ht="18" x14ac:dyDescent="0.35">
      <c r="A1127" s="3" t="s">
        <v>1170</v>
      </c>
      <c r="B1127" s="3" t="str">
        <f>IF(Table1[[#This Row],[Age]]&lt;25,"Under 25",IF(Table1[[#This Row],[Age]]&lt;35,"25-34",IF(Table1[[#This Row],[Age]]&lt;45,"35-44",IF(Table1[[#This Row],[Age]]&lt;55,"45-54","55+"))))</f>
        <v>35-44</v>
      </c>
      <c r="C1127" s="3">
        <v>43</v>
      </c>
      <c r="D1127" s="3" t="s">
        <v>22</v>
      </c>
      <c r="E1127" s="3" t="s">
        <v>8</v>
      </c>
      <c r="F1127" s="3" t="s">
        <v>66</v>
      </c>
      <c r="G1127" s="3" t="s">
        <v>18</v>
      </c>
      <c r="H1127" s="3" t="s">
        <v>11</v>
      </c>
      <c r="I1127" s="3">
        <v>93861</v>
      </c>
      <c r="J1127" s="3">
        <v>24</v>
      </c>
      <c r="K1127" s="3">
        <v>4</v>
      </c>
      <c r="L1127" s="3">
        <v>4</v>
      </c>
      <c r="M1127" s="3">
        <v>3</v>
      </c>
      <c r="N1127" s="3" t="s">
        <v>14</v>
      </c>
      <c r="O1127" s="3" t="s">
        <v>13</v>
      </c>
      <c r="P1127" s="3">
        <v>3</v>
      </c>
      <c r="Q1127" s="3">
        <v>0</v>
      </c>
      <c r="R1127" s="4" t="s">
        <v>12</v>
      </c>
      <c r="S1127" s="4" t="s">
        <v>14</v>
      </c>
      <c r="T1127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1128" spans="1:20" ht="18" x14ac:dyDescent="0.35">
      <c r="A1128" s="3" t="s">
        <v>1171</v>
      </c>
      <c r="B1128" s="3" t="str">
        <f>IF(Table1[[#This Row],[Age]]&lt;25,"Under 25",IF(Table1[[#This Row],[Age]]&lt;35,"25-34",IF(Table1[[#This Row],[Age]]&lt;45,"35-44",IF(Table1[[#This Row],[Age]]&lt;55,"45-54","55+"))))</f>
        <v>35-44</v>
      </c>
      <c r="C1128" s="3">
        <v>39</v>
      </c>
      <c r="D1128" s="3" t="s">
        <v>7</v>
      </c>
      <c r="E1128" s="3" t="s">
        <v>8</v>
      </c>
      <c r="F1128" s="3" t="s">
        <v>9</v>
      </c>
      <c r="G1128" s="3" t="s">
        <v>25</v>
      </c>
      <c r="H1128" s="3" t="s">
        <v>19</v>
      </c>
      <c r="I1128" s="3">
        <v>78419</v>
      </c>
      <c r="J1128" s="3">
        <v>21</v>
      </c>
      <c r="K1128" s="3">
        <v>1</v>
      </c>
      <c r="L1128" s="3">
        <v>2</v>
      </c>
      <c r="M1128" s="3">
        <v>4</v>
      </c>
      <c r="N1128" s="3" t="s">
        <v>14</v>
      </c>
      <c r="O1128" s="3" t="s">
        <v>13</v>
      </c>
      <c r="P1128" s="3">
        <v>3</v>
      </c>
      <c r="Q1128" s="3">
        <v>0</v>
      </c>
      <c r="R1128" s="4" t="s">
        <v>14</v>
      </c>
      <c r="S1128" s="4" t="s">
        <v>14</v>
      </c>
      <c r="T1128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1129" spans="1:20" ht="18" x14ac:dyDescent="0.35">
      <c r="A1129" s="3" t="s">
        <v>1172</v>
      </c>
      <c r="B1129" s="3" t="str">
        <f>IF(Table1[[#This Row],[Age]]&lt;25,"Under 25",IF(Table1[[#This Row],[Age]]&lt;35,"25-34",IF(Table1[[#This Row],[Age]]&lt;45,"35-44",IF(Table1[[#This Row],[Age]]&lt;55,"45-54","55+"))))</f>
        <v>25-34</v>
      </c>
      <c r="C1129" s="3">
        <v>26</v>
      </c>
      <c r="D1129" s="3" t="s">
        <v>7</v>
      </c>
      <c r="E1129" s="3" t="s">
        <v>38</v>
      </c>
      <c r="F1129" s="3" t="s">
        <v>59</v>
      </c>
      <c r="G1129" s="3" t="s">
        <v>10</v>
      </c>
      <c r="H1129" s="3" t="s">
        <v>11</v>
      </c>
      <c r="I1129" s="3">
        <v>71090</v>
      </c>
      <c r="J1129" s="3">
        <v>8</v>
      </c>
      <c r="K1129" s="3">
        <v>2</v>
      </c>
      <c r="L1129" s="3">
        <v>3</v>
      </c>
      <c r="M1129" s="3">
        <v>3</v>
      </c>
      <c r="N1129" s="3" t="s">
        <v>14</v>
      </c>
      <c r="O1129" s="3" t="s">
        <v>13</v>
      </c>
      <c r="P1129" s="3">
        <v>3</v>
      </c>
      <c r="Q1129" s="3">
        <v>1</v>
      </c>
      <c r="R1129" s="4" t="s">
        <v>14</v>
      </c>
      <c r="S1129" s="4" t="s">
        <v>14</v>
      </c>
      <c r="T1129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1130" spans="1:20" ht="18" x14ac:dyDescent="0.35">
      <c r="A1130" s="3" t="s">
        <v>1173</v>
      </c>
      <c r="B1130" s="3" t="str">
        <f>IF(Table1[[#This Row],[Age]]&lt;25,"Under 25",IF(Table1[[#This Row],[Age]]&lt;35,"25-34",IF(Table1[[#This Row],[Age]]&lt;45,"35-44",IF(Table1[[#This Row],[Age]]&lt;55,"45-54","55+"))))</f>
        <v>25-34</v>
      </c>
      <c r="C1130" s="3">
        <v>32</v>
      </c>
      <c r="D1130" s="3" t="s">
        <v>22</v>
      </c>
      <c r="E1130" s="3" t="s">
        <v>16</v>
      </c>
      <c r="F1130" s="3" t="s">
        <v>17</v>
      </c>
      <c r="G1130" s="3" t="s">
        <v>25</v>
      </c>
      <c r="H1130" s="3" t="s">
        <v>11</v>
      </c>
      <c r="I1130" s="3">
        <v>33591</v>
      </c>
      <c r="J1130" s="3">
        <v>4</v>
      </c>
      <c r="K1130" s="3">
        <v>0</v>
      </c>
      <c r="L1130" s="3">
        <v>2</v>
      </c>
      <c r="M1130" s="3">
        <v>4</v>
      </c>
      <c r="N1130" s="3" t="s">
        <v>14</v>
      </c>
      <c r="O1130" s="3" t="s">
        <v>13</v>
      </c>
      <c r="P1130" s="3">
        <v>3</v>
      </c>
      <c r="Q1130" s="3">
        <v>2</v>
      </c>
      <c r="R1130" s="4" t="s">
        <v>14</v>
      </c>
      <c r="S1130" s="4" t="s">
        <v>14</v>
      </c>
      <c r="T1130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1131" spans="1:20" ht="18" x14ac:dyDescent="0.35">
      <c r="A1131" s="3" t="s">
        <v>1174</v>
      </c>
      <c r="B1131" s="3" t="str">
        <f>IF(Table1[[#This Row],[Age]]&lt;25,"Under 25",IF(Table1[[#This Row],[Age]]&lt;35,"25-34",IF(Table1[[#This Row],[Age]]&lt;45,"35-44",IF(Table1[[#This Row],[Age]]&lt;55,"45-54","55+"))))</f>
        <v>Under 25</v>
      </c>
      <c r="C1131" s="3">
        <v>21</v>
      </c>
      <c r="D1131" s="3" t="s">
        <v>7</v>
      </c>
      <c r="E1131" s="3" t="s">
        <v>38</v>
      </c>
      <c r="F1131" s="3" t="s">
        <v>89</v>
      </c>
      <c r="G1131" s="3" t="s">
        <v>25</v>
      </c>
      <c r="H1131" s="3" t="s">
        <v>11</v>
      </c>
      <c r="I1131" s="3">
        <v>95561</v>
      </c>
      <c r="J1131" s="3">
        <v>3</v>
      </c>
      <c r="K1131" s="3">
        <v>3</v>
      </c>
      <c r="L1131" s="3">
        <v>2</v>
      </c>
      <c r="M1131" s="3">
        <v>3</v>
      </c>
      <c r="N1131" s="3" t="s">
        <v>14</v>
      </c>
      <c r="O1131" s="3" t="s">
        <v>13</v>
      </c>
      <c r="P1131" s="3">
        <v>3</v>
      </c>
      <c r="Q1131" s="3">
        <v>4</v>
      </c>
      <c r="R1131" s="4" t="s">
        <v>14</v>
      </c>
      <c r="S1131" s="4" t="s">
        <v>14</v>
      </c>
      <c r="T1131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1132" spans="1:20" ht="18" x14ac:dyDescent="0.35">
      <c r="A1132" s="3" t="s">
        <v>1175</v>
      </c>
      <c r="B1132" s="3" t="str">
        <f>IF(Table1[[#This Row],[Age]]&lt;25,"Under 25",IF(Table1[[#This Row],[Age]]&lt;35,"25-34",IF(Table1[[#This Row],[Age]]&lt;45,"35-44",IF(Table1[[#This Row],[Age]]&lt;55,"45-54","55+"))))</f>
        <v>35-44</v>
      </c>
      <c r="C1132" s="3">
        <v>38</v>
      </c>
      <c r="D1132" s="3" t="s">
        <v>22</v>
      </c>
      <c r="E1132" s="3" t="s">
        <v>34</v>
      </c>
      <c r="F1132" s="3" t="s">
        <v>54</v>
      </c>
      <c r="G1132" s="3" t="s">
        <v>25</v>
      </c>
      <c r="H1132" s="3" t="s">
        <v>19</v>
      </c>
      <c r="I1132" s="3">
        <v>84758</v>
      </c>
      <c r="J1132" s="3">
        <v>6</v>
      </c>
      <c r="K1132" s="3">
        <v>3</v>
      </c>
      <c r="L1132" s="3">
        <v>2</v>
      </c>
      <c r="M1132" s="3">
        <v>3</v>
      </c>
      <c r="N1132" s="3" t="s">
        <v>14</v>
      </c>
      <c r="O1132" s="3" t="s">
        <v>20</v>
      </c>
      <c r="P1132" s="3">
        <v>3</v>
      </c>
      <c r="Q1132" s="3">
        <v>5</v>
      </c>
      <c r="R1132" s="4" t="s">
        <v>14</v>
      </c>
      <c r="S1132" s="4" t="s">
        <v>14</v>
      </c>
      <c r="T1132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1133" spans="1:20" ht="18" x14ac:dyDescent="0.35">
      <c r="A1133" s="3" t="s">
        <v>1176</v>
      </c>
      <c r="B1133" s="3" t="str">
        <f>IF(Table1[[#This Row],[Age]]&lt;25,"Under 25",IF(Table1[[#This Row],[Age]]&lt;35,"25-34",IF(Table1[[#This Row],[Age]]&lt;45,"35-44",IF(Table1[[#This Row],[Age]]&lt;55,"45-54","55+"))))</f>
        <v>35-44</v>
      </c>
      <c r="C1133" s="3">
        <v>41</v>
      </c>
      <c r="D1133" s="3" t="s">
        <v>22</v>
      </c>
      <c r="E1133" s="3" t="s">
        <v>38</v>
      </c>
      <c r="F1133" s="3" t="s">
        <v>59</v>
      </c>
      <c r="G1133" s="3" t="s">
        <v>10</v>
      </c>
      <c r="H1133" s="3" t="s">
        <v>42</v>
      </c>
      <c r="I1133" s="3">
        <v>53161</v>
      </c>
      <c r="J1133" s="3">
        <v>20</v>
      </c>
      <c r="K1133" s="3">
        <v>7</v>
      </c>
      <c r="L1133" s="3">
        <v>3</v>
      </c>
      <c r="M1133" s="3">
        <v>2</v>
      </c>
      <c r="N1133" s="3" t="s">
        <v>14</v>
      </c>
      <c r="O1133" s="3" t="s">
        <v>13</v>
      </c>
      <c r="P1133" s="3">
        <v>3</v>
      </c>
      <c r="Q1133" s="3">
        <v>0</v>
      </c>
      <c r="R1133" s="4" t="s">
        <v>14</v>
      </c>
      <c r="S1133" s="4" t="s">
        <v>14</v>
      </c>
      <c r="T1133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1134" spans="1:20" ht="18" x14ac:dyDescent="0.35">
      <c r="A1134" s="3" t="s">
        <v>1177</v>
      </c>
      <c r="B1134" s="3" t="str">
        <f>IF(Table1[[#This Row],[Age]]&lt;25,"Under 25",IF(Table1[[#This Row],[Age]]&lt;35,"25-34",IF(Table1[[#This Row],[Age]]&lt;45,"35-44",IF(Table1[[#This Row],[Age]]&lt;55,"45-54","55+"))))</f>
        <v>35-44</v>
      </c>
      <c r="C1134" s="3">
        <v>39</v>
      </c>
      <c r="D1134" s="3" t="s">
        <v>7</v>
      </c>
      <c r="E1134" s="3" t="s">
        <v>16</v>
      </c>
      <c r="F1134" s="3" t="s">
        <v>28</v>
      </c>
      <c r="G1134" s="3" t="s">
        <v>18</v>
      </c>
      <c r="H1134" s="3" t="s">
        <v>19</v>
      </c>
      <c r="I1134" s="3">
        <v>81071</v>
      </c>
      <c r="J1134" s="3">
        <v>15</v>
      </c>
      <c r="K1134" s="3">
        <v>4</v>
      </c>
      <c r="L1134" s="3">
        <v>3</v>
      </c>
      <c r="M1134" s="3">
        <v>2</v>
      </c>
      <c r="N1134" s="3" t="s">
        <v>12</v>
      </c>
      <c r="O1134" s="3" t="s">
        <v>13</v>
      </c>
      <c r="P1134" s="3">
        <v>3</v>
      </c>
      <c r="Q1134" s="3">
        <v>6</v>
      </c>
      <c r="R1134" s="4" t="s">
        <v>14</v>
      </c>
      <c r="S1134" s="4" t="s">
        <v>14</v>
      </c>
      <c r="T1134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1135" spans="1:20" ht="18" x14ac:dyDescent="0.35">
      <c r="A1135" s="3" t="s">
        <v>1178</v>
      </c>
      <c r="B1135" s="3" t="str">
        <f>IF(Table1[[#This Row],[Age]]&lt;25,"Under 25",IF(Table1[[#This Row],[Age]]&lt;35,"25-34",IF(Table1[[#This Row],[Age]]&lt;45,"35-44",IF(Table1[[#This Row],[Age]]&lt;55,"45-54","55+"))))</f>
        <v>35-44</v>
      </c>
      <c r="C1135" s="3">
        <v>37</v>
      </c>
      <c r="D1135" s="3" t="s">
        <v>7</v>
      </c>
      <c r="E1135" s="3" t="s">
        <v>34</v>
      </c>
      <c r="F1135" s="3" t="s">
        <v>150</v>
      </c>
      <c r="G1135" s="3" t="s">
        <v>10</v>
      </c>
      <c r="H1135" s="3" t="s">
        <v>19</v>
      </c>
      <c r="I1135" s="3">
        <v>38629</v>
      </c>
      <c r="J1135" s="3">
        <v>9</v>
      </c>
      <c r="K1135" s="3">
        <v>7</v>
      </c>
      <c r="L1135" s="3">
        <v>3</v>
      </c>
      <c r="M1135" s="3">
        <v>1</v>
      </c>
      <c r="N1135" s="3" t="s">
        <v>14</v>
      </c>
      <c r="O1135" s="3" t="s">
        <v>20</v>
      </c>
      <c r="P1135" s="3">
        <v>4</v>
      </c>
      <c r="Q1135" s="3">
        <v>1</v>
      </c>
      <c r="R1135" s="4" t="s">
        <v>14</v>
      </c>
      <c r="S1135" s="4" t="s">
        <v>14</v>
      </c>
      <c r="T1135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1136" spans="1:20" ht="18" x14ac:dyDescent="0.35">
      <c r="A1136" s="3" t="s">
        <v>1179</v>
      </c>
      <c r="B1136" s="3" t="str">
        <f>IF(Table1[[#This Row],[Age]]&lt;25,"Under 25",IF(Table1[[#This Row],[Age]]&lt;35,"25-34",IF(Table1[[#This Row],[Age]]&lt;45,"35-44",IF(Table1[[#This Row],[Age]]&lt;55,"45-54","55+"))))</f>
        <v>35-44</v>
      </c>
      <c r="C1136" s="3">
        <v>35</v>
      </c>
      <c r="D1136" s="3" t="s">
        <v>7</v>
      </c>
      <c r="E1136" s="3" t="s">
        <v>16</v>
      </c>
      <c r="F1136" s="3" t="s">
        <v>17</v>
      </c>
      <c r="G1136" s="3" t="s">
        <v>10</v>
      </c>
      <c r="H1136" s="3" t="s">
        <v>11</v>
      </c>
      <c r="I1136" s="3">
        <v>92104</v>
      </c>
      <c r="J1136" s="3">
        <v>5</v>
      </c>
      <c r="K1136" s="3">
        <v>1</v>
      </c>
      <c r="L1136" s="3">
        <v>3</v>
      </c>
      <c r="M1136" s="3">
        <v>2</v>
      </c>
      <c r="N1136" s="3" t="s">
        <v>14</v>
      </c>
      <c r="O1136" s="3" t="s">
        <v>20</v>
      </c>
      <c r="P1136" s="3">
        <v>3</v>
      </c>
      <c r="Q1136" s="3">
        <v>4</v>
      </c>
      <c r="R1136" s="4" t="s">
        <v>14</v>
      </c>
      <c r="S1136" s="4" t="s">
        <v>14</v>
      </c>
      <c r="T1136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1137" spans="1:20" ht="18" x14ac:dyDescent="0.35">
      <c r="A1137" s="3" t="s">
        <v>1180</v>
      </c>
      <c r="B1137" s="3" t="str">
        <f>IF(Table1[[#This Row],[Age]]&lt;25,"Under 25",IF(Table1[[#This Row],[Age]]&lt;35,"25-34",IF(Table1[[#This Row],[Age]]&lt;45,"35-44",IF(Table1[[#This Row],[Age]]&lt;55,"45-54","55+"))))</f>
        <v>35-44</v>
      </c>
      <c r="C1137" s="3">
        <v>41</v>
      </c>
      <c r="D1137" s="3" t="s">
        <v>7</v>
      </c>
      <c r="E1137" s="3" t="s">
        <v>8</v>
      </c>
      <c r="F1137" s="3" t="s">
        <v>23</v>
      </c>
      <c r="G1137" s="3" t="s">
        <v>25</v>
      </c>
      <c r="H1137" s="3" t="s">
        <v>19</v>
      </c>
      <c r="I1137" s="3">
        <v>80017</v>
      </c>
      <c r="J1137" s="3">
        <v>17</v>
      </c>
      <c r="K1137" s="3">
        <v>10</v>
      </c>
      <c r="L1137" s="3">
        <v>3</v>
      </c>
      <c r="M1137" s="3">
        <v>2</v>
      </c>
      <c r="N1137" s="3" t="s">
        <v>12</v>
      </c>
      <c r="O1137" s="3" t="s">
        <v>20</v>
      </c>
      <c r="P1137" s="3">
        <v>3</v>
      </c>
      <c r="Q1137" s="3">
        <v>3</v>
      </c>
      <c r="R1137" s="4" t="s">
        <v>14</v>
      </c>
      <c r="S1137" s="4" t="s">
        <v>14</v>
      </c>
      <c r="T1137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1138" spans="1:20" ht="18" x14ac:dyDescent="0.35">
      <c r="A1138" s="3" t="s">
        <v>1181</v>
      </c>
      <c r="B1138" s="3" t="str">
        <f>IF(Table1[[#This Row],[Age]]&lt;25,"Under 25",IF(Table1[[#This Row],[Age]]&lt;35,"25-34",IF(Table1[[#This Row],[Age]]&lt;45,"35-44",IF(Table1[[#This Row],[Age]]&lt;55,"45-54","55+"))))</f>
        <v>35-44</v>
      </c>
      <c r="C1138" s="3">
        <v>40</v>
      </c>
      <c r="D1138" s="3" t="s">
        <v>7</v>
      </c>
      <c r="E1138" s="3" t="s">
        <v>51</v>
      </c>
      <c r="F1138" s="3" t="s">
        <v>80</v>
      </c>
      <c r="G1138" s="3" t="s">
        <v>10</v>
      </c>
      <c r="H1138" s="3" t="s">
        <v>19</v>
      </c>
      <c r="I1138" s="3">
        <v>88378</v>
      </c>
      <c r="J1138" s="3">
        <v>15</v>
      </c>
      <c r="K1138" s="3">
        <v>4</v>
      </c>
      <c r="L1138" s="3">
        <v>4</v>
      </c>
      <c r="M1138" s="3">
        <v>4</v>
      </c>
      <c r="N1138" s="3" t="s">
        <v>14</v>
      </c>
      <c r="O1138" s="3" t="s">
        <v>20</v>
      </c>
      <c r="P1138" s="3">
        <v>3</v>
      </c>
      <c r="Q1138" s="3">
        <v>1</v>
      </c>
      <c r="R1138" s="4" t="s">
        <v>12</v>
      </c>
      <c r="S1138" s="4" t="s">
        <v>14</v>
      </c>
      <c r="T1138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1139" spans="1:20" ht="18" x14ac:dyDescent="0.35">
      <c r="A1139" s="3" t="s">
        <v>1182</v>
      </c>
      <c r="B1139" s="3" t="str">
        <f>IF(Table1[[#This Row],[Age]]&lt;25,"Under 25",IF(Table1[[#This Row],[Age]]&lt;35,"25-34",IF(Table1[[#This Row],[Age]]&lt;45,"35-44",IF(Table1[[#This Row],[Age]]&lt;55,"45-54","55+"))))</f>
        <v>35-44</v>
      </c>
      <c r="C1139" s="3">
        <v>41</v>
      </c>
      <c r="D1139" s="3" t="s">
        <v>7</v>
      </c>
      <c r="E1139" s="3" t="s">
        <v>16</v>
      </c>
      <c r="F1139" s="3" t="s">
        <v>17</v>
      </c>
      <c r="G1139" s="3" t="s">
        <v>10</v>
      </c>
      <c r="H1139" s="3" t="s">
        <v>11</v>
      </c>
      <c r="I1139" s="3">
        <v>73688</v>
      </c>
      <c r="J1139" s="3">
        <v>14</v>
      </c>
      <c r="K1139" s="3">
        <v>1</v>
      </c>
      <c r="L1139" s="3">
        <v>2</v>
      </c>
      <c r="M1139" s="3">
        <v>2</v>
      </c>
      <c r="N1139" s="3" t="s">
        <v>12</v>
      </c>
      <c r="O1139" s="3" t="s">
        <v>13</v>
      </c>
      <c r="P1139" s="3">
        <v>3</v>
      </c>
      <c r="Q1139" s="3">
        <v>3</v>
      </c>
      <c r="R1139" s="4" t="s">
        <v>14</v>
      </c>
      <c r="S1139" s="4" t="s">
        <v>14</v>
      </c>
      <c r="T1139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1140" spans="1:20" ht="18" x14ac:dyDescent="0.35">
      <c r="A1140" s="3" t="s">
        <v>1183</v>
      </c>
      <c r="B1140" s="3" t="str">
        <f>IF(Table1[[#This Row],[Age]]&lt;25,"Under 25",IF(Table1[[#This Row],[Age]]&lt;35,"25-34",IF(Table1[[#This Row],[Age]]&lt;45,"35-44",IF(Table1[[#This Row],[Age]]&lt;55,"45-54","55+"))))</f>
        <v>35-44</v>
      </c>
      <c r="C1140" s="3">
        <v>43</v>
      </c>
      <c r="D1140" s="3" t="s">
        <v>22</v>
      </c>
      <c r="E1140" s="3" t="s">
        <v>16</v>
      </c>
      <c r="F1140" s="3" t="s">
        <v>28</v>
      </c>
      <c r="G1140" s="3" t="s">
        <v>25</v>
      </c>
      <c r="H1140" s="3" t="s">
        <v>19</v>
      </c>
      <c r="I1140" s="3">
        <v>61846</v>
      </c>
      <c r="J1140" s="3">
        <v>21</v>
      </c>
      <c r="K1140" s="3">
        <v>8</v>
      </c>
      <c r="L1140" s="3">
        <v>2</v>
      </c>
      <c r="M1140" s="3">
        <v>1</v>
      </c>
      <c r="N1140" s="3" t="s">
        <v>14</v>
      </c>
      <c r="O1140" s="3" t="s">
        <v>26</v>
      </c>
      <c r="P1140" s="3">
        <v>3</v>
      </c>
      <c r="Q1140" s="3">
        <v>3</v>
      </c>
      <c r="R1140" s="4" t="s">
        <v>12</v>
      </c>
      <c r="S1140" s="4" t="s">
        <v>14</v>
      </c>
      <c r="T1140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1141" spans="1:20" ht="18" x14ac:dyDescent="0.35">
      <c r="A1141" s="3" t="s">
        <v>1184</v>
      </c>
      <c r="B1141" s="3" t="str">
        <f>IF(Table1[[#This Row],[Age]]&lt;25,"Under 25",IF(Table1[[#This Row],[Age]]&lt;35,"25-34",IF(Table1[[#This Row],[Age]]&lt;45,"35-44",IF(Table1[[#This Row],[Age]]&lt;55,"45-54","55+"))))</f>
        <v>25-34</v>
      </c>
      <c r="C1141" s="3">
        <v>33</v>
      </c>
      <c r="D1141" s="3" t="s">
        <v>22</v>
      </c>
      <c r="E1141" s="3" t="s">
        <v>34</v>
      </c>
      <c r="F1141" s="3" t="s">
        <v>35</v>
      </c>
      <c r="G1141" s="3" t="s">
        <v>25</v>
      </c>
      <c r="H1141" s="3" t="s">
        <v>11</v>
      </c>
      <c r="I1141" s="3">
        <v>106736</v>
      </c>
      <c r="J1141" s="3">
        <v>12</v>
      </c>
      <c r="K1141" s="3">
        <v>5</v>
      </c>
      <c r="L1141" s="3">
        <v>4</v>
      </c>
      <c r="M1141" s="3">
        <v>3</v>
      </c>
      <c r="N1141" s="3" t="s">
        <v>14</v>
      </c>
      <c r="O1141" s="3" t="s">
        <v>20</v>
      </c>
      <c r="P1141" s="3">
        <v>4</v>
      </c>
      <c r="Q1141" s="3">
        <v>1</v>
      </c>
      <c r="R1141" s="4" t="s">
        <v>14</v>
      </c>
      <c r="S1141" s="4" t="s">
        <v>14</v>
      </c>
      <c r="T1141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1142" spans="1:20" ht="18" x14ac:dyDescent="0.35">
      <c r="A1142" s="3" t="s">
        <v>1185</v>
      </c>
      <c r="B1142" s="3" t="str">
        <f>IF(Table1[[#This Row],[Age]]&lt;25,"Under 25",IF(Table1[[#This Row],[Age]]&lt;35,"25-34",IF(Table1[[#This Row],[Age]]&lt;45,"35-44",IF(Table1[[#This Row],[Age]]&lt;55,"45-54","55+"))))</f>
        <v>35-44</v>
      </c>
      <c r="C1142" s="3">
        <v>37</v>
      </c>
      <c r="D1142" s="3" t="s">
        <v>7</v>
      </c>
      <c r="E1142" s="3" t="s">
        <v>16</v>
      </c>
      <c r="F1142" s="3" t="s">
        <v>28</v>
      </c>
      <c r="G1142" s="3" t="s">
        <v>25</v>
      </c>
      <c r="H1142" s="3" t="s">
        <v>42</v>
      </c>
      <c r="I1142" s="3">
        <v>34923</v>
      </c>
      <c r="J1142" s="3">
        <v>12</v>
      </c>
      <c r="K1142" s="3">
        <v>6</v>
      </c>
      <c r="L1142" s="3">
        <v>1</v>
      </c>
      <c r="M1142" s="3">
        <v>2</v>
      </c>
      <c r="N1142" s="3" t="s">
        <v>14</v>
      </c>
      <c r="O1142" s="3" t="s">
        <v>13</v>
      </c>
      <c r="P1142" s="3">
        <v>2</v>
      </c>
      <c r="Q1142" s="3">
        <v>6</v>
      </c>
      <c r="R1142" s="4" t="s">
        <v>14</v>
      </c>
      <c r="S1142" s="4" t="s">
        <v>14</v>
      </c>
      <c r="T1142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1143" spans="1:20" ht="18" x14ac:dyDescent="0.35">
      <c r="A1143" s="3" t="s">
        <v>1186</v>
      </c>
      <c r="B1143" s="3" t="str">
        <f>IF(Table1[[#This Row],[Age]]&lt;25,"Under 25",IF(Table1[[#This Row],[Age]]&lt;35,"25-34",IF(Table1[[#This Row],[Age]]&lt;45,"35-44",IF(Table1[[#This Row],[Age]]&lt;55,"45-54","55+"))))</f>
        <v>25-34</v>
      </c>
      <c r="C1143" s="3">
        <v>31</v>
      </c>
      <c r="D1143" s="3" t="s">
        <v>22</v>
      </c>
      <c r="E1143" s="3" t="s">
        <v>8</v>
      </c>
      <c r="F1143" s="3" t="s">
        <v>66</v>
      </c>
      <c r="G1143" s="3" t="s">
        <v>18</v>
      </c>
      <c r="H1143" s="3" t="s">
        <v>11</v>
      </c>
      <c r="I1143" s="3">
        <v>62250</v>
      </c>
      <c r="J1143" s="3">
        <v>0</v>
      </c>
      <c r="K1143" s="3">
        <v>0</v>
      </c>
      <c r="L1143" s="3">
        <v>1</v>
      </c>
      <c r="M1143" s="3">
        <v>3</v>
      </c>
      <c r="N1143" s="3" t="s">
        <v>12</v>
      </c>
      <c r="O1143" s="3" t="s">
        <v>13</v>
      </c>
      <c r="P1143" s="3">
        <v>3</v>
      </c>
      <c r="Q1143" s="3">
        <v>3</v>
      </c>
      <c r="R1143" s="4" t="s">
        <v>14</v>
      </c>
      <c r="S1143" s="4" t="s">
        <v>14</v>
      </c>
      <c r="T1143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Less than 1 Year</v>
      </c>
    </row>
    <row r="1144" spans="1:20" ht="18" x14ac:dyDescent="0.35">
      <c r="A1144" s="3" t="s">
        <v>1187</v>
      </c>
      <c r="B1144" s="3" t="str">
        <f>IF(Table1[[#This Row],[Age]]&lt;25,"Under 25",IF(Table1[[#This Row],[Age]]&lt;35,"25-34",IF(Table1[[#This Row],[Age]]&lt;45,"35-44",IF(Table1[[#This Row],[Age]]&lt;55,"45-54","55+"))))</f>
        <v>25-34</v>
      </c>
      <c r="C1144" s="3">
        <v>32</v>
      </c>
      <c r="D1144" s="3" t="s">
        <v>7</v>
      </c>
      <c r="E1144" s="3" t="s">
        <v>16</v>
      </c>
      <c r="F1144" s="3" t="s">
        <v>28</v>
      </c>
      <c r="G1144" s="3" t="s">
        <v>10</v>
      </c>
      <c r="H1144" s="3" t="s">
        <v>19</v>
      </c>
      <c r="I1144" s="3">
        <v>61560</v>
      </c>
      <c r="J1144" s="3">
        <v>3</v>
      </c>
      <c r="K1144" s="3">
        <v>3</v>
      </c>
      <c r="L1144" s="3">
        <v>4</v>
      </c>
      <c r="M1144" s="3">
        <v>4</v>
      </c>
      <c r="N1144" s="3" t="s">
        <v>14</v>
      </c>
      <c r="O1144" s="3" t="s">
        <v>13</v>
      </c>
      <c r="P1144" s="3">
        <v>4</v>
      </c>
      <c r="Q1144" s="3">
        <v>1</v>
      </c>
      <c r="R1144" s="4" t="s">
        <v>14</v>
      </c>
      <c r="S1144" s="4" t="s">
        <v>14</v>
      </c>
      <c r="T1144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1145" spans="1:20" ht="18" x14ac:dyDescent="0.35">
      <c r="A1145" s="3" t="s">
        <v>1188</v>
      </c>
      <c r="B1145" s="3" t="str">
        <f>IF(Table1[[#This Row],[Age]]&lt;25,"Under 25",IF(Table1[[#This Row],[Age]]&lt;35,"25-34",IF(Table1[[#This Row],[Age]]&lt;45,"35-44",IF(Table1[[#This Row],[Age]]&lt;55,"45-54","55+"))))</f>
        <v>Under 25</v>
      </c>
      <c r="C1145" s="3">
        <v>21</v>
      </c>
      <c r="D1145" s="3" t="s">
        <v>22</v>
      </c>
      <c r="E1145" s="3" t="s">
        <v>16</v>
      </c>
      <c r="F1145" s="3" t="s">
        <v>17</v>
      </c>
      <c r="G1145" s="3" t="s">
        <v>45</v>
      </c>
      <c r="H1145" s="3" t="s">
        <v>19</v>
      </c>
      <c r="I1145" s="3">
        <v>87458</v>
      </c>
      <c r="J1145" s="3">
        <v>2</v>
      </c>
      <c r="K1145" s="3">
        <v>1</v>
      </c>
      <c r="L1145" s="3">
        <v>4</v>
      </c>
      <c r="M1145" s="3">
        <v>3</v>
      </c>
      <c r="N1145" s="3" t="s">
        <v>14</v>
      </c>
      <c r="O1145" s="3" t="s">
        <v>13</v>
      </c>
      <c r="P1145" s="3">
        <v>3</v>
      </c>
      <c r="Q1145" s="3">
        <v>2</v>
      </c>
      <c r="R1145" s="4" t="s">
        <v>12</v>
      </c>
      <c r="S1145" s="4" t="s">
        <v>14</v>
      </c>
      <c r="T1145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1146" spans="1:20" ht="18" x14ac:dyDescent="0.35">
      <c r="A1146" s="3" t="s">
        <v>1189</v>
      </c>
      <c r="B1146" s="3" t="str">
        <f>IF(Table1[[#This Row],[Age]]&lt;25,"Under 25",IF(Table1[[#This Row],[Age]]&lt;35,"25-34",IF(Table1[[#This Row],[Age]]&lt;45,"35-44",IF(Table1[[#This Row],[Age]]&lt;55,"45-54","55+"))))</f>
        <v>Under 25</v>
      </c>
      <c r="C1146" s="3">
        <v>23</v>
      </c>
      <c r="D1146" s="3" t="s">
        <v>7</v>
      </c>
      <c r="E1146" s="3" t="s">
        <v>16</v>
      </c>
      <c r="F1146" s="3" t="s">
        <v>28</v>
      </c>
      <c r="G1146" s="3" t="s">
        <v>10</v>
      </c>
      <c r="H1146" s="3" t="s">
        <v>11</v>
      </c>
      <c r="I1146" s="3">
        <v>53535</v>
      </c>
      <c r="J1146" s="3">
        <v>3</v>
      </c>
      <c r="K1146" s="3">
        <v>1</v>
      </c>
      <c r="L1146" s="3">
        <v>1</v>
      </c>
      <c r="M1146" s="3">
        <v>3</v>
      </c>
      <c r="N1146" s="3" t="s">
        <v>14</v>
      </c>
      <c r="O1146" s="3" t="s">
        <v>20</v>
      </c>
      <c r="P1146" s="3">
        <v>3</v>
      </c>
      <c r="Q1146" s="3">
        <v>5</v>
      </c>
      <c r="R1146" s="4" t="s">
        <v>14</v>
      </c>
      <c r="S1146" s="4" t="s">
        <v>14</v>
      </c>
      <c r="T1146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1147" spans="1:20" ht="18" x14ac:dyDescent="0.35">
      <c r="A1147" s="3" t="s">
        <v>1190</v>
      </c>
      <c r="B1147" s="3" t="str">
        <f>IF(Table1[[#This Row],[Age]]&lt;25,"Under 25",IF(Table1[[#This Row],[Age]]&lt;35,"25-34",IF(Table1[[#This Row],[Age]]&lt;45,"35-44",IF(Table1[[#This Row],[Age]]&lt;55,"45-54","55+"))))</f>
        <v>35-44</v>
      </c>
      <c r="C1147" s="3">
        <v>35</v>
      </c>
      <c r="D1147" s="3" t="s">
        <v>7</v>
      </c>
      <c r="E1147" s="3" t="s">
        <v>8</v>
      </c>
      <c r="F1147" s="3" t="s">
        <v>9</v>
      </c>
      <c r="G1147" s="3" t="s">
        <v>25</v>
      </c>
      <c r="H1147" s="3" t="s">
        <v>42</v>
      </c>
      <c r="I1147" s="3">
        <v>58401</v>
      </c>
      <c r="J1147" s="3">
        <v>11</v>
      </c>
      <c r="K1147" s="3">
        <v>6</v>
      </c>
      <c r="L1147" s="3">
        <v>3</v>
      </c>
      <c r="M1147" s="3">
        <v>2</v>
      </c>
      <c r="N1147" s="3" t="s">
        <v>14</v>
      </c>
      <c r="O1147" s="3" t="s">
        <v>26</v>
      </c>
      <c r="P1147" s="3">
        <v>3</v>
      </c>
      <c r="Q1147" s="3">
        <v>4</v>
      </c>
      <c r="R1147" s="4" t="s">
        <v>12</v>
      </c>
      <c r="S1147" s="4" t="s">
        <v>14</v>
      </c>
      <c r="T1147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1148" spans="1:20" ht="18" x14ac:dyDescent="0.35">
      <c r="A1148" s="3" t="s">
        <v>1191</v>
      </c>
      <c r="B1148" s="3" t="str">
        <f>IF(Table1[[#This Row],[Age]]&lt;25,"Under 25",IF(Table1[[#This Row],[Age]]&lt;35,"25-34",IF(Table1[[#This Row],[Age]]&lt;45,"35-44",IF(Table1[[#This Row],[Age]]&lt;55,"45-54","55+"))))</f>
        <v>35-44</v>
      </c>
      <c r="C1148" s="3">
        <v>36</v>
      </c>
      <c r="D1148" s="3" t="s">
        <v>7</v>
      </c>
      <c r="E1148" s="3" t="s">
        <v>8</v>
      </c>
      <c r="F1148" s="3" t="s">
        <v>9</v>
      </c>
      <c r="G1148" s="3" t="s">
        <v>45</v>
      </c>
      <c r="H1148" s="3" t="s">
        <v>19</v>
      </c>
      <c r="I1148" s="3">
        <v>89392</v>
      </c>
      <c r="J1148" s="3">
        <v>4</v>
      </c>
      <c r="K1148" s="3">
        <v>2</v>
      </c>
      <c r="L1148" s="3">
        <v>3</v>
      </c>
      <c r="M1148" s="3">
        <v>3</v>
      </c>
      <c r="N1148" s="3" t="s">
        <v>14</v>
      </c>
      <c r="O1148" s="3" t="s">
        <v>13</v>
      </c>
      <c r="P1148" s="3">
        <v>3</v>
      </c>
      <c r="Q1148" s="3">
        <v>4</v>
      </c>
      <c r="R1148" s="4" t="s">
        <v>14</v>
      </c>
      <c r="S1148" s="4" t="s">
        <v>14</v>
      </c>
      <c r="T1148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1149" spans="1:20" ht="18" x14ac:dyDescent="0.35">
      <c r="A1149" s="3" t="s">
        <v>1192</v>
      </c>
      <c r="B1149" s="3" t="str">
        <f>IF(Table1[[#This Row],[Age]]&lt;25,"Under 25",IF(Table1[[#This Row],[Age]]&lt;35,"25-34",IF(Table1[[#This Row],[Age]]&lt;45,"35-44",IF(Table1[[#This Row],[Age]]&lt;55,"45-54","55+"))))</f>
        <v>45-54</v>
      </c>
      <c r="C1149" s="3">
        <v>52</v>
      </c>
      <c r="D1149" s="3" t="s">
        <v>7</v>
      </c>
      <c r="E1149" s="3" t="s">
        <v>8</v>
      </c>
      <c r="F1149" s="3" t="s">
        <v>66</v>
      </c>
      <c r="G1149" s="3" t="s">
        <v>10</v>
      </c>
      <c r="H1149" s="3" t="s">
        <v>19</v>
      </c>
      <c r="I1149" s="3">
        <v>59749</v>
      </c>
      <c r="J1149" s="3">
        <v>21</v>
      </c>
      <c r="K1149" s="3">
        <v>11</v>
      </c>
      <c r="L1149" s="3">
        <v>3</v>
      </c>
      <c r="M1149" s="3">
        <v>2</v>
      </c>
      <c r="N1149" s="3" t="s">
        <v>14</v>
      </c>
      <c r="O1149" s="3" t="s">
        <v>13</v>
      </c>
      <c r="P1149" s="3">
        <v>2</v>
      </c>
      <c r="Q1149" s="3">
        <v>0</v>
      </c>
      <c r="R1149" s="4" t="s">
        <v>14</v>
      </c>
      <c r="S1149" s="4" t="s">
        <v>14</v>
      </c>
      <c r="T1149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1150" spans="1:20" ht="18" x14ac:dyDescent="0.35">
      <c r="A1150" s="3" t="s">
        <v>1193</v>
      </c>
      <c r="B1150" s="3" t="str">
        <f>IF(Table1[[#This Row],[Age]]&lt;25,"Under 25",IF(Table1[[#This Row],[Age]]&lt;35,"25-34",IF(Table1[[#This Row],[Age]]&lt;45,"35-44",IF(Table1[[#This Row],[Age]]&lt;55,"45-54","55+"))))</f>
        <v>25-34</v>
      </c>
      <c r="C1150" s="3">
        <v>31</v>
      </c>
      <c r="D1150" s="3" t="s">
        <v>7</v>
      </c>
      <c r="E1150" s="3" t="s">
        <v>8</v>
      </c>
      <c r="F1150" s="3" t="s">
        <v>9</v>
      </c>
      <c r="G1150" s="3" t="s">
        <v>10</v>
      </c>
      <c r="H1150" s="3" t="s">
        <v>19</v>
      </c>
      <c r="I1150" s="3">
        <v>71584</v>
      </c>
      <c r="J1150" s="3">
        <v>3</v>
      </c>
      <c r="K1150" s="3">
        <v>1</v>
      </c>
      <c r="L1150" s="3">
        <v>4</v>
      </c>
      <c r="M1150" s="3">
        <v>4</v>
      </c>
      <c r="N1150" s="3" t="s">
        <v>14</v>
      </c>
      <c r="O1150" s="3" t="s">
        <v>13</v>
      </c>
      <c r="P1150" s="3">
        <v>3</v>
      </c>
      <c r="Q1150" s="3">
        <v>1</v>
      </c>
      <c r="R1150" s="4" t="s">
        <v>14</v>
      </c>
      <c r="S1150" s="4" t="s">
        <v>14</v>
      </c>
      <c r="T1150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1151" spans="1:20" ht="18" x14ac:dyDescent="0.35">
      <c r="A1151" s="3" t="s">
        <v>1194</v>
      </c>
      <c r="B1151" s="3" t="str">
        <f>IF(Table1[[#This Row],[Age]]&lt;25,"Under 25",IF(Table1[[#This Row],[Age]]&lt;35,"25-34",IF(Table1[[#This Row],[Age]]&lt;45,"35-44",IF(Table1[[#This Row],[Age]]&lt;55,"45-54","55+"))))</f>
        <v>Under 25</v>
      </c>
      <c r="C1151" s="3">
        <v>23</v>
      </c>
      <c r="D1151" s="3" t="s">
        <v>7</v>
      </c>
      <c r="E1151" s="3" t="s">
        <v>34</v>
      </c>
      <c r="F1151" s="3" t="s">
        <v>91</v>
      </c>
      <c r="G1151" s="3" t="s">
        <v>18</v>
      </c>
      <c r="H1151" s="3" t="s">
        <v>11</v>
      </c>
      <c r="I1151" s="3">
        <v>74372</v>
      </c>
      <c r="J1151" s="3">
        <v>3</v>
      </c>
      <c r="K1151" s="3">
        <v>2</v>
      </c>
      <c r="L1151" s="3">
        <v>4</v>
      </c>
      <c r="M1151" s="3">
        <v>4</v>
      </c>
      <c r="N1151" s="3" t="s">
        <v>14</v>
      </c>
      <c r="O1151" s="3" t="s">
        <v>13</v>
      </c>
      <c r="P1151" s="3">
        <v>3</v>
      </c>
      <c r="Q1151" s="3">
        <v>4</v>
      </c>
      <c r="R1151" s="4" t="s">
        <v>12</v>
      </c>
      <c r="S1151" s="4" t="s">
        <v>14</v>
      </c>
      <c r="T1151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1152" spans="1:20" ht="18" x14ac:dyDescent="0.35">
      <c r="A1152" s="3" t="s">
        <v>1195</v>
      </c>
      <c r="B1152" s="3" t="str">
        <f>IF(Table1[[#This Row],[Age]]&lt;25,"Under 25",IF(Table1[[#This Row],[Age]]&lt;35,"25-34",IF(Table1[[#This Row],[Age]]&lt;45,"35-44",IF(Table1[[#This Row],[Age]]&lt;55,"45-54","55+"))))</f>
        <v>25-34</v>
      </c>
      <c r="C1152" s="3">
        <v>31</v>
      </c>
      <c r="D1152" s="3" t="s">
        <v>22</v>
      </c>
      <c r="E1152" s="3" t="s">
        <v>34</v>
      </c>
      <c r="F1152" s="3" t="s">
        <v>54</v>
      </c>
      <c r="G1152" s="3" t="s">
        <v>25</v>
      </c>
      <c r="H1152" s="3" t="s">
        <v>11</v>
      </c>
      <c r="I1152" s="3">
        <v>55910</v>
      </c>
      <c r="J1152" s="3">
        <v>8</v>
      </c>
      <c r="K1152" s="3">
        <v>1</v>
      </c>
      <c r="L1152" s="3">
        <v>4</v>
      </c>
      <c r="M1152" s="3">
        <v>3</v>
      </c>
      <c r="N1152" s="3" t="s">
        <v>14</v>
      </c>
      <c r="O1152" s="3" t="s">
        <v>26</v>
      </c>
      <c r="P1152" s="3">
        <v>3</v>
      </c>
      <c r="Q1152" s="3">
        <v>6</v>
      </c>
      <c r="R1152" s="4" t="s">
        <v>14</v>
      </c>
      <c r="S1152" s="4" t="s">
        <v>14</v>
      </c>
      <c r="T1152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1153" spans="1:20" ht="18" x14ac:dyDescent="0.35">
      <c r="A1153" s="3" t="s">
        <v>1196</v>
      </c>
      <c r="B1153" s="3" t="str">
        <f>IF(Table1[[#This Row],[Age]]&lt;25,"Under 25",IF(Table1[[#This Row],[Age]]&lt;35,"25-34",IF(Table1[[#This Row],[Age]]&lt;45,"35-44",IF(Table1[[#This Row],[Age]]&lt;55,"45-54","55+"))))</f>
        <v>25-34</v>
      </c>
      <c r="C1153" s="3">
        <v>26</v>
      </c>
      <c r="D1153" s="3" t="s">
        <v>22</v>
      </c>
      <c r="E1153" s="3" t="s">
        <v>51</v>
      </c>
      <c r="F1153" s="3" t="s">
        <v>72</v>
      </c>
      <c r="G1153" s="3" t="s">
        <v>25</v>
      </c>
      <c r="H1153" s="3" t="s">
        <v>19</v>
      </c>
      <c r="I1153" s="3">
        <v>70839</v>
      </c>
      <c r="J1153" s="3">
        <v>1</v>
      </c>
      <c r="K1153" s="3">
        <v>1</v>
      </c>
      <c r="L1153" s="3">
        <v>1</v>
      </c>
      <c r="M1153" s="3">
        <v>2</v>
      </c>
      <c r="N1153" s="3" t="s">
        <v>14</v>
      </c>
      <c r="O1153" s="3" t="s">
        <v>13</v>
      </c>
      <c r="P1153" s="3">
        <v>3</v>
      </c>
      <c r="Q1153" s="3">
        <v>3</v>
      </c>
      <c r="R1153" s="4" t="s">
        <v>14</v>
      </c>
      <c r="S1153" s="4" t="s">
        <v>14</v>
      </c>
      <c r="T1153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1154" spans="1:20" ht="18" x14ac:dyDescent="0.35">
      <c r="A1154" s="3" t="s">
        <v>1197</v>
      </c>
      <c r="B1154" s="3" t="str">
        <f>IF(Table1[[#This Row],[Age]]&lt;25,"Under 25",IF(Table1[[#This Row],[Age]]&lt;35,"25-34",IF(Table1[[#This Row],[Age]]&lt;45,"35-44",IF(Table1[[#This Row],[Age]]&lt;55,"45-54","55+"))))</f>
        <v>25-34</v>
      </c>
      <c r="C1154" s="3">
        <v>31</v>
      </c>
      <c r="D1154" s="3" t="s">
        <v>22</v>
      </c>
      <c r="E1154" s="3" t="s">
        <v>8</v>
      </c>
      <c r="F1154" s="3" t="s">
        <v>9</v>
      </c>
      <c r="G1154" s="3" t="s">
        <v>10</v>
      </c>
      <c r="H1154" s="3" t="s">
        <v>42</v>
      </c>
      <c r="I1154" s="3">
        <v>87708</v>
      </c>
      <c r="J1154" s="3">
        <v>9</v>
      </c>
      <c r="K1154" s="3">
        <v>9</v>
      </c>
      <c r="L1154" s="3">
        <v>4</v>
      </c>
      <c r="M1154" s="3">
        <v>4</v>
      </c>
      <c r="N1154" s="3" t="s">
        <v>14</v>
      </c>
      <c r="O1154" s="3" t="s">
        <v>13</v>
      </c>
      <c r="P1154" s="3">
        <v>3</v>
      </c>
      <c r="Q1154" s="3">
        <v>0</v>
      </c>
      <c r="R1154" s="4" t="s">
        <v>14</v>
      </c>
      <c r="S1154" s="4" t="s">
        <v>14</v>
      </c>
      <c r="T1154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1155" spans="1:20" ht="18" x14ac:dyDescent="0.35">
      <c r="A1155" s="3" t="s">
        <v>1198</v>
      </c>
      <c r="B1155" s="3" t="str">
        <f>IF(Table1[[#This Row],[Age]]&lt;25,"Under 25",IF(Table1[[#This Row],[Age]]&lt;35,"25-34",IF(Table1[[#This Row],[Age]]&lt;45,"35-44",IF(Table1[[#This Row],[Age]]&lt;55,"45-54","55+"))))</f>
        <v>35-44</v>
      </c>
      <c r="C1155" s="3">
        <v>43</v>
      </c>
      <c r="D1155" s="3" t="s">
        <v>7</v>
      </c>
      <c r="E1155" s="3" t="s">
        <v>8</v>
      </c>
      <c r="F1155" s="3" t="s">
        <v>23</v>
      </c>
      <c r="G1155" s="3" t="s">
        <v>25</v>
      </c>
      <c r="H1155" s="3" t="s">
        <v>19</v>
      </c>
      <c r="I1155" s="3">
        <v>62574</v>
      </c>
      <c r="J1155" s="3">
        <v>21</v>
      </c>
      <c r="K1155" s="3">
        <v>8</v>
      </c>
      <c r="L1155" s="3">
        <v>3</v>
      </c>
      <c r="M1155" s="3">
        <v>1</v>
      </c>
      <c r="N1155" s="3" t="s">
        <v>14</v>
      </c>
      <c r="O1155" s="3" t="s">
        <v>26</v>
      </c>
      <c r="P1155" s="3">
        <v>4</v>
      </c>
      <c r="Q1155" s="3">
        <v>4</v>
      </c>
      <c r="R1155" s="4" t="s">
        <v>14</v>
      </c>
      <c r="S1155" s="4" t="s">
        <v>14</v>
      </c>
      <c r="T1155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1156" spans="1:20" ht="18" x14ac:dyDescent="0.35">
      <c r="A1156" s="3" t="s">
        <v>1199</v>
      </c>
      <c r="B1156" s="3" t="str">
        <f>IF(Table1[[#This Row],[Age]]&lt;25,"Under 25",IF(Table1[[#This Row],[Age]]&lt;35,"25-34",IF(Table1[[#This Row],[Age]]&lt;45,"35-44",IF(Table1[[#This Row],[Age]]&lt;55,"45-54","55+"))))</f>
        <v>25-34</v>
      </c>
      <c r="C1156" s="3">
        <v>29</v>
      </c>
      <c r="D1156" s="3" t="s">
        <v>22</v>
      </c>
      <c r="E1156" s="3" t="s">
        <v>8</v>
      </c>
      <c r="F1156" s="3" t="s">
        <v>66</v>
      </c>
      <c r="G1156" s="3" t="s">
        <v>45</v>
      </c>
      <c r="H1156" s="3" t="s">
        <v>19</v>
      </c>
      <c r="I1156" s="3">
        <v>65963</v>
      </c>
      <c r="J1156" s="3">
        <v>2</v>
      </c>
      <c r="K1156" s="3">
        <v>1</v>
      </c>
      <c r="L1156" s="3">
        <v>3</v>
      </c>
      <c r="M1156" s="3">
        <v>3</v>
      </c>
      <c r="N1156" s="3" t="s">
        <v>12</v>
      </c>
      <c r="O1156" s="3" t="s">
        <v>20</v>
      </c>
      <c r="P1156" s="3">
        <v>3</v>
      </c>
      <c r="Q1156" s="3">
        <v>1</v>
      </c>
      <c r="R1156" s="4" t="s">
        <v>12</v>
      </c>
      <c r="S1156" s="4" t="s">
        <v>14</v>
      </c>
      <c r="T1156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1157" spans="1:20" ht="18" x14ac:dyDescent="0.35">
      <c r="A1157" s="3" t="s">
        <v>1200</v>
      </c>
      <c r="B1157" s="3" t="str">
        <f>IF(Table1[[#This Row],[Age]]&lt;25,"Under 25",IF(Table1[[#This Row],[Age]]&lt;35,"25-34",IF(Table1[[#This Row],[Age]]&lt;45,"35-44",IF(Table1[[#This Row],[Age]]&lt;55,"45-54","55+"))))</f>
        <v>35-44</v>
      </c>
      <c r="C1157" s="3">
        <v>37</v>
      </c>
      <c r="D1157" s="3" t="s">
        <v>7</v>
      </c>
      <c r="E1157" s="3" t="s">
        <v>8</v>
      </c>
      <c r="F1157" s="3" t="s">
        <v>23</v>
      </c>
      <c r="G1157" s="3" t="s">
        <v>25</v>
      </c>
      <c r="H1157" s="3" t="s">
        <v>11</v>
      </c>
      <c r="I1157" s="3">
        <v>52022</v>
      </c>
      <c r="J1157" s="3">
        <v>8</v>
      </c>
      <c r="K1157" s="3">
        <v>6</v>
      </c>
      <c r="L1157" s="3">
        <v>4</v>
      </c>
      <c r="M1157" s="3">
        <v>2</v>
      </c>
      <c r="N1157" s="3" t="s">
        <v>14</v>
      </c>
      <c r="O1157" s="3" t="s">
        <v>20</v>
      </c>
      <c r="P1157" s="3">
        <v>3</v>
      </c>
      <c r="Q1157" s="3">
        <v>6</v>
      </c>
      <c r="R1157" s="4" t="s">
        <v>14</v>
      </c>
      <c r="S1157" s="4" t="s">
        <v>14</v>
      </c>
      <c r="T1157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1158" spans="1:20" ht="18" x14ac:dyDescent="0.35">
      <c r="A1158" s="3" t="s">
        <v>1201</v>
      </c>
      <c r="B1158" s="3" t="str">
        <f>IF(Table1[[#This Row],[Age]]&lt;25,"Under 25",IF(Table1[[#This Row],[Age]]&lt;35,"25-34",IF(Table1[[#This Row],[Age]]&lt;45,"35-44",IF(Table1[[#This Row],[Age]]&lt;55,"45-54","55+"))))</f>
        <v>25-34</v>
      </c>
      <c r="C1158" s="3">
        <v>31</v>
      </c>
      <c r="D1158" s="3" t="s">
        <v>7</v>
      </c>
      <c r="E1158" s="3" t="s">
        <v>16</v>
      </c>
      <c r="F1158" s="3" t="s">
        <v>28</v>
      </c>
      <c r="G1158" s="3" t="s">
        <v>10</v>
      </c>
      <c r="H1158" s="3" t="s">
        <v>11</v>
      </c>
      <c r="I1158" s="3">
        <v>79530</v>
      </c>
      <c r="J1158" s="3">
        <v>9</v>
      </c>
      <c r="K1158" s="3">
        <v>5</v>
      </c>
      <c r="L1158" s="3">
        <v>3</v>
      </c>
      <c r="M1158" s="3">
        <v>1</v>
      </c>
      <c r="N1158" s="3" t="s">
        <v>12</v>
      </c>
      <c r="O1158" s="3" t="s">
        <v>13</v>
      </c>
      <c r="P1158" s="3">
        <v>3</v>
      </c>
      <c r="Q1158" s="3">
        <v>4</v>
      </c>
      <c r="R1158" s="4" t="s">
        <v>14</v>
      </c>
      <c r="S1158" s="4" t="s">
        <v>14</v>
      </c>
      <c r="T1158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1159" spans="1:20" ht="18" x14ac:dyDescent="0.35">
      <c r="A1159" s="3" t="s">
        <v>1202</v>
      </c>
      <c r="B1159" s="3" t="str">
        <f>IF(Table1[[#This Row],[Age]]&lt;25,"Under 25",IF(Table1[[#This Row],[Age]]&lt;35,"25-34",IF(Table1[[#This Row],[Age]]&lt;45,"35-44",IF(Table1[[#This Row],[Age]]&lt;55,"45-54","55+"))))</f>
        <v>35-44</v>
      </c>
      <c r="C1159" s="3">
        <v>40</v>
      </c>
      <c r="D1159" s="3" t="s">
        <v>7</v>
      </c>
      <c r="E1159" s="3" t="s">
        <v>51</v>
      </c>
      <c r="F1159" s="3" t="s">
        <v>52</v>
      </c>
      <c r="G1159" s="3" t="s">
        <v>25</v>
      </c>
      <c r="H1159" s="3" t="s">
        <v>42</v>
      </c>
      <c r="I1159" s="3">
        <v>49046</v>
      </c>
      <c r="J1159" s="3">
        <v>10</v>
      </c>
      <c r="K1159" s="3">
        <v>1</v>
      </c>
      <c r="L1159" s="3">
        <v>3</v>
      </c>
      <c r="M1159" s="3">
        <v>2</v>
      </c>
      <c r="N1159" s="3" t="s">
        <v>12</v>
      </c>
      <c r="O1159" s="3" t="s">
        <v>13</v>
      </c>
      <c r="P1159" s="3">
        <v>4</v>
      </c>
      <c r="Q1159" s="3">
        <v>3</v>
      </c>
      <c r="R1159" s="4" t="s">
        <v>14</v>
      </c>
      <c r="S1159" s="4" t="s">
        <v>12</v>
      </c>
      <c r="T1159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1160" spans="1:20" ht="18" x14ac:dyDescent="0.35">
      <c r="A1160" s="3" t="s">
        <v>1203</v>
      </c>
      <c r="B1160" s="3" t="str">
        <f>IF(Table1[[#This Row],[Age]]&lt;25,"Under 25",IF(Table1[[#This Row],[Age]]&lt;35,"25-34",IF(Table1[[#This Row],[Age]]&lt;45,"35-44",IF(Table1[[#This Row],[Age]]&lt;55,"45-54","55+"))))</f>
        <v>45-54</v>
      </c>
      <c r="C1160" s="3">
        <v>52</v>
      </c>
      <c r="D1160" s="3" t="s">
        <v>22</v>
      </c>
      <c r="E1160" s="3" t="s">
        <v>38</v>
      </c>
      <c r="F1160" s="3" t="s">
        <v>89</v>
      </c>
      <c r="G1160" s="3" t="s">
        <v>10</v>
      </c>
      <c r="H1160" s="3" t="s">
        <v>19</v>
      </c>
      <c r="I1160" s="3">
        <v>89475</v>
      </c>
      <c r="J1160" s="3">
        <v>1</v>
      </c>
      <c r="K1160" s="3">
        <v>1</v>
      </c>
      <c r="L1160" s="3">
        <v>3</v>
      </c>
      <c r="M1160" s="3">
        <v>4</v>
      </c>
      <c r="N1160" s="3" t="s">
        <v>14</v>
      </c>
      <c r="O1160" s="3" t="s">
        <v>20</v>
      </c>
      <c r="P1160" s="3">
        <v>3</v>
      </c>
      <c r="Q1160" s="3">
        <v>4</v>
      </c>
      <c r="R1160" s="4" t="s">
        <v>14</v>
      </c>
      <c r="S1160" s="4" t="s">
        <v>14</v>
      </c>
      <c r="T1160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1161" spans="1:20" ht="18" x14ac:dyDescent="0.35">
      <c r="A1161" s="3" t="s">
        <v>1204</v>
      </c>
      <c r="B1161" s="3" t="str">
        <f>IF(Table1[[#This Row],[Age]]&lt;25,"Under 25",IF(Table1[[#This Row],[Age]]&lt;35,"25-34",IF(Table1[[#This Row],[Age]]&lt;45,"35-44",IF(Table1[[#This Row],[Age]]&lt;55,"45-54","55+"))))</f>
        <v>35-44</v>
      </c>
      <c r="C1161" s="3">
        <v>37</v>
      </c>
      <c r="D1161" s="3" t="s">
        <v>22</v>
      </c>
      <c r="E1161" s="3" t="s">
        <v>51</v>
      </c>
      <c r="F1161" s="3" t="s">
        <v>72</v>
      </c>
      <c r="G1161" s="3" t="s">
        <v>25</v>
      </c>
      <c r="H1161" s="3" t="s">
        <v>11</v>
      </c>
      <c r="I1161" s="3">
        <v>46795</v>
      </c>
      <c r="J1161" s="3">
        <v>14</v>
      </c>
      <c r="K1161" s="3">
        <v>2</v>
      </c>
      <c r="L1161" s="3">
        <v>2</v>
      </c>
      <c r="M1161" s="3">
        <v>3</v>
      </c>
      <c r="N1161" s="3" t="s">
        <v>14</v>
      </c>
      <c r="O1161" s="3" t="s">
        <v>20</v>
      </c>
      <c r="P1161" s="3">
        <v>4</v>
      </c>
      <c r="Q1161" s="3">
        <v>5</v>
      </c>
      <c r="R1161" s="4" t="s">
        <v>14</v>
      </c>
      <c r="S1161" s="4" t="s">
        <v>14</v>
      </c>
      <c r="T1161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1162" spans="1:20" ht="18" x14ac:dyDescent="0.35">
      <c r="A1162" s="3" t="s">
        <v>1205</v>
      </c>
      <c r="B1162" s="3" t="str">
        <f>IF(Table1[[#This Row],[Age]]&lt;25,"Under 25",IF(Table1[[#This Row],[Age]]&lt;35,"25-34",IF(Table1[[#This Row],[Age]]&lt;45,"35-44",IF(Table1[[#This Row],[Age]]&lt;55,"45-54","55+"))))</f>
        <v>25-34</v>
      </c>
      <c r="C1162" s="3">
        <v>31</v>
      </c>
      <c r="D1162" s="3" t="s">
        <v>22</v>
      </c>
      <c r="E1162" s="3" t="s">
        <v>34</v>
      </c>
      <c r="F1162" s="3" t="s">
        <v>150</v>
      </c>
      <c r="G1162" s="3" t="s">
        <v>18</v>
      </c>
      <c r="H1162" s="3" t="s">
        <v>11</v>
      </c>
      <c r="I1162" s="3">
        <v>59093</v>
      </c>
      <c r="J1162" s="3">
        <v>10</v>
      </c>
      <c r="K1162" s="3">
        <v>3</v>
      </c>
      <c r="L1162" s="3">
        <v>4</v>
      </c>
      <c r="M1162" s="3">
        <v>2</v>
      </c>
      <c r="N1162" s="3" t="s">
        <v>14</v>
      </c>
      <c r="O1162" s="3" t="s">
        <v>26</v>
      </c>
      <c r="P1162" s="3">
        <v>3</v>
      </c>
      <c r="Q1162" s="3">
        <v>2</v>
      </c>
      <c r="R1162" s="4" t="s">
        <v>14</v>
      </c>
      <c r="S1162" s="4" t="s">
        <v>14</v>
      </c>
      <c r="T1162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1163" spans="1:20" ht="18" x14ac:dyDescent="0.35">
      <c r="A1163" s="3" t="s">
        <v>1206</v>
      </c>
      <c r="B1163" s="3" t="str">
        <f>IF(Table1[[#This Row],[Age]]&lt;25,"Under 25",IF(Table1[[#This Row],[Age]]&lt;35,"25-34",IF(Table1[[#This Row],[Age]]&lt;45,"35-44",IF(Table1[[#This Row],[Age]]&lt;55,"45-54","55+"))))</f>
        <v>Under 25</v>
      </c>
      <c r="C1163" s="3">
        <v>21</v>
      </c>
      <c r="D1163" s="3" t="s">
        <v>22</v>
      </c>
      <c r="E1163" s="3" t="s">
        <v>8</v>
      </c>
      <c r="F1163" s="3" t="s">
        <v>23</v>
      </c>
      <c r="G1163" s="3" t="s">
        <v>25</v>
      </c>
      <c r="H1163" s="3" t="s">
        <v>19</v>
      </c>
      <c r="I1163" s="3">
        <v>56742</v>
      </c>
      <c r="J1163" s="3">
        <v>1</v>
      </c>
      <c r="K1163" s="3">
        <v>1</v>
      </c>
      <c r="L1163" s="3">
        <v>4</v>
      </c>
      <c r="M1163" s="3">
        <v>4</v>
      </c>
      <c r="N1163" s="3" t="s">
        <v>12</v>
      </c>
      <c r="O1163" s="3" t="s">
        <v>26</v>
      </c>
      <c r="P1163" s="3">
        <v>2</v>
      </c>
      <c r="Q1163" s="3">
        <v>5</v>
      </c>
      <c r="R1163" s="4" t="s">
        <v>14</v>
      </c>
      <c r="S1163" s="4" t="s">
        <v>14</v>
      </c>
      <c r="T1163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1164" spans="1:20" ht="18" x14ac:dyDescent="0.35">
      <c r="A1164" s="3" t="s">
        <v>1207</v>
      </c>
      <c r="B1164" s="3" t="str">
        <f>IF(Table1[[#This Row],[Age]]&lt;25,"Under 25",IF(Table1[[#This Row],[Age]]&lt;35,"25-34",IF(Table1[[#This Row],[Age]]&lt;45,"35-44",IF(Table1[[#This Row],[Age]]&lt;55,"45-54","55+"))))</f>
        <v>25-34</v>
      </c>
      <c r="C1164" s="3">
        <v>27</v>
      </c>
      <c r="D1164" s="3" t="s">
        <v>22</v>
      </c>
      <c r="E1164" s="3" t="s">
        <v>51</v>
      </c>
      <c r="F1164" s="3" t="s">
        <v>72</v>
      </c>
      <c r="G1164" s="3" t="s">
        <v>18</v>
      </c>
      <c r="H1164" s="3" t="s">
        <v>11</v>
      </c>
      <c r="I1164" s="3">
        <v>94725</v>
      </c>
      <c r="J1164" s="3">
        <v>7</v>
      </c>
      <c r="K1164" s="3">
        <v>5</v>
      </c>
      <c r="L1164" s="3">
        <v>4</v>
      </c>
      <c r="M1164" s="3">
        <v>3</v>
      </c>
      <c r="N1164" s="3" t="s">
        <v>14</v>
      </c>
      <c r="O1164" s="3" t="s">
        <v>13</v>
      </c>
      <c r="P1164" s="3">
        <v>2</v>
      </c>
      <c r="Q1164" s="3">
        <v>6</v>
      </c>
      <c r="R1164" s="4" t="s">
        <v>14</v>
      </c>
      <c r="S1164" s="4" t="s">
        <v>14</v>
      </c>
      <c r="T1164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1165" spans="1:20" ht="18" x14ac:dyDescent="0.35">
      <c r="A1165" s="3" t="s">
        <v>1208</v>
      </c>
      <c r="B1165" s="3" t="str">
        <f>IF(Table1[[#This Row],[Age]]&lt;25,"Under 25",IF(Table1[[#This Row],[Age]]&lt;35,"25-34",IF(Table1[[#This Row],[Age]]&lt;45,"35-44",IF(Table1[[#This Row],[Age]]&lt;55,"45-54","55+"))))</f>
        <v>35-44</v>
      </c>
      <c r="C1165" s="3">
        <v>36</v>
      </c>
      <c r="D1165" s="3" t="s">
        <v>22</v>
      </c>
      <c r="E1165" s="3" t="s">
        <v>34</v>
      </c>
      <c r="F1165" s="3" t="s">
        <v>150</v>
      </c>
      <c r="G1165" s="3" t="s">
        <v>10</v>
      </c>
      <c r="H1165" s="3" t="s">
        <v>42</v>
      </c>
      <c r="I1165" s="3">
        <v>66487</v>
      </c>
      <c r="J1165" s="3">
        <v>10</v>
      </c>
      <c r="K1165" s="3">
        <v>6</v>
      </c>
      <c r="L1165" s="3">
        <v>1</v>
      </c>
      <c r="M1165" s="3">
        <v>4</v>
      </c>
      <c r="N1165" s="3" t="s">
        <v>14</v>
      </c>
      <c r="O1165" s="3" t="s">
        <v>13</v>
      </c>
      <c r="P1165" s="3">
        <v>3</v>
      </c>
      <c r="Q1165" s="3">
        <v>4</v>
      </c>
      <c r="R1165" s="4" t="s">
        <v>14</v>
      </c>
      <c r="S1165" s="4" t="s">
        <v>12</v>
      </c>
      <c r="T1165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1166" spans="1:20" ht="18" x14ac:dyDescent="0.35">
      <c r="A1166" s="3" t="s">
        <v>1209</v>
      </c>
      <c r="B1166" s="3" t="str">
        <f>IF(Table1[[#This Row],[Age]]&lt;25,"Under 25",IF(Table1[[#This Row],[Age]]&lt;35,"25-34",IF(Table1[[#This Row],[Age]]&lt;45,"35-44",IF(Table1[[#This Row],[Age]]&lt;55,"45-54","55+"))))</f>
        <v>35-44</v>
      </c>
      <c r="C1166" s="3">
        <v>43</v>
      </c>
      <c r="D1166" s="3" t="s">
        <v>7</v>
      </c>
      <c r="E1166" s="3" t="s">
        <v>38</v>
      </c>
      <c r="F1166" s="3" t="s">
        <v>59</v>
      </c>
      <c r="G1166" s="3" t="s">
        <v>25</v>
      </c>
      <c r="H1166" s="3" t="s">
        <v>19</v>
      </c>
      <c r="I1166" s="3">
        <v>67371</v>
      </c>
      <c r="J1166" s="3">
        <v>3</v>
      </c>
      <c r="K1166" s="3">
        <v>0</v>
      </c>
      <c r="L1166" s="3">
        <v>3</v>
      </c>
      <c r="M1166" s="3">
        <v>4</v>
      </c>
      <c r="N1166" s="3" t="s">
        <v>14</v>
      </c>
      <c r="O1166" s="3" t="s">
        <v>13</v>
      </c>
      <c r="P1166" s="3">
        <v>3</v>
      </c>
      <c r="Q1166" s="3">
        <v>6</v>
      </c>
      <c r="R1166" s="4" t="s">
        <v>14</v>
      </c>
      <c r="S1166" s="4" t="s">
        <v>14</v>
      </c>
      <c r="T1166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1167" spans="1:20" ht="18" x14ac:dyDescent="0.35">
      <c r="A1167" s="3" t="s">
        <v>1210</v>
      </c>
      <c r="B1167" s="3" t="str">
        <f>IF(Table1[[#This Row],[Age]]&lt;25,"Under 25",IF(Table1[[#This Row],[Age]]&lt;35,"25-34",IF(Table1[[#This Row],[Age]]&lt;45,"35-44",IF(Table1[[#This Row],[Age]]&lt;55,"45-54","55+"))))</f>
        <v>25-34</v>
      </c>
      <c r="C1167" s="3">
        <v>34</v>
      </c>
      <c r="D1167" s="3" t="s">
        <v>7</v>
      </c>
      <c r="E1167" s="3" t="s">
        <v>31</v>
      </c>
      <c r="F1167" s="3" t="s">
        <v>136</v>
      </c>
      <c r="G1167" s="3" t="s">
        <v>45</v>
      </c>
      <c r="H1167" s="3" t="s">
        <v>42</v>
      </c>
      <c r="I1167" s="3">
        <v>71085</v>
      </c>
      <c r="J1167" s="3">
        <v>13</v>
      </c>
      <c r="K1167" s="3">
        <v>12</v>
      </c>
      <c r="L1167" s="3">
        <v>2</v>
      </c>
      <c r="M1167" s="3">
        <v>1</v>
      </c>
      <c r="N1167" s="3" t="s">
        <v>14</v>
      </c>
      <c r="O1167" s="3" t="s">
        <v>13</v>
      </c>
      <c r="P1167" s="3">
        <v>3</v>
      </c>
      <c r="Q1167" s="3">
        <v>3</v>
      </c>
      <c r="R1167" s="4" t="s">
        <v>14</v>
      </c>
      <c r="S1167" s="4" t="s">
        <v>14</v>
      </c>
      <c r="T1167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1168" spans="1:20" ht="18" x14ac:dyDescent="0.35">
      <c r="A1168" s="3" t="s">
        <v>1211</v>
      </c>
      <c r="B1168" s="3" t="str">
        <f>IF(Table1[[#This Row],[Age]]&lt;25,"Under 25",IF(Table1[[#This Row],[Age]]&lt;35,"25-34",IF(Table1[[#This Row],[Age]]&lt;45,"35-44",IF(Table1[[#This Row],[Age]]&lt;55,"45-54","55+"))))</f>
        <v>25-34</v>
      </c>
      <c r="C1168" s="3">
        <v>34</v>
      </c>
      <c r="D1168" s="3" t="s">
        <v>7</v>
      </c>
      <c r="E1168" s="3" t="s">
        <v>34</v>
      </c>
      <c r="F1168" s="3" t="s">
        <v>54</v>
      </c>
      <c r="G1168" s="3" t="s">
        <v>18</v>
      </c>
      <c r="H1168" s="3" t="s">
        <v>11</v>
      </c>
      <c r="I1168" s="3">
        <v>55754</v>
      </c>
      <c r="J1168" s="3">
        <v>7</v>
      </c>
      <c r="K1168" s="3">
        <v>1</v>
      </c>
      <c r="L1168" s="3">
        <v>1</v>
      </c>
      <c r="M1168" s="3">
        <v>2</v>
      </c>
      <c r="N1168" s="3" t="s">
        <v>14</v>
      </c>
      <c r="O1168" s="3" t="s">
        <v>13</v>
      </c>
      <c r="P1168" s="3">
        <v>3</v>
      </c>
      <c r="Q1168" s="3">
        <v>6</v>
      </c>
      <c r="R1168" s="4" t="s">
        <v>14</v>
      </c>
      <c r="S1168" s="4" t="s">
        <v>14</v>
      </c>
      <c r="T1168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1169" spans="1:20" ht="18" x14ac:dyDescent="0.35">
      <c r="A1169" s="3" t="s">
        <v>1212</v>
      </c>
      <c r="B1169" s="3" t="str">
        <f>IF(Table1[[#This Row],[Age]]&lt;25,"Under 25",IF(Table1[[#This Row],[Age]]&lt;35,"25-34",IF(Table1[[#This Row],[Age]]&lt;45,"35-44",IF(Table1[[#This Row],[Age]]&lt;55,"45-54","55+"))))</f>
        <v>Under 25</v>
      </c>
      <c r="C1169" s="3">
        <v>23</v>
      </c>
      <c r="D1169" s="3" t="s">
        <v>7</v>
      </c>
      <c r="E1169" s="3" t="s">
        <v>51</v>
      </c>
      <c r="F1169" s="3" t="s">
        <v>72</v>
      </c>
      <c r="G1169" s="3" t="s">
        <v>10</v>
      </c>
      <c r="H1169" s="3" t="s">
        <v>19</v>
      </c>
      <c r="I1169" s="3">
        <v>92136</v>
      </c>
      <c r="J1169" s="3">
        <v>1</v>
      </c>
      <c r="K1169" s="3">
        <v>1</v>
      </c>
      <c r="L1169" s="3">
        <v>4</v>
      </c>
      <c r="M1169" s="3">
        <v>3</v>
      </c>
      <c r="N1169" s="3" t="s">
        <v>14</v>
      </c>
      <c r="O1169" s="3" t="s">
        <v>13</v>
      </c>
      <c r="P1169" s="3">
        <v>4</v>
      </c>
      <c r="Q1169" s="3">
        <v>6</v>
      </c>
      <c r="R1169" s="4" t="s">
        <v>14</v>
      </c>
      <c r="S1169" s="4" t="s">
        <v>14</v>
      </c>
      <c r="T1169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1170" spans="1:20" ht="18" x14ac:dyDescent="0.35">
      <c r="A1170" s="3" t="s">
        <v>1213</v>
      </c>
      <c r="B1170" s="3" t="str">
        <f>IF(Table1[[#This Row],[Age]]&lt;25,"Under 25",IF(Table1[[#This Row],[Age]]&lt;35,"25-34",IF(Table1[[#This Row],[Age]]&lt;45,"35-44",IF(Table1[[#This Row],[Age]]&lt;55,"45-54","55+"))))</f>
        <v>45-54</v>
      </c>
      <c r="C1170" s="3">
        <v>49</v>
      </c>
      <c r="D1170" s="3" t="s">
        <v>7</v>
      </c>
      <c r="E1170" s="3" t="s">
        <v>16</v>
      </c>
      <c r="F1170" s="3" t="s">
        <v>47</v>
      </c>
      <c r="G1170" s="3" t="s">
        <v>18</v>
      </c>
      <c r="H1170" s="3" t="s">
        <v>11</v>
      </c>
      <c r="I1170" s="3">
        <v>76904</v>
      </c>
      <c r="J1170" s="3">
        <v>7</v>
      </c>
      <c r="K1170" s="3">
        <v>6</v>
      </c>
      <c r="L1170" s="3">
        <v>4</v>
      </c>
      <c r="M1170" s="3">
        <v>3</v>
      </c>
      <c r="N1170" s="3" t="s">
        <v>14</v>
      </c>
      <c r="O1170" s="3" t="s">
        <v>20</v>
      </c>
      <c r="P1170" s="3">
        <v>3</v>
      </c>
      <c r="Q1170" s="3">
        <v>0</v>
      </c>
      <c r="R1170" s="4" t="s">
        <v>14</v>
      </c>
      <c r="S1170" s="4" t="s">
        <v>14</v>
      </c>
      <c r="T1170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1171" spans="1:20" ht="18" x14ac:dyDescent="0.35">
      <c r="A1171" s="3" t="s">
        <v>1214</v>
      </c>
      <c r="B1171" s="3" t="str">
        <f>IF(Table1[[#This Row],[Age]]&lt;25,"Under 25",IF(Table1[[#This Row],[Age]]&lt;35,"25-34",IF(Table1[[#This Row],[Age]]&lt;45,"35-44",IF(Table1[[#This Row],[Age]]&lt;55,"45-54","55+"))))</f>
        <v>35-44</v>
      </c>
      <c r="C1171" s="3">
        <v>36</v>
      </c>
      <c r="D1171" s="3" t="s">
        <v>22</v>
      </c>
      <c r="E1171" s="3" t="s">
        <v>8</v>
      </c>
      <c r="F1171" s="3" t="s">
        <v>9</v>
      </c>
      <c r="G1171" s="3" t="s">
        <v>18</v>
      </c>
      <c r="H1171" s="3" t="s">
        <v>11</v>
      </c>
      <c r="I1171" s="3">
        <v>109492</v>
      </c>
      <c r="J1171" s="3">
        <v>18</v>
      </c>
      <c r="K1171" s="3">
        <v>5</v>
      </c>
      <c r="L1171" s="3">
        <v>2</v>
      </c>
      <c r="M1171" s="3">
        <v>1</v>
      </c>
      <c r="N1171" s="3" t="s">
        <v>12</v>
      </c>
      <c r="O1171" s="3" t="s">
        <v>20</v>
      </c>
      <c r="P1171" s="3">
        <v>4</v>
      </c>
      <c r="Q1171" s="3">
        <v>0</v>
      </c>
      <c r="R1171" s="4" t="s">
        <v>14</v>
      </c>
      <c r="S1171" s="4" t="s">
        <v>12</v>
      </c>
      <c r="T1171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1172" spans="1:20" ht="18" x14ac:dyDescent="0.35">
      <c r="A1172" s="3" t="s">
        <v>1215</v>
      </c>
      <c r="B1172" s="3" t="str">
        <f>IF(Table1[[#This Row],[Age]]&lt;25,"Under 25",IF(Table1[[#This Row],[Age]]&lt;35,"25-34",IF(Table1[[#This Row],[Age]]&lt;45,"35-44",IF(Table1[[#This Row],[Age]]&lt;55,"45-54","55+"))))</f>
        <v>25-34</v>
      </c>
      <c r="C1172" s="3">
        <v>28</v>
      </c>
      <c r="D1172" s="3" t="s">
        <v>22</v>
      </c>
      <c r="E1172" s="3" t="s">
        <v>31</v>
      </c>
      <c r="F1172" s="3" t="s">
        <v>136</v>
      </c>
      <c r="G1172" s="3" t="s">
        <v>10</v>
      </c>
      <c r="H1172" s="3" t="s">
        <v>19</v>
      </c>
      <c r="I1172" s="3">
        <v>44217</v>
      </c>
      <c r="J1172" s="3">
        <v>10</v>
      </c>
      <c r="K1172" s="3">
        <v>5</v>
      </c>
      <c r="L1172" s="3">
        <v>3</v>
      </c>
      <c r="M1172" s="3">
        <v>3</v>
      </c>
      <c r="N1172" s="3" t="s">
        <v>14</v>
      </c>
      <c r="O1172" s="3" t="s">
        <v>13</v>
      </c>
      <c r="P1172" s="3">
        <v>3</v>
      </c>
      <c r="Q1172" s="3">
        <v>5</v>
      </c>
      <c r="R1172" s="4" t="s">
        <v>12</v>
      </c>
      <c r="S1172" s="4" t="s">
        <v>14</v>
      </c>
      <c r="T1172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1173" spans="1:20" ht="18" x14ac:dyDescent="0.35">
      <c r="A1173" s="3" t="s">
        <v>1216</v>
      </c>
      <c r="B1173" s="3" t="str">
        <f>IF(Table1[[#This Row],[Age]]&lt;25,"Under 25",IF(Table1[[#This Row],[Age]]&lt;35,"25-34",IF(Table1[[#This Row],[Age]]&lt;45,"35-44",IF(Table1[[#This Row],[Age]]&lt;55,"45-54","55+"))))</f>
        <v>25-34</v>
      </c>
      <c r="C1173" s="3">
        <v>34</v>
      </c>
      <c r="D1173" s="3" t="s">
        <v>7</v>
      </c>
      <c r="E1173" s="3" t="s">
        <v>51</v>
      </c>
      <c r="F1173" s="3" t="s">
        <v>52</v>
      </c>
      <c r="G1173" s="3" t="s">
        <v>45</v>
      </c>
      <c r="H1173" s="3" t="s">
        <v>11</v>
      </c>
      <c r="I1173" s="3">
        <v>103546</v>
      </c>
      <c r="J1173" s="3">
        <v>10</v>
      </c>
      <c r="K1173" s="3">
        <v>1</v>
      </c>
      <c r="L1173" s="3">
        <v>3</v>
      </c>
      <c r="M1173" s="3">
        <v>2</v>
      </c>
      <c r="N1173" s="3" t="s">
        <v>12</v>
      </c>
      <c r="O1173" s="3" t="s">
        <v>13</v>
      </c>
      <c r="P1173" s="3">
        <v>3</v>
      </c>
      <c r="Q1173" s="3">
        <v>1</v>
      </c>
      <c r="R1173" s="4" t="s">
        <v>14</v>
      </c>
      <c r="S1173" s="4" t="s">
        <v>12</v>
      </c>
      <c r="T1173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1174" spans="1:20" ht="18" x14ac:dyDescent="0.35">
      <c r="A1174" s="3" t="s">
        <v>1217</v>
      </c>
      <c r="B1174" s="3" t="str">
        <f>IF(Table1[[#This Row],[Age]]&lt;25,"Under 25",IF(Table1[[#This Row],[Age]]&lt;35,"25-34",IF(Table1[[#This Row],[Age]]&lt;45,"35-44",IF(Table1[[#This Row],[Age]]&lt;55,"45-54","55+"))))</f>
        <v>35-44</v>
      </c>
      <c r="C1174" s="3">
        <v>37</v>
      </c>
      <c r="D1174" s="3" t="s">
        <v>7</v>
      </c>
      <c r="E1174" s="3" t="s">
        <v>8</v>
      </c>
      <c r="F1174" s="3" t="s">
        <v>66</v>
      </c>
      <c r="G1174" s="3" t="s">
        <v>10</v>
      </c>
      <c r="H1174" s="3" t="s">
        <v>19</v>
      </c>
      <c r="I1174" s="3">
        <v>22000</v>
      </c>
      <c r="J1174" s="3">
        <v>15</v>
      </c>
      <c r="K1174" s="3">
        <v>9</v>
      </c>
      <c r="L1174" s="3">
        <v>3</v>
      </c>
      <c r="M1174" s="3">
        <v>3</v>
      </c>
      <c r="N1174" s="3" t="s">
        <v>14</v>
      </c>
      <c r="O1174" s="3" t="s">
        <v>26</v>
      </c>
      <c r="P1174" s="3">
        <v>2</v>
      </c>
      <c r="Q1174" s="3">
        <v>2</v>
      </c>
      <c r="R1174" s="4" t="s">
        <v>12</v>
      </c>
      <c r="S1174" s="4" t="s">
        <v>12</v>
      </c>
      <c r="T1174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1175" spans="1:20" ht="18" x14ac:dyDescent="0.35">
      <c r="A1175" s="3" t="s">
        <v>1218</v>
      </c>
      <c r="B1175" s="3" t="str">
        <f>IF(Table1[[#This Row],[Age]]&lt;25,"Under 25",IF(Table1[[#This Row],[Age]]&lt;35,"25-34",IF(Table1[[#This Row],[Age]]&lt;45,"35-44",IF(Table1[[#This Row],[Age]]&lt;55,"45-54","55+"))))</f>
        <v>35-44</v>
      </c>
      <c r="C1175" s="3">
        <v>39</v>
      </c>
      <c r="D1175" s="3" t="s">
        <v>7</v>
      </c>
      <c r="E1175" s="3" t="s">
        <v>51</v>
      </c>
      <c r="F1175" s="3" t="s">
        <v>72</v>
      </c>
      <c r="G1175" s="3" t="s">
        <v>18</v>
      </c>
      <c r="H1175" s="3" t="s">
        <v>19</v>
      </c>
      <c r="I1175" s="3">
        <v>52894</v>
      </c>
      <c r="J1175" s="3">
        <v>18</v>
      </c>
      <c r="K1175" s="3">
        <v>11</v>
      </c>
      <c r="L1175" s="3">
        <v>3</v>
      </c>
      <c r="M1175" s="3">
        <v>3</v>
      </c>
      <c r="N1175" s="3" t="s">
        <v>12</v>
      </c>
      <c r="O1175" s="3" t="s">
        <v>13</v>
      </c>
      <c r="P1175" s="3">
        <v>3</v>
      </c>
      <c r="Q1175" s="3">
        <v>3</v>
      </c>
      <c r="R1175" s="4" t="s">
        <v>14</v>
      </c>
      <c r="S1175" s="4" t="s">
        <v>14</v>
      </c>
      <c r="T1175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1176" spans="1:20" ht="18" x14ac:dyDescent="0.35">
      <c r="A1176" s="3" t="s">
        <v>1219</v>
      </c>
      <c r="B1176" s="3" t="str">
        <f>IF(Table1[[#This Row],[Age]]&lt;25,"Under 25",IF(Table1[[#This Row],[Age]]&lt;35,"25-34",IF(Table1[[#This Row],[Age]]&lt;45,"35-44",IF(Table1[[#This Row],[Age]]&lt;55,"45-54","55+"))))</f>
        <v>25-34</v>
      </c>
      <c r="C1176" s="3">
        <v>29</v>
      </c>
      <c r="D1176" s="3" t="s">
        <v>22</v>
      </c>
      <c r="E1176" s="3" t="s">
        <v>8</v>
      </c>
      <c r="F1176" s="3" t="s">
        <v>23</v>
      </c>
      <c r="G1176" s="3" t="s">
        <v>10</v>
      </c>
      <c r="H1176" s="3" t="s">
        <v>42</v>
      </c>
      <c r="I1176" s="3">
        <v>53235</v>
      </c>
      <c r="J1176" s="3">
        <v>11</v>
      </c>
      <c r="K1176" s="3">
        <v>1</v>
      </c>
      <c r="L1176" s="3">
        <v>3</v>
      </c>
      <c r="M1176" s="3">
        <v>1</v>
      </c>
      <c r="N1176" s="3" t="s">
        <v>14</v>
      </c>
      <c r="O1176" s="3" t="s">
        <v>13</v>
      </c>
      <c r="P1176" s="3">
        <v>3</v>
      </c>
      <c r="Q1176" s="3">
        <v>1</v>
      </c>
      <c r="R1176" s="4" t="s">
        <v>14</v>
      </c>
      <c r="S1176" s="4" t="s">
        <v>14</v>
      </c>
      <c r="T1176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1177" spans="1:20" ht="18" x14ac:dyDescent="0.35">
      <c r="A1177" s="3" t="s">
        <v>1220</v>
      </c>
      <c r="B1177" s="3" t="str">
        <f>IF(Table1[[#This Row],[Age]]&lt;25,"Under 25",IF(Table1[[#This Row],[Age]]&lt;35,"25-34",IF(Table1[[#This Row],[Age]]&lt;45,"35-44",IF(Table1[[#This Row],[Age]]&lt;55,"45-54","55+"))))</f>
        <v>45-54</v>
      </c>
      <c r="C1177" s="3">
        <v>48</v>
      </c>
      <c r="D1177" s="3" t="s">
        <v>7</v>
      </c>
      <c r="E1177" s="3" t="s">
        <v>34</v>
      </c>
      <c r="F1177" s="3" t="s">
        <v>54</v>
      </c>
      <c r="G1177" s="3" t="s">
        <v>25</v>
      </c>
      <c r="H1177" s="3" t="s">
        <v>19</v>
      </c>
      <c r="I1177" s="3">
        <v>88312</v>
      </c>
      <c r="J1177" s="3">
        <v>11</v>
      </c>
      <c r="K1177" s="3">
        <v>9</v>
      </c>
      <c r="L1177" s="3">
        <v>3</v>
      </c>
      <c r="M1177" s="3">
        <v>4</v>
      </c>
      <c r="N1177" s="3" t="s">
        <v>14</v>
      </c>
      <c r="O1177" s="3" t="s">
        <v>13</v>
      </c>
      <c r="P1177" s="3">
        <v>3</v>
      </c>
      <c r="Q1177" s="3">
        <v>0</v>
      </c>
      <c r="R1177" s="4" t="s">
        <v>12</v>
      </c>
      <c r="S1177" s="4" t="s">
        <v>14</v>
      </c>
      <c r="T1177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1178" spans="1:20" ht="18" x14ac:dyDescent="0.35">
      <c r="A1178" s="3" t="s">
        <v>1221</v>
      </c>
      <c r="B1178" s="3" t="str">
        <f>IF(Table1[[#This Row],[Age]]&lt;25,"Under 25",IF(Table1[[#This Row],[Age]]&lt;35,"25-34",IF(Table1[[#This Row],[Age]]&lt;45,"35-44",IF(Table1[[#This Row],[Age]]&lt;55,"45-54","55+"))))</f>
        <v>25-34</v>
      </c>
      <c r="C1178" s="3">
        <v>32</v>
      </c>
      <c r="D1178" s="3" t="s">
        <v>22</v>
      </c>
      <c r="E1178" s="3" t="s">
        <v>34</v>
      </c>
      <c r="F1178" s="3" t="s">
        <v>35</v>
      </c>
      <c r="G1178" s="3" t="s">
        <v>25</v>
      </c>
      <c r="H1178" s="3" t="s">
        <v>11</v>
      </c>
      <c r="I1178" s="3">
        <v>43286</v>
      </c>
      <c r="J1178" s="3">
        <v>10</v>
      </c>
      <c r="K1178" s="3">
        <v>6</v>
      </c>
      <c r="L1178" s="3">
        <v>4</v>
      </c>
      <c r="M1178" s="3">
        <v>4</v>
      </c>
      <c r="N1178" s="3" t="s">
        <v>14</v>
      </c>
      <c r="O1178" s="3" t="s">
        <v>20</v>
      </c>
      <c r="P1178" s="3">
        <v>3</v>
      </c>
      <c r="Q1178" s="3">
        <v>4</v>
      </c>
      <c r="R1178" s="4" t="s">
        <v>14</v>
      </c>
      <c r="S1178" s="4" t="s">
        <v>14</v>
      </c>
      <c r="T1178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1179" spans="1:20" ht="18" x14ac:dyDescent="0.35">
      <c r="A1179" s="3" t="s">
        <v>1222</v>
      </c>
      <c r="B1179" s="3" t="str">
        <f>IF(Table1[[#This Row],[Age]]&lt;25,"Under 25",IF(Table1[[#This Row],[Age]]&lt;35,"25-34",IF(Table1[[#This Row],[Age]]&lt;45,"35-44",IF(Table1[[#This Row],[Age]]&lt;55,"45-54","55+"))))</f>
        <v>35-44</v>
      </c>
      <c r="C1179" s="3">
        <v>38</v>
      </c>
      <c r="D1179" s="3" t="s">
        <v>7</v>
      </c>
      <c r="E1179" s="3" t="s">
        <v>34</v>
      </c>
      <c r="F1179" s="3" t="s">
        <v>35</v>
      </c>
      <c r="G1179" s="3" t="s">
        <v>25</v>
      </c>
      <c r="H1179" s="3" t="s">
        <v>11</v>
      </c>
      <c r="I1179" s="3">
        <v>74994</v>
      </c>
      <c r="J1179" s="3">
        <v>10</v>
      </c>
      <c r="K1179" s="3">
        <v>2</v>
      </c>
      <c r="L1179" s="3">
        <v>3</v>
      </c>
      <c r="M1179" s="3">
        <v>1</v>
      </c>
      <c r="N1179" s="3" t="s">
        <v>12</v>
      </c>
      <c r="O1179" s="3" t="s">
        <v>13</v>
      </c>
      <c r="P1179" s="3">
        <v>3</v>
      </c>
      <c r="Q1179" s="3">
        <v>0</v>
      </c>
      <c r="R1179" s="4" t="s">
        <v>14</v>
      </c>
      <c r="S1179" s="4" t="s">
        <v>14</v>
      </c>
      <c r="T1179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1180" spans="1:20" ht="18" x14ac:dyDescent="0.35">
      <c r="A1180" s="3" t="s">
        <v>1223</v>
      </c>
      <c r="B1180" s="3" t="str">
        <f>IF(Table1[[#This Row],[Age]]&lt;25,"Under 25",IF(Table1[[#This Row],[Age]]&lt;35,"25-34",IF(Table1[[#This Row],[Age]]&lt;45,"35-44",IF(Table1[[#This Row],[Age]]&lt;55,"45-54","55+"))))</f>
        <v>45-54</v>
      </c>
      <c r="C1180" s="3">
        <v>52</v>
      </c>
      <c r="D1180" s="3" t="s">
        <v>7</v>
      </c>
      <c r="E1180" s="3" t="s">
        <v>38</v>
      </c>
      <c r="F1180" s="3" t="s">
        <v>59</v>
      </c>
      <c r="G1180" s="3" t="s">
        <v>25</v>
      </c>
      <c r="H1180" s="3" t="s">
        <v>11</v>
      </c>
      <c r="I1180" s="3">
        <v>66517</v>
      </c>
      <c r="J1180" s="3">
        <v>24</v>
      </c>
      <c r="K1180" s="3">
        <v>0</v>
      </c>
      <c r="L1180" s="3">
        <v>4</v>
      </c>
      <c r="M1180" s="3">
        <v>1</v>
      </c>
      <c r="N1180" s="3" t="s">
        <v>14</v>
      </c>
      <c r="O1180" s="3" t="s">
        <v>13</v>
      </c>
      <c r="P1180" s="3">
        <v>3</v>
      </c>
      <c r="Q1180" s="3">
        <v>1</v>
      </c>
      <c r="R1180" s="4" t="s">
        <v>12</v>
      </c>
      <c r="S1180" s="4" t="s">
        <v>14</v>
      </c>
      <c r="T1180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1181" spans="1:20" ht="18" x14ac:dyDescent="0.35">
      <c r="A1181" s="3" t="s">
        <v>1224</v>
      </c>
      <c r="B1181" s="3" t="str">
        <f>IF(Table1[[#This Row],[Age]]&lt;25,"Under 25",IF(Table1[[#This Row],[Age]]&lt;35,"25-34",IF(Table1[[#This Row],[Age]]&lt;45,"35-44",IF(Table1[[#This Row],[Age]]&lt;55,"45-54","55+"))))</f>
        <v>35-44</v>
      </c>
      <c r="C1181" s="3">
        <v>37</v>
      </c>
      <c r="D1181" s="3" t="s">
        <v>7</v>
      </c>
      <c r="E1181" s="3" t="s">
        <v>34</v>
      </c>
      <c r="F1181" s="3" t="s">
        <v>91</v>
      </c>
      <c r="G1181" s="3" t="s">
        <v>25</v>
      </c>
      <c r="H1181" s="3" t="s">
        <v>19</v>
      </c>
      <c r="I1181" s="3">
        <v>79548</v>
      </c>
      <c r="J1181" s="3">
        <v>0</v>
      </c>
      <c r="K1181" s="3">
        <v>0</v>
      </c>
      <c r="L1181" s="3">
        <v>3</v>
      </c>
      <c r="M1181" s="3">
        <v>2</v>
      </c>
      <c r="N1181" s="3" t="s">
        <v>14</v>
      </c>
      <c r="O1181" s="3" t="s">
        <v>20</v>
      </c>
      <c r="P1181" s="3">
        <v>3</v>
      </c>
      <c r="Q1181" s="3">
        <v>1</v>
      </c>
      <c r="R1181" s="4" t="s">
        <v>14</v>
      </c>
      <c r="S1181" s="4" t="s">
        <v>14</v>
      </c>
      <c r="T1181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Less than 1 Year</v>
      </c>
    </row>
    <row r="1182" spans="1:20" ht="18" x14ac:dyDescent="0.35">
      <c r="A1182" s="3" t="s">
        <v>1225</v>
      </c>
      <c r="B1182" s="3" t="str">
        <f>IF(Table1[[#This Row],[Age]]&lt;25,"Under 25",IF(Table1[[#This Row],[Age]]&lt;35,"25-34",IF(Table1[[#This Row],[Age]]&lt;45,"35-44",IF(Table1[[#This Row],[Age]]&lt;55,"45-54","55+"))))</f>
        <v>Under 25</v>
      </c>
      <c r="C1182" s="3">
        <v>24</v>
      </c>
      <c r="D1182" s="3" t="s">
        <v>22</v>
      </c>
      <c r="E1182" s="3" t="s">
        <v>38</v>
      </c>
      <c r="F1182" s="3" t="s">
        <v>39</v>
      </c>
      <c r="G1182" s="3" t="s">
        <v>18</v>
      </c>
      <c r="H1182" s="3" t="s">
        <v>11</v>
      </c>
      <c r="I1182" s="3">
        <v>74903</v>
      </c>
      <c r="J1182" s="3">
        <v>1</v>
      </c>
      <c r="K1182" s="3">
        <v>1</v>
      </c>
      <c r="L1182" s="3">
        <v>4</v>
      </c>
      <c r="M1182" s="3">
        <v>3</v>
      </c>
      <c r="N1182" s="3" t="s">
        <v>14</v>
      </c>
      <c r="O1182" s="3" t="s">
        <v>13</v>
      </c>
      <c r="P1182" s="3">
        <v>3</v>
      </c>
      <c r="Q1182" s="3">
        <v>0</v>
      </c>
      <c r="R1182" s="4" t="s">
        <v>14</v>
      </c>
      <c r="S1182" s="4" t="s">
        <v>12</v>
      </c>
      <c r="T1182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1183" spans="1:20" ht="18" x14ac:dyDescent="0.35">
      <c r="A1183" s="3" t="s">
        <v>1226</v>
      </c>
      <c r="B1183" s="3" t="str">
        <f>IF(Table1[[#This Row],[Age]]&lt;25,"Under 25",IF(Table1[[#This Row],[Age]]&lt;35,"25-34",IF(Table1[[#This Row],[Age]]&lt;45,"35-44",IF(Table1[[#This Row],[Age]]&lt;55,"45-54","55+"))))</f>
        <v>35-44</v>
      </c>
      <c r="C1183" s="3">
        <v>43</v>
      </c>
      <c r="D1183" s="3" t="s">
        <v>7</v>
      </c>
      <c r="E1183" s="3" t="s">
        <v>38</v>
      </c>
      <c r="F1183" s="3" t="s">
        <v>89</v>
      </c>
      <c r="G1183" s="3" t="s">
        <v>10</v>
      </c>
      <c r="H1183" s="3" t="s">
        <v>42</v>
      </c>
      <c r="I1183" s="3">
        <v>92199</v>
      </c>
      <c r="J1183" s="3">
        <v>1</v>
      </c>
      <c r="K1183" s="3">
        <v>0</v>
      </c>
      <c r="L1183" s="3">
        <v>2</v>
      </c>
      <c r="M1183" s="3">
        <v>4</v>
      </c>
      <c r="N1183" s="3" t="s">
        <v>14</v>
      </c>
      <c r="O1183" s="3" t="s">
        <v>13</v>
      </c>
      <c r="P1183" s="3">
        <v>3</v>
      </c>
      <c r="Q1183" s="3">
        <v>3</v>
      </c>
      <c r="R1183" s="4" t="s">
        <v>14</v>
      </c>
      <c r="S1183" s="4" t="s">
        <v>14</v>
      </c>
      <c r="T1183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1184" spans="1:20" ht="18" x14ac:dyDescent="0.35">
      <c r="A1184" s="3" t="s">
        <v>1227</v>
      </c>
      <c r="B1184" s="3" t="str">
        <f>IF(Table1[[#This Row],[Age]]&lt;25,"Under 25",IF(Table1[[#This Row],[Age]]&lt;35,"25-34",IF(Table1[[#This Row],[Age]]&lt;45,"35-44",IF(Table1[[#This Row],[Age]]&lt;55,"45-54","55+"))))</f>
        <v>25-34</v>
      </c>
      <c r="C1184" s="3">
        <v>34</v>
      </c>
      <c r="D1184" s="3" t="s">
        <v>22</v>
      </c>
      <c r="E1184" s="3" t="s">
        <v>51</v>
      </c>
      <c r="F1184" s="3" t="s">
        <v>80</v>
      </c>
      <c r="G1184" s="3" t="s">
        <v>25</v>
      </c>
      <c r="H1184" s="3" t="s">
        <v>19</v>
      </c>
      <c r="I1184" s="3">
        <v>88584</v>
      </c>
      <c r="J1184" s="3">
        <v>13</v>
      </c>
      <c r="K1184" s="3">
        <v>1</v>
      </c>
      <c r="L1184" s="3">
        <v>3</v>
      </c>
      <c r="M1184" s="3">
        <v>3</v>
      </c>
      <c r="N1184" s="3" t="s">
        <v>14</v>
      </c>
      <c r="O1184" s="3" t="s">
        <v>13</v>
      </c>
      <c r="P1184" s="3">
        <v>3</v>
      </c>
      <c r="Q1184" s="3">
        <v>2</v>
      </c>
      <c r="R1184" s="4" t="s">
        <v>12</v>
      </c>
      <c r="S1184" s="4" t="s">
        <v>14</v>
      </c>
      <c r="T1184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1185" spans="1:20" ht="18" x14ac:dyDescent="0.35">
      <c r="A1185" s="3" t="s">
        <v>1228</v>
      </c>
      <c r="B1185" s="3" t="str">
        <f>IF(Table1[[#This Row],[Age]]&lt;25,"Under 25",IF(Table1[[#This Row],[Age]]&lt;35,"25-34",IF(Table1[[#This Row],[Age]]&lt;45,"35-44",IF(Table1[[#This Row],[Age]]&lt;55,"45-54","55+"))))</f>
        <v>25-34</v>
      </c>
      <c r="C1185" s="3">
        <v>27</v>
      </c>
      <c r="D1185" s="3" t="s">
        <v>7</v>
      </c>
      <c r="E1185" s="3" t="s">
        <v>34</v>
      </c>
      <c r="F1185" s="3" t="s">
        <v>54</v>
      </c>
      <c r="G1185" s="3" t="s">
        <v>18</v>
      </c>
      <c r="H1185" s="3" t="s">
        <v>19</v>
      </c>
      <c r="I1185" s="3">
        <v>72784</v>
      </c>
      <c r="J1185" s="3">
        <v>5</v>
      </c>
      <c r="K1185" s="3">
        <v>3</v>
      </c>
      <c r="L1185" s="3">
        <v>3</v>
      </c>
      <c r="M1185" s="3">
        <v>2</v>
      </c>
      <c r="N1185" s="3" t="s">
        <v>12</v>
      </c>
      <c r="O1185" s="3" t="s">
        <v>26</v>
      </c>
      <c r="P1185" s="3">
        <v>3</v>
      </c>
      <c r="Q1185" s="3">
        <v>1</v>
      </c>
      <c r="R1185" s="4" t="s">
        <v>14</v>
      </c>
      <c r="S1185" s="4" t="s">
        <v>14</v>
      </c>
      <c r="T1185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1186" spans="1:20" ht="18" x14ac:dyDescent="0.35">
      <c r="A1186" s="3" t="s">
        <v>1229</v>
      </c>
      <c r="B1186" s="3" t="str">
        <f>IF(Table1[[#This Row],[Age]]&lt;25,"Under 25",IF(Table1[[#This Row],[Age]]&lt;35,"25-34",IF(Table1[[#This Row],[Age]]&lt;45,"35-44",IF(Table1[[#This Row],[Age]]&lt;55,"45-54","55+"))))</f>
        <v>35-44</v>
      </c>
      <c r="C1186" s="3">
        <v>37</v>
      </c>
      <c r="D1186" s="3" t="s">
        <v>22</v>
      </c>
      <c r="E1186" s="3" t="s">
        <v>51</v>
      </c>
      <c r="F1186" s="3" t="s">
        <v>52</v>
      </c>
      <c r="G1186" s="3" t="s">
        <v>18</v>
      </c>
      <c r="H1186" s="3" t="s">
        <v>19</v>
      </c>
      <c r="I1186" s="3">
        <v>53939</v>
      </c>
      <c r="J1186" s="3">
        <v>10</v>
      </c>
      <c r="K1186" s="3">
        <v>9</v>
      </c>
      <c r="L1186" s="3">
        <v>4</v>
      </c>
      <c r="M1186" s="3">
        <v>3</v>
      </c>
      <c r="N1186" s="3" t="s">
        <v>14</v>
      </c>
      <c r="O1186" s="3" t="s">
        <v>13</v>
      </c>
      <c r="P1186" s="3">
        <v>4</v>
      </c>
      <c r="Q1186" s="3">
        <v>2</v>
      </c>
      <c r="R1186" s="4" t="s">
        <v>14</v>
      </c>
      <c r="S1186" s="4" t="s">
        <v>12</v>
      </c>
      <c r="T1186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1187" spans="1:20" ht="18" x14ac:dyDescent="0.35">
      <c r="A1187" s="3" t="s">
        <v>1230</v>
      </c>
      <c r="B1187" s="3" t="str">
        <f>IF(Table1[[#This Row],[Age]]&lt;25,"Under 25",IF(Table1[[#This Row],[Age]]&lt;35,"25-34",IF(Table1[[#This Row],[Age]]&lt;45,"35-44",IF(Table1[[#This Row],[Age]]&lt;55,"45-54","55+"))))</f>
        <v>25-34</v>
      </c>
      <c r="C1187" s="3">
        <v>32</v>
      </c>
      <c r="D1187" s="3" t="s">
        <v>22</v>
      </c>
      <c r="E1187" s="3" t="s">
        <v>38</v>
      </c>
      <c r="F1187" s="3" t="s">
        <v>89</v>
      </c>
      <c r="G1187" s="3" t="s">
        <v>25</v>
      </c>
      <c r="H1187" s="3" t="s">
        <v>11</v>
      </c>
      <c r="I1187" s="3">
        <v>74166</v>
      </c>
      <c r="J1187" s="3">
        <v>6</v>
      </c>
      <c r="K1187" s="3">
        <v>0</v>
      </c>
      <c r="L1187" s="3">
        <v>4</v>
      </c>
      <c r="M1187" s="3">
        <v>3</v>
      </c>
      <c r="N1187" s="3" t="s">
        <v>12</v>
      </c>
      <c r="O1187" s="3" t="s">
        <v>13</v>
      </c>
      <c r="P1187" s="3">
        <v>3</v>
      </c>
      <c r="Q1187" s="3">
        <v>4</v>
      </c>
      <c r="R1187" s="4" t="s">
        <v>14</v>
      </c>
      <c r="S1187" s="4" t="s">
        <v>12</v>
      </c>
      <c r="T1187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1188" spans="1:20" ht="18" x14ac:dyDescent="0.35">
      <c r="A1188" s="3" t="s">
        <v>1231</v>
      </c>
      <c r="B1188" s="3" t="str">
        <f>IF(Table1[[#This Row],[Age]]&lt;25,"Under 25",IF(Table1[[#This Row],[Age]]&lt;35,"25-34",IF(Table1[[#This Row],[Age]]&lt;45,"35-44",IF(Table1[[#This Row],[Age]]&lt;55,"45-54","55+"))))</f>
        <v>25-34</v>
      </c>
      <c r="C1188" s="3">
        <v>33</v>
      </c>
      <c r="D1188" s="3" t="s">
        <v>7</v>
      </c>
      <c r="E1188" s="3" t="s">
        <v>34</v>
      </c>
      <c r="F1188" s="3" t="s">
        <v>150</v>
      </c>
      <c r="G1188" s="3" t="s">
        <v>25</v>
      </c>
      <c r="H1188" s="3" t="s">
        <v>19</v>
      </c>
      <c r="I1188" s="3">
        <v>62826</v>
      </c>
      <c r="J1188" s="3">
        <v>3</v>
      </c>
      <c r="K1188" s="3">
        <v>0</v>
      </c>
      <c r="L1188" s="3">
        <v>3</v>
      </c>
      <c r="M1188" s="3">
        <v>3</v>
      </c>
      <c r="N1188" s="3" t="s">
        <v>12</v>
      </c>
      <c r="O1188" s="3" t="s">
        <v>20</v>
      </c>
      <c r="P1188" s="3">
        <v>3</v>
      </c>
      <c r="Q1188" s="3">
        <v>4</v>
      </c>
      <c r="R1188" s="4" t="s">
        <v>14</v>
      </c>
      <c r="S1188" s="4" t="s">
        <v>14</v>
      </c>
      <c r="T1188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1189" spans="1:20" ht="18" x14ac:dyDescent="0.35">
      <c r="A1189" s="3" t="s">
        <v>1232</v>
      </c>
      <c r="B1189" s="3" t="str">
        <f>IF(Table1[[#This Row],[Age]]&lt;25,"Under 25",IF(Table1[[#This Row],[Age]]&lt;35,"25-34",IF(Table1[[#This Row],[Age]]&lt;45,"35-44",IF(Table1[[#This Row],[Age]]&lt;55,"45-54","55+"))))</f>
        <v>25-34</v>
      </c>
      <c r="C1189" s="3">
        <v>34</v>
      </c>
      <c r="D1189" s="3" t="s">
        <v>22</v>
      </c>
      <c r="E1189" s="3" t="s">
        <v>8</v>
      </c>
      <c r="F1189" s="3" t="s">
        <v>23</v>
      </c>
      <c r="G1189" s="3" t="s">
        <v>25</v>
      </c>
      <c r="H1189" s="3" t="s">
        <v>11</v>
      </c>
      <c r="I1189" s="3">
        <v>63082</v>
      </c>
      <c r="J1189" s="3">
        <v>8</v>
      </c>
      <c r="K1189" s="3">
        <v>2</v>
      </c>
      <c r="L1189" s="3">
        <v>2</v>
      </c>
      <c r="M1189" s="3">
        <v>3</v>
      </c>
      <c r="N1189" s="3" t="s">
        <v>14</v>
      </c>
      <c r="O1189" s="3" t="s">
        <v>13</v>
      </c>
      <c r="P1189" s="3">
        <v>3</v>
      </c>
      <c r="Q1189" s="3">
        <v>5</v>
      </c>
      <c r="R1189" s="4" t="s">
        <v>12</v>
      </c>
      <c r="S1189" s="4" t="s">
        <v>14</v>
      </c>
      <c r="T1189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1190" spans="1:20" ht="18" x14ac:dyDescent="0.35">
      <c r="A1190" s="3" t="s">
        <v>1233</v>
      </c>
      <c r="B1190" s="3" t="str">
        <f>IF(Table1[[#This Row],[Age]]&lt;25,"Under 25",IF(Table1[[#This Row],[Age]]&lt;35,"25-34",IF(Table1[[#This Row],[Age]]&lt;45,"35-44",IF(Table1[[#This Row],[Age]]&lt;55,"45-54","55+"))))</f>
        <v>Under 25</v>
      </c>
      <c r="C1190" s="3">
        <v>23</v>
      </c>
      <c r="D1190" s="3" t="s">
        <v>22</v>
      </c>
      <c r="E1190" s="3" t="s">
        <v>51</v>
      </c>
      <c r="F1190" s="3" t="s">
        <v>52</v>
      </c>
      <c r="G1190" s="3" t="s">
        <v>25</v>
      </c>
      <c r="H1190" s="3" t="s">
        <v>11</v>
      </c>
      <c r="I1190" s="3">
        <v>86737</v>
      </c>
      <c r="J1190" s="3">
        <v>5</v>
      </c>
      <c r="K1190" s="3">
        <v>4</v>
      </c>
      <c r="L1190" s="3">
        <v>3</v>
      </c>
      <c r="M1190" s="3">
        <v>3</v>
      </c>
      <c r="N1190" s="3" t="s">
        <v>14</v>
      </c>
      <c r="O1190" s="3" t="s">
        <v>13</v>
      </c>
      <c r="P1190" s="3">
        <v>3</v>
      </c>
      <c r="Q1190" s="3">
        <v>1</v>
      </c>
      <c r="R1190" s="4" t="s">
        <v>14</v>
      </c>
      <c r="S1190" s="4" t="s">
        <v>14</v>
      </c>
      <c r="T1190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1191" spans="1:20" ht="18" x14ac:dyDescent="0.35">
      <c r="A1191" s="3" t="s">
        <v>1234</v>
      </c>
      <c r="B1191" s="3" t="str">
        <f>IF(Table1[[#This Row],[Age]]&lt;25,"Under 25",IF(Table1[[#This Row],[Age]]&lt;35,"25-34",IF(Table1[[#This Row],[Age]]&lt;45,"35-44",IF(Table1[[#This Row],[Age]]&lt;55,"45-54","55+"))))</f>
        <v>25-34</v>
      </c>
      <c r="C1191" s="3">
        <v>34</v>
      </c>
      <c r="D1191" s="3" t="s">
        <v>22</v>
      </c>
      <c r="E1191" s="3" t="s">
        <v>51</v>
      </c>
      <c r="F1191" s="3" t="s">
        <v>52</v>
      </c>
      <c r="G1191" s="3" t="s">
        <v>25</v>
      </c>
      <c r="H1191" s="3" t="s">
        <v>19</v>
      </c>
      <c r="I1191" s="3">
        <v>75236</v>
      </c>
      <c r="J1191" s="3">
        <v>3</v>
      </c>
      <c r="K1191" s="3">
        <v>1</v>
      </c>
      <c r="L1191" s="3">
        <v>4</v>
      </c>
      <c r="M1191" s="3">
        <v>1</v>
      </c>
      <c r="N1191" s="3" t="s">
        <v>14</v>
      </c>
      <c r="O1191" s="3" t="s">
        <v>13</v>
      </c>
      <c r="P1191" s="3">
        <v>3</v>
      </c>
      <c r="Q1191" s="3">
        <v>5</v>
      </c>
      <c r="R1191" s="4" t="s">
        <v>14</v>
      </c>
      <c r="S1191" s="4" t="s">
        <v>14</v>
      </c>
      <c r="T1191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1192" spans="1:20" ht="18" x14ac:dyDescent="0.35">
      <c r="A1192" s="3" t="s">
        <v>1235</v>
      </c>
      <c r="B1192" s="3" t="str">
        <f>IF(Table1[[#This Row],[Age]]&lt;25,"Under 25",IF(Table1[[#This Row],[Age]]&lt;35,"25-34",IF(Table1[[#This Row],[Age]]&lt;45,"35-44",IF(Table1[[#This Row],[Age]]&lt;55,"45-54","55+"))))</f>
        <v>25-34</v>
      </c>
      <c r="C1192" s="3">
        <v>28</v>
      </c>
      <c r="D1192" s="3" t="s">
        <v>22</v>
      </c>
      <c r="E1192" s="3" t="s">
        <v>16</v>
      </c>
      <c r="F1192" s="3" t="s">
        <v>28</v>
      </c>
      <c r="G1192" s="3" t="s">
        <v>25</v>
      </c>
      <c r="H1192" s="3" t="s">
        <v>42</v>
      </c>
      <c r="I1192" s="3">
        <v>86423</v>
      </c>
      <c r="J1192" s="3">
        <v>0</v>
      </c>
      <c r="K1192" s="3">
        <v>0</v>
      </c>
      <c r="L1192" s="3">
        <v>1</v>
      </c>
      <c r="M1192" s="3">
        <v>4</v>
      </c>
      <c r="N1192" s="3" t="s">
        <v>14</v>
      </c>
      <c r="O1192" s="3" t="s">
        <v>13</v>
      </c>
      <c r="P1192" s="3">
        <v>3</v>
      </c>
      <c r="Q1192" s="3">
        <v>1</v>
      </c>
      <c r="R1192" s="4" t="s">
        <v>14</v>
      </c>
      <c r="S1192" s="4" t="s">
        <v>14</v>
      </c>
      <c r="T1192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Less than 1 Year</v>
      </c>
    </row>
    <row r="1193" spans="1:20" ht="18" x14ac:dyDescent="0.35">
      <c r="A1193" s="3" t="s">
        <v>1236</v>
      </c>
      <c r="B1193" s="3" t="str">
        <f>IF(Table1[[#This Row],[Age]]&lt;25,"Under 25",IF(Table1[[#This Row],[Age]]&lt;35,"25-34",IF(Table1[[#This Row],[Age]]&lt;45,"35-44",IF(Table1[[#This Row],[Age]]&lt;55,"45-54","55+"))))</f>
        <v>35-44</v>
      </c>
      <c r="C1193" s="3">
        <v>43</v>
      </c>
      <c r="D1193" s="3" t="s">
        <v>7</v>
      </c>
      <c r="E1193" s="3" t="s">
        <v>16</v>
      </c>
      <c r="F1193" s="3" t="s">
        <v>47</v>
      </c>
      <c r="G1193" s="3" t="s">
        <v>10</v>
      </c>
      <c r="H1193" s="3" t="s">
        <v>19</v>
      </c>
      <c r="I1193" s="3">
        <v>77323</v>
      </c>
      <c r="J1193" s="3">
        <v>0</v>
      </c>
      <c r="K1193" s="3">
        <v>0</v>
      </c>
      <c r="L1193" s="3">
        <v>3</v>
      </c>
      <c r="M1193" s="3">
        <v>2</v>
      </c>
      <c r="N1193" s="3" t="s">
        <v>14</v>
      </c>
      <c r="O1193" s="3" t="s">
        <v>13</v>
      </c>
      <c r="P1193" s="3">
        <v>3</v>
      </c>
      <c r="Q1193" s="3">
        <v>0</v>
      </c>
      <c r="R1193" s="4" t="s">
        <v>14</v>
      </c>
      <c r="S1193" s="4" t="s">
        <v>14</v>
      </c>
      <c r="T1193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Less than 1 Year</v>
      </c>
    </row>
    <row r="1194" spans="1:20" ht="18" x14ac:dyDescent="0.35">
      <c r="A1194" s="3" t="s">
        <v>1237</v>
      </c>
      <c r="B1194" s="3" t="str">
        <f>IF(Table1[[#This Row],[Age]]&lt;25,"Under 25",IF(Table1[[#This Row],[Age]]&lt;35,"25-34",IF(Table1[[#This Row],[Age]]&lt;45,"35-44",IF(Table1[[#This Row],[Age]]&lt;55,"45-54","55+"))))</f>
        <v>25-34</v>
      </c>
      <c r="C1194" s="3">
        <v>26</v>
      </c>
      <c r="D1194" s="3" t="s">
        <v>7</v>
      </c>
      <c r="E1194" s="3" t="s">
        <v>38</v>
      </c>
      <c r="F1194" s="3" t="s">
        <v>89</v>
      </c>
      <c r="G1194" s="3" t="s">
        <v>18</v>
      </c>
      <c r="H1194" s="3" t="s">
        <v>11</v>
      </c>
      <c r="I1194" s="3">
        <v>80347</v>
      </c>
      <c r="J1194" s="3">
        <v>7</v>
      </c>
      <c r="K1194" s="3">
        <v>0</v>
      </c>
      <c r="L1194" s="3">
        <v>2</v>
      </c>
      <c r="M1194" s="3">
        <v>4</v>
      </c>
      <c r="N1194" s="3" t="s">
        <v>14</v>
      </c>
      <c r="O1194" s="3" t="s">
        <v>20</v>
      </c>
      <c r="P1194" s="3">
        <v>3</v>
      </c>
      <c r="Q1194" s="3">
        <v>4</v>
      </c>
      <c r="R1194" s="4" t="s">
        <v>14</v>
      </c>
      <c r="S1194" s="4" t="s">
        <v>14</v>
      </c>
      <c r="T1194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1195" spans="1:20" ht="18" x14ac:dyDescent="0.35">
      <c r="A1195" s="3" t="s">
        <v>1238</v>
      </c>
      <c r="B1195" s="3" t="str">
        <f>IF(Table1[[#This Row],[Age]]&lt;25,"Under 25",IF(Table1[[#This Row],[Age]]&lt;35,"25-34",IF(Table1[[#This Row],[Age]]&lt;45,"35-44",IF(Table1[[#This Row],[Age]]&lt;55,"45-54","55+"))))</f>
        <v>Under 25</v>
      </c>
      <c r="C1195" s="3">
        <v>21</v>
      </c>
      <c r="D1195" s="3" t="s">
        <v>22</v>
      </c>
      <c r="E1195" s="3" t="s">
        <v>38</v>
      </c>
      <c r="F1195" s="3" t="s">
        <v>59</v>
      </c>
      <c r="G1195" s="3" t="s">
        <v>18</v>
      </c>
      <c r="H1195" s="3" t="s">
        <v>11</v>
      </c>
      <c r="I1195" s="3">
        <v>59895</v>
      </c>
      <c r="J1195" s="3">
        <v>2</v>
      </c>
      <c r="K1195" s="3">
        <v>0</v>
      </c>
      <c r="L1195" s="3">
        <v>4</v>
      </c>
      <c r="M1195" s="3">
        <v>3</v>
      </c>
      <c r="N1195" s="3" t="s">
        <v>14</v>
      </c>
      <c r="O1195" s="3" t="s">
        <v>13</v>
      </c>
      <c r="P1195" s="3">
        <v>3</v>
      </c>
      <c r="Q1195" s="3">
        <v>3</v>
      </c>
      <c r="R1195" s="4" t="s">
        <v>14</v>
      </c>
      <c r="S1195" s="4" t="s">
        <v>14</v>
      </c>
      <c r="T1195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1-2 Years</v>
      </c>
    </row>
    <row r="1196" spans="1:20" ht="18" x14ac:dyDescent="0.35">
      <c r="A1196" s="3" t="s">
        <v>1239</v>
      </c>
      <c r="B1196" s="3" t="str">
        <f>IF(Table1[[#This Row],[Age]]&lt;25,"Under 25",IF(Table1[[#This Row],[Age]]&lt;35,"25-34",IF(Table1[[#This Row],[Age]]&lt;45,"35-44",IF(Table1[[#This Row],[Age]]&lt;55,"45-54","55+"))))</f>
        <v>35-44</v>
      </c>
      <c r="C1196" s="3">
        <v>35</v>
      </c>
      <c r="D1196" s="3" t="s">
        <v>22</v>
      </c>
      <c r="E1196" s="3" t="s">
        <v>38</v>
      </c>
      <c r="F1196" s="3" t="s">
        <v>39</v>
      </c>
      <c r="G1196" s="3" t="s">
        <v>18</v>
      </c>
      <c r="H1196" s="3" t="s">
        <v>19</v>
      </c>
      <c r="I1196" s="3">
        <v>95651</v>
      </c>
      <c r="J1196" s="3">
        <v>11</v>
      </c>
      <c r="K1196" s="3">
        <v>9</v>
      </c>
      <c r="L1196" s="3">
        <v>3</v>
      </c>
      <c r="M1196" s="3">
        <v>2</v>
      </c>
      <c r="N1196" s="3" t="s">
        <v>14</v>
      </c>
      <c r="O1196" s="3" t="s">
        <v>26</v>
      </c>
      <c r="P1196" s="3">
        <v>3</v>
      </c>
      <c r="Q1196" s="3">
        <v>1</v>
      </c>
      <c r="R1196" s="4" t="s">
        <v>14</v>
      </c>
      <c r="S1196" s="4" t="s">
        <v>14</v>
      </c>
      <c r="T1196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  <row r="1197" spans="1:20" ht="18" x14ac:dyDescent="0.35">
      <c r="A1197" s="3" t="s">
        <v>1240</v>
      </c>
      <c r="B1197" s="3" t="str">
        <f>IF(Table1[[#This Row],[Age]]&lt;25,"Under 25",IF(Table1[[#This Row],[Age]]&lt;35,"25-34",IF(Table1[[#This Row],[Age]]&lt;45,"35-44",IF(Table1[[#This Row],[Age]]&lt;55,"45-54","55+"))))</f>
        <v>35-44</v>
      </c>
      <c r="C1197" s="3">
        <v>38</v>
      </c>
      <c r="D1197" s="3" t="s">
        <v>22</v>
      </c>
      <c r="E1197" s="3" t="s">
        <v>51</v>
      </c>
      <c r="F1197" s="3" t="s">
        <v>52</v>
      </c>
      <c r="G1197" s="3" t="s">
        <v>18</v>
      </c>
      <c r="H1197" s="3" t="s">
        <v>42</v>
      </c>
      <c r="I1197" s="3">
        <v>99516</v>
      </c>
      <c r="J1197" s="3">
        <v>4</v>
      </c>
      <c r="K1197" s="3">
        <v>0</v>
      </c>
      <c r="L1197" s="3">
        <v>3</v>
      </c>
      <c r="M1197" s="3">
        <v>3</v>
      </c>
      <c r="N1197" s="3" t="s">
        <v>12</v>
      </c>
      <c r="O1197" s="3" t="s">
        <v>20</v>
      </c>
      <c r="P1197" s="3">
        <v>2</v>
      </c>
      <c r="Q1197" s="3">
        <v>2</v>
      </c>
      <c r="R1197" s="4" t="s">
        <v>12</v>
      </c>
      <c r="S1197" s="4" t="s">
        <v>14</v>
      </c>
      <c r="T1197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3-5 Years</v>
      </c>
    </row>
    <row r="1198" spans="1:20" ht="18" x14ac:dyDescent="0.35">
      <c r="A1198" s="3" t="s">
        <v>1241</v>
      </c>
      <c r="B1198" s="3" t="str">
        <f>IF(Table1[[#This Row],[Age]]&lt;25,"Under 25",IF(Table1[[#This Row],[Age]]&lt;35,"25-34",IF(Table1[[#This Row],[Age]]&lt;45,"35-44",IF(Table1[[#This Row],[Age]]&lt;55,"45-54","55+"))))</f>
        <v>25-34</v>
      </c>
      <c r="C1198" s="3">
        <v>32</v>
      </c>
      <c r="D1198" s="3" t="s">
        <v>22</v>
      </c>
      <c r="E1198" s="3" t="s">
        <v>16</v>
      </c>
      <c r="F1198" s="3" t="s">
        <v>47</v>
      </c>
      <c r="G1198" s="3" t="s">
        <v>10</v>
      </c>
      <c r="H1198" s="3" t="s">
        <v>11</v>
      </c>
      <c r="I1198" s="3">
        <v>75280</v>
      </c>
      <c r="J1198" s="3">
        <v>9</v>
      </c>
      <c r="K1198" s="3">
        <v>3</v>
      </c>
      <c r="L1198" s="3">
        <v>4</v>
      </c>
      <c r="M1198" s="3">
        <v>3</v>
      </c>
      <c r="N1198" s="3" t="s">
        <v>14</v>
      </c>
      <c r="O1198" s="3" t="s">
        <v>13</v>
      </c>
      <c r="P1198" s="3">
        <v>4</v>
      </c>
      <c r="Q1198" s="3">
        <v>3</v>
      </c>
      <c r="R1198" s="4" t="s">
        <v>14</v>
      </c>
      <c r="S1198" s="4" t="s">
        <v>14</v>
      </c>
      <c r="T1198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1199" spans="1:20" ht="18" x14ac:dyDescent="0.35">
      <c r="A1199" s="3" t="s">
        <v>1242</v>
      </c>
      <c r="B1199" s="3" t="str">
        <f>IF(Table1[[#This Row],[Age]]&lt;25,"Under 25",IF(Table1[[#This Row],[Age]]&lt;35,"25-34",IF(Table1[[#This Row],[Age]]&lt;45,"35-44",IF(Table1[[#This Row],[Age]]&lt;55,"45-54","55+"))))</f>
        <v>25-34</v>
      </c>
      <c r="C1199" s="3">
        <v>29</v>
      </c>
      <c r="D1199" s="3" t="s">
        <v>22</v>
      </c>
      <c r="E1199" s="3" t="s">
        <v>38</v>
      </c>
      <c r="F1199" s="3" t="s">
        <v>89</v>
      </c>
      <c r="G1199" s="3" t="s">
        <v>25</v>
      </c>
      <c r="H1199" s="3" t="s">
        <v>42</v>
      </c>
      <c r="I1199" s="3">
        <v>72144</v>
      </c>
      <c r="J1199" s="3">
        <v>10</v>
      </c>
      <c r="K1199" s="3">
        <v>1</v>
      </c>
      <c r="L1199" s="3">
        <v>4</v>
      </c>
      <c r="M1199" s="3">
        <v>3</v>
      </c>
      <c r="N1199" s="3" t="s">
        <v>14</v>
      </c>
      <c r="O1199" s="3" t="s">
        <v>20</v>
      </c>
      <c r="P1199" s="3">
        <v>3</v>
      </c>
      <c r="Q1199" s="3">
        <v>3</v>
      </c>
      <c r="R1199" s="4" t="s">
        <v>14</v>
      </c>
      <c r="S1199" s="4" t="s">
        <v>12</v>
      </c>
      <c r="T1199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1200" spans="1:20" ht="18" x14ac:dyDescent="0.35">
      <c r="A1200" s="3" t="s">
        <v>1243</v>
      </c>
      <c r="B1200" s="3" t="str">
        <f>IF(Table1[[#This Row],[Age]]&lt;25,"Under 25",IF(Table1[[#This Row],[Age]]&lt;35,"25-34",IF(Table1[[#This Row],[Age]]&lt;45,"35-44",IF(Table1[[#This Row],[Age]]&lt;55,"45-54","55+"))))</f>
        <v>25-34</v>
      </c>
      <c r="C1200" s="3">
        <v>27</v>
      </c>
      <c r="D1200" s="3" t="s">
        <v>7</v>
      </c>
      <c r="E1200" s="3" t="s">
        <v>16</v>
      </c>
      <c r="F1200" s="3" t="s">
        <v>17</v>
      </c>
      <c r="G1200" s="3" t="s">
        <v>10</v>
      </c>
      <c r="H1200" s="3" t="s">
        <v>11</v>
      </c>
      <c r="I1200" s="3">
        <v>93045</v>
      </c>
      <c r="J1200" s="3">
        <v>8</v>
      </c>
      <c r="K1200" s="3">
        <v>4</v>
      </c>
      <c r="L1200" s="3">
        <v>4</v>
      </c>
      <c r="M1200" s="3">
        <v>3</v>
      </c>
      <c r="N1200" s="3" t="s">
        <v>14</v>
      </c>
      <c r="O1200" s="3" t="s">
        <v>13</v>
      </c>
      <c r="P1200" s="3">
        <v>3</v>
      </c>
      <c r="Q1200" s="3">
        <v>0</v>
      </c>
      <c r="R1200" s="4" t="s">
        <v>14</v>
      </c>
      <c r="S1200" s="4" t="s">
        <v>14</v>
      </c>
      <c r="T1200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6-10 Years</v>
      </c>
    </row>
    <row r="1201" spans="1:20" ht="18" x14ac:dyDescent="0.35">
      <c r="A1201" s="3" t="s">
        <v>1244</v>
      </c>
      <c r="B1201" s="3" t="str">
        <f>IF(Table1[[#This Row],[Age]]&lt;25,"Under 25",IF(Table1[[#This Row],[Age]]&lt;35,"25-34",IF(Table1[[#This Row],[Age]]&lt;45,"35-44",IF(Table1[[#This Row],[Age]]&lt;55,"45-54","55+"))))</f>
        <v>35-44</v>
      </c>
      <c r="C1201" s="3">
        <v>35</v>
      </c>
      <c r="D1201" s="3" t="s">
        <v>7</v>
      </c>
      <c r="E1201" s="3" t="s">
        <v>38</v>
      </c>
      <c r="F1201" s="3" t="s">
        <v>59</v>
      </c>
      <c r="G1201" s="3" t="s">
        <v>18</v>
      </c>
      <c r="H1201" s="3" t="s">
        <v>11</v>
      </c>
      <c r="I1201" s="3">
        <v>62460</v>
      </c>
      <c r="J1201" s="3">
        <v>11</v>
      </c>
      <c r="K1201" s="3">
        <v>2</v>
      </c>
      <c r="L1201" s="3">
        <v>3</v>
      </c>
      <c r="M1201" s="3">
        <v>2</v>
      </c>
      <c r="N1201" s="3" t="s">
        <v>12</v>
      </c>
      <c r="O1201" s="3" t="s">
        <v>26</v>
      </c>
      <c r="P1201" s="3">
        <v>3</v>
      </c>
      <c r="Q1201" s="3">
        <v>0</v>
      </c>
      <c r="R1201" s="4" t="s">
        <v>14</v>
      </c>
      <c r="S1201" s="4" t="s">
        <v>14</v>
      </c>
      <c r="T1201" s="3" t="str">
        <f>IF(Table1[[#This Row],[Years At Company]]&lt;1,"Less than 1 Year",IF(Table1[[#This Row],[Years At Company]]&lt;3,"1-2 Years",IF(Table1[[#This Row],[Years At Company]]&lt;6,"3-5 Years",IF(Table1[[#This Row],[Years At Company]]&lt;11,"6-10 Years","11+ Years"))))</f>
        <v>11+ Years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A4EB7-C3D9-43E1-BC07-20BE4A7CA931}">
  <dimension ref="A1:E14"/>
  <sheetViews>
    <sheetView tabSelected="1" zoomScale="101" workbookViewId="0">
      <selection activeCell="B19" sqref="B19"/>
    </sheetView>
  </sheetViews>
  <sheetFormatPr defaultRowHeight="14.4" x14ac:dyDescent="0.3"/>
  <cols>
    <col min="1" max="1" width="14.21875" customWidth="1"/>
    <col min="2" max="2" width="36.77734375" customWidth="1"/>
    <col min="3" max="3" width="49.5546875" customWidth="1"/>
    <col min="4" max="4" width="45.109375" customWidth="1"/>
    <col min="5" max="5" width="78.5546875" customWidth="1"/>
    <col min="21" max="21" width="11.6640625" bestFit="1" customWidth="1"/>
  </cols>
  <sheetData>
    <row r="1" spans="1:5" x14ac:dyDescent="0.3">
      <c r="A1" s="26" t="s">
        <v>1324</v>
      </c>
      <c r="B1" s="27"/>
      <c r="C1" s="27"/>
      <c r="D1" s="27"/>
      <c r="E1" s="27"/>
    </row>
    <row r="2" spans="1:5" x14ac:dyDescent="0.3">
      <c r="A2" s="27"/>
      <c r="B2" s="27"/>
      <c r="C2" s="27"/>
      <c r="D2" s="27"/>
      <c r="E2" s="27"/>
    </row>
    <row r="3" spans="1:5" x14ac:dyDescent="0.3">
      <c r="A3" s="27"/>
      <c r="B3" s="27"/>
      <c r="C3" s="27"/>
      <c r="D3" s="27"/>
      <c r="E3" s="27"/>
    </row>
    <row r="4" spans="1:5" ht="21" x14ac:dyDescent="0.3">
      <c r="A4" s="24" t="s">
        <v>1323</v>
      </c>
      <c r="B4" s="25" t="s">
        <v>1289</v>
      </c>
      <c r="C4" s="25" t="s">
        <v>1290</v>
      </c>
      <c r="D4" s="25" t="s">
        <v>1291</v>
      </c>
      <c r="E4" s="25" t="s">
        <v>1292</v>
      </c>
    </row>
    <row r="5" spans="1:5" ht="17.399999999999999" x14ac:dyDescent="0.3">
      <c r="A5" s="22" t="str">
        <f>"Report ("&amp;ROWS($A$5:A5)&amp;")"</f>
        <v>Report (1)</v>
      </c>
      <c r="B5" s="23" t="s">
        <v>1293</v>
      </c>
      <c r="C5" s="23" t="s">
        <v>1294</v>
      </c>
      <c r="D5" s="23" t="s">
        <v>1295</v>
      </c>
      <c r="E5" s="23" t="s">
        <v>1325</v>
      </c>
    </row>
    <row r="6" spans="1:5" ht="17.399999999999999" x14ac:dyDescent="0.3">
      <c r="A6" s="22" t="str">
        <f>"Report ("&amp;ROWS($A$5:A6)&amp;")"</f>
        <v>Report (2)</v>
      </c>
      <c r="B6" s="23" t="s">
        <v>1296</v>
      </c>
      <c r="C6" s="23" t="s">
        <v>1297</v>
      </c>
      <c r="D6" s="23" t="s">
        <v>1298</v>
      </c>
      <c r="E6" s="23" t="s">
        <v>1326</v>
      </c>
    </row>
    <row r="7" spans="1:5" ht="17.399999999999999" x14ac:dyDescent="0.3">
      <c r="A7" s="22" t="str">
        <f>"Report ("&amp;ROWS($A$5:A7)&amp;")"</f>
        <v>Report (3)</v>
      </c>
      <c r="B7" s="23" t="s">
        <v>1299</v>
      </c>
      <c r="C7" s="23" t="s">
        <v>1300</v>
      </c>
      <c r="D7" s="23" t="s">
        <v>1301</v>
      </c>
      <c r="E7" s="23" t="s">
        <v>1327</v>
      </c>
    </row>
    <row r="8" spans="1:5" ht="17.399999999999999" x14ac:dyDescent="0.3">
      <c r="A8" s="22" t="str">
        <f>"Report ("&amp;ROWS($A$5:A8)&amp;")"</f>
        <v>Report (4)</v>
      </c>
      <c r="B8" s="23" t="s">
        <v>1302</v>
      </c>
      <c r="C8" s="23" t="s">
        <v>1303</v>
      </c>
      <c r="D8" s="23" t="s">
        <v>1304</v>
      </c>
      <c r="E8" s="23" t="s">
        <v>1328</v>
      </c>
    </row>
    <row r="9" spans="1:5" ht="17.399999999999999" x14ac:dyDescent="0.3">
      <c r="A9" s="22" t="str">
        <f>"Report ("&amp;ROWS($A$5:A9)&amp;")"</f>
        <v>Report (5)</v>
      </c>
      <c r="B9" s="23" t="s">
        <v>1305</v>
      </c>
      <c r="C9" s="23" t="s">
        <v>1306</v>
      </c>
      <c r="D9" s="23" t="s">
        <v>1307</v>
      </c>
      <c r="E9" s="23" t="s">
        <v>1329</v>
      </c>
    </row>
    <row r="10" spans="1:5" ht="17.399999999999999" x14ac:dyDescent="0.3">
      <c r="A10" s="22" t="str">
        <f>"Report ("&amp;ROWS($A$5:A10)&amp;")"</f>
        <v>Report (6)</v>
      </c>
      <c r="B10" s="23" t="s">
        <v>1308</v>
      </c>
      <c r="C10" s="23" t="s">
        <v>1309</v>
      </c>
      <c r="D10" s="23" t="s">
        <v>1310</v>
      </c>
      <c r="E10" s="23" t="s">
        <v>1330</v>
      </c>
    </row>
    <row r="11" spans="1:5" ht="17.399999999999999" x14ac:dyDescent="0.3">
      <c r="A11" s="22" t="str">
        <f>"Report ("&amp;ROWS($A$5:A11)&amp;")"</f>
        <v>Report (7)</v>
      </c>
      <c r="B11" s="23" t="s">
        <v>1311</v>
      </c>
      <c r="C11" s="23" t="s">
        <v>1312</v>
      </c>
      <c r="D11" s="23" t="s">
        <v>1313</v>
      </c>
      <c r="E11" s="23" t="s">
        <v>1331</v>
      </c>
    </row>
    <row r="12" spans="1:5" ht="17.399999999999999" x14ac:dyDescent="0.3">
      <c r="A12" s="22" t="str">
        <f>"Report ("&amp;ROWS($A$5:A12)&amp;")"</f>
        <v>Report (8)</v>
      </c>
      <c r="B12" s="23" t="s">
        <v>1314</v>
      </c>
      <c r="C12" s="23" t="s">
        <v>1315</v>
      </c>
      <c r="D12" s="23" t="s">
        <v>1316</v>
      </c>
      <c r="E12" s="23" t="s">
        <v>1332</v>
      </c>
    </row>
    <row r="13" spans="1:5" ht="17.399999999999999" x14ac:dyDescent="0.3">
      <c r="A13" s="22" t="str">
        <f>"Report ("&amp;ROWS($A$5:A13)&amp;")"</f>
        <v>Report (9)</v>
      </c>
      <c r="B13" s="23" t="s">
        <v>1317</v>
      </c>
      <c r="C13" s="23" t="s">
        <v>1318</v>
      </c>
      <c r="D13" s="23" t="s">
        <v>1319</v>
      </c>
      <c r="E13" s="23" t="s">
        <v>1333</v>
      </c>
    </row>
    <row r="14" spans="1:5" ht="17.399999999999999" x14ac:dyDescent="0.3">
      <c r="A14" s="22" t="str">
        <f>"Report ("&amp;ROWS($A$5:A14)&amp;")"</f>
        <v>Report (10)</v>
      </c>
      <c r="B14" s="23" t="s">
        <v>1320</v>
      </c>
      <c r="C14" s="23" t="s">
        <v>1321</v>
      </c>
      <c r="D14" s="23" t="s">
        <v>1322</v>
      </c>
      <c r="E14" s="23" t="s">
        <v>1334</v>
      </c>
    </row>
  </sheetData>
  <mergeCells count="1">
    <mergeCell ref="A1:E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DA9E2-97FA-4FAD-A634-432B21AEDE34}">
  <dimension ref="A3:D11"/>
  <sheetViews>
    <sheetView workbookViewId="0">
      <selection activeCell="G3" sqref="G3"/>
    </sheetView>
  </sheetViews>
  <sheetFormatPr defaultRowHeight="14.4" x14ac:dyDescent="0.3"/>
  <cols>
    <col min="1" max="1" width="22" bestFit="1" customWidth="1"/>
    <col min="2" max="2" width="21.6640625" bestFit="1" customWidth="1"/>
    <col min="3" max="3" width="5.88671875" bestFit="1" customWidth="1"/>
    <col min="4" max="4" width="15.88671875" bestFit="1" customWidth="1"/>
  </cols>
  <sheetData>
    <row r="3" spans="1:4" ht="21" x14ac:dyDescent="0.4">
      <c r="A3" s="5" t="s">
        <v>1259</v>
      </c>
      <c r="B3" s="5" t="s">
        <v>1258</v>
      </c>
      <c r="C3" s="6"/>
      <c r="D3" s="6"/>
    </row>
    <row r="4" spans="1:4" ht="21" x14ac:dyDescent="0.4">
      <c r="A4" s="5" t="s">
        <v>2</v>
      </c>
      <c r="B4" s="6" t="s">
        <v>14</v>
      </c>
      <c r="C4" s="6" t="s">
        <v>12</v>
      </c>
      <c r="D4" s="6" t="s">
        <v>1257</v>
      </c>
    </row>
    <row r="5" spans="1:4" ht="21" x14ac:dyDescent="0.4">
      <c r="A5" s="7" t="s">
        <v>51</v>
      </c>
      <c r="B5" s="6">
        <v>131</v>
      </c>
      <c r="C5" s="6">
        <v>20</v>
      </c>
      <c r="D5" s="6">
        <v>151</v>
      </c>
    </row>
    <row r="6" spans="1:4" ht="21" x14ac:dyDescent="0.4">
      <c r="A6" s="7" t="s">
        <v>31</v>
      </c>
      <c r="B6" s="6">
        <v>85</v>
      </c>
      <c r="C6" s="6">
        <v>6</v>
      </c>
      <c r="D6" s="6">
        <v>91</v>
      </c>
    </row>
    <row r="7" spans="1:4" ht="21" x14ac:dyDescent="0.4">
      <c r="A7" s="7" t="s">
        <v>34</v>
      </c>
      <c r="B7" s="6">
        <v>198</v>
      </c>
      <c r="C7" s="6">
        <v>28</v>
      </c>
      <c r="D7" s="6">
        <v>226</v>
      </c>
    </row>
    <row r="8" spans="1:4" ht="21" x14ac:dyDescent="0.4">
      <c r="A8" s="7" t="s">
        <v>38</v>
      </c>
      <c r="B8" s="6">
        <v>150</v>
      </c>
      <c r="C8" s="6">
        <v>27</v>
      </c>
      <c r="D8" s="6">
        <v>177</v>
      </c>
    </row>
    <row r="9" spans="1:4" ht="21" x14ac:dyDescent="0.4">
      <c r="A9" s="7" t="s">
        <v>8</v>
      </c>
      <c r="B9" s="6">
        <v>249</v>
      </c>
      <c r="C9" s="6">
        <v>27</v>
      </c>
      <c r="D9" s="6">
        <v>276</v>
      </c>
    </row>
    <row r="10" spans="1:4" ht="21" x14ac:dyDescent="0.4">
      <c r="A10" s="7" t="s">
        <v>16</v>
      </c>
      <c r="B10" s="6">
        <v>250</v>
      </c>
      <c r="C10" s="6">
        <v>29</v>
      </c>
      <c r="D10" s="6">
        <v>279</v>
      </c>
    </row>
    <row r="11" spans="1:4" ht="21" x14ac:dyDescent="0.4">
      <c r="A11" s="7" t="s">
        <v>1257</v>
      </c>
      <c r="B11" s="6">
        <v>1063</v>
      </c>
      <c r="C11" s="6">
        <v>137</v>
      </c>
      <c r="D11" s="6">
        <v>1200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37468-15E4-4C39-AE73-54B1C1506C45}">
  <dimension ref="A1:B7"/>
  <sheetViews>
    <sheetView workbookViewId="0">
      <selection activeCell="M11" sqref="M11"/>
    </sheetView>
  </sheetViews>
  <sheetFormatPr defaultRowHeight="14.4" x14ac:dyDescent="0.3"/>
  <cols>
    <col min="1" max="1" width="19.5546875" bestFit="1" customWidth="1"/>
    <col min="2" max="2" width="35.21875" bestFit="1" customWidth="1"/>
  </cols>
  <sheetData>
    <row r="1" spans="1:2" x14ac:dyDescent="0.3">
      <c r="A1" s="28" t="s">
        <v>1272</v>
      </c>
      <c r="B1" s="27"/>
    </row>
    <row r="2" spans="1:2" x14ac:dyDescent="0.3">
      <c r="A2" s="27"/>
      <c r="B2" s="27"/>
    </row>
    <row r="4" spans="1:2" ht="25.8" x14ac:dyDescent="0.5">
      <c r="A4" s="14" t="s">
        <v>1</v>
      </c>
      <c r="B4" s="15" t="s">
        <v>1260</v>
      </c>
    </row>
    <row r="5" spans="1:2" ht="25.8" x14ac:dyDescent="0.5">
      <c r="A5" s="16" t="s">
        <v>22</v>
      </c>
      <c r="B5" s="15">
        <v>591</v>
      </c>
    </row>
    <row r="6" spans="1:2" ht="25.8" x14ac:dyDescent="0.5">
      <c r="A6" s="16" t="s">
        <v>7</v>
      </c>
      <c r="B6" s="15">
        <v>609</v>
      </c>
    </row>
    <row r="7" spans="1:2" ht="25.8" x14ac:dyDescent="0.5">
      <c r="A7" s="16" t="s">
        <v>1257</v>
      </c>
      <c r="B7" s="15">
        <v>1200</v>
      </c>
    </row>
  </sheetData>
  <mergeCells count="1">
    <mergeCell ref="A1:B2"/>
  </mergeCell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6C622-3CF9-405C-BA84-4E7EFC603EA7}">
  <dimension ref="A1:C10"/>
  <sheetViews>
    <sheetView workbookViewId="0">
      <selection activeCell="C14" sqref="C14"/>
    </sheetView>
  </sheetViews>
  <sheetFormatPr defaultRowHeight="14.4" x14ac:dyDescent="0.3"/>
  <cols>
    <col min="1" max="1" width="18.21875" bestFit="1" customWidth="1"/>
    <col min="2" max="2" width="23.6640625" bestFit="1" customWidth="1"/>
    <col min="3" max="3" width="22" customWidth="1"/>
  </cols>
  <sheetData>
    <row r="1" spans="1:3" ht="8.4" customHeight="1" x14ac:dyDescent="0.3">
      <c r="A1" s="29" t="s">
        <v>1268</v>
      </c>
      <c r="B1" s="27"/>
      <c r="C1" s="27"/>
    </row>
    <row r="2" spans="1:3" ht="17.399999999999999" customHeight="1" x14ac:dyDescent="0.3">
      <c r="A2" s="27"/>
      <c r="B2" s="27"/>
      <c r="C2" s="27"/>
    </row>
    <row r="4" spans="1:3" ht="23.4" x14ac:dyDescent="0.45">
      <c r="A4" s="11" t="s">
        <v>1261</v>
      </c>
      <c r="B4" s="12" t="s">
        <v>1267</v>
      </c>
    </row>
    <row r="5" spans="1:3" ht="23.4" x14ac:dyDescent="0.45">
      <c r="A5" s="13" t="s">
        <v>1263</v>
      </c>
      <c r="B5" s="12">
        <v>471</v>
      </c>
    </row>
    <row r="6" spans="1:3" ht="23.4" x14ac:dyDescent="0.45">
      <c r="A6" s="13" t="s">
        <v>1262</v>
      </c>
      <c r="B6" s="12">
        <v>464</v>
      </c>
    </row>
    <row r="7" spans="1:3" ht="23.4" x14ac:dyDescent="0.45">
      <c r="A7" s="13" t="s">
        <v>1266</v>
      </c>
      <c r="B7" s="12">
        <v>140</v>
      </c>
    </row>
    <row r="8" spans="1:3" ht="23.4" x14ac:dyDescent="0.45">
      <c r="A8" s="13" t="s">
        <v>1264</v>
      </c>
      <c r="B8" s="12">
        <v>116</v>
      </c>
    </row>
    <row r="9" spans="1:3" ht="23.4" x14ac:dyDescent="0.45">
      <c r="A9" s="13" t="s">
        <v>1265</v>
      </c>
      <c r="B9" s="12">
        <v>9</v>
      </c>
    </row>
    <row r="10" spans="1:3" ht="23.4" x14ac:dyDescent="0.45">
      <c r="A10" s="13" t="s">
        <v>1257</v>
      </c>
      <c r="B10" s="12">
        <v>1200</v>
      </c>
    </row>
  </sheetData>
  <mergeCells count="1">
    <mergeCell ref="A1:C2"/>
  </mergeCell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6F650-C2E3-44BC-92B6-7F7056C16789}">
  <dimension ref="A1:C12"/>
  <sheetViews>
    <sheetView workbookViewId="0">
      <selection activeCell="B19" sqref="B19"/>
    </sheetView>
  </sheetViews>
  <sheetFormatPr defaultRowHeight="14.4" x14ac:dyDescent="0.3"/>
  <cols>
    <col min="1" max="1" width="18.6640625" bestFit="1" customWidth="1"/>
    <col min="2" max="3" width="20.88671875" bestFit="1" customWidth="1"/>
  </cols>
  <sheetData>
    <row r="1" spans="1:3" ht="9" customHeight="1" x14ac:dyDescent="0.3">
      <c r="A1" s="30" t="s">
        <v>1270</v>
      </c>
      <c r="B1" s="27"/>
      <c r="C1" s="27"/>
    </row>
    <row r="2" spans="1:3" ht="17.399999999999999" customHeight="1" x14ac:dyDescent="0.3">
      <c r="A2" s="27"/>
      <c r="B2" s="27"/>
      <c r="C2" s="27"/>
    </row>
    <row r="5" spans="1:3" ht="21" x14ac:dyDescent="0.4">
      <c r="A5" s="5" t="s">
        <v>2</v>
      </c>
      <c r="B5" s="6" t="s">
        <v>1269</v>
      </c>
    </row>
    <row r="6" spans="1:3" ht="21" x14ac:dyDescent="0.4">
      <c r="A6" s="7" t="s">
        <v>31</v>
      </c>
      <c r="B6" s="6">
        <v>91</v>
      </c>
    </row>
    <row r="7" spans="1:3" ht="21" x14ac:dyDescent="0.4">
      <c r="A7" s="7" t="s">
        <v>51</v>
      </c>
      <c r="B7" s="6">
        <v>151</v>
      </c>
    </row>
    <row r="8" spans="1:3" ht="21" x14ac:dyDescent="0.4">
      <c r="A8" s="7" t="s">
        <v>38</v>
      </c>
      <c r="B8" s="6">
        <v>177</v>
      </c>
    </row>
    <row r="9" spans="1:3" ht="21" x14ac:dyDescent="0.4">
      <c r="A9" s="7" t="s">
        <v>34</v>
      </c>
      <c r="B9" s="6">
        <v>226</v>
      </c>
    </row>
    <row r="10" spans="1:3" ht="21" x14ac:dyDescent="0.4">
      <c r="A10" s="7" t="s">
        <v>8</v>
      </c>
      <c r="B10" s="6">
        <v>276</v>
      </c>
    </row>
    <row r="11" spans="1:3" ht="21" x14ac:dyDescent="0.4">
      <c r="A11" s="7" t="s">
        <v>16</v>
      </c>
      <c r="B11" s="6">
        <v>279</v>
      </c>
    </row>
    <row r="12" spans="1:3" ht="21" x14ac:dyDescent="0.4">
      <c r="A12" s="7" t="s">
        <v>1257</v>
      </c>
      <c r="B12" s="6">
        <v>1200</v>
      </c>
    </row>
  </sheetData>
  <mergeCells count="1">
    <mergeCell ref="A1:C2"/>
  </mergeCells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426B8-CCE5-4E6F-88D6-9F49D5A80D7F}">
  <dimension ref="A1:B12"/>
  <sheetViews>
    <sheetView workbookViewId="0">
      <selection activeCell="B19" sqref="B19"/>
    </sheetView>
  </sheetViews>
  <sheetFormatPr defaultRowHeight="14.4" x14ac:dyDescent="0.3"/>
  <cols>
    <col min="1" max="1" width="16.33203125" bestFit="1" customWidth="1"/>
    <col min="2" max="2" width="36.109375" bestFit="1" customWidth="1"/>
  </cols>
  <sheetData>
    <row r="1" spans="1:2" x14ac:dyDescent="0.3">
      <c r="A1" s="30" t="s">
        <v>1273</v>
      </c>
      <c r="B1" s="27"/>
    </row>
    <row r="2" spans="1:2" x14ac:dyDescent="0.3">
      <c r="A2" s="27"/>
      <c r="B2" s="27"/>
    </row>
    <row r="4" spans="1:2" ht="18" x14ac:dyDescent="0.35">
      <c r="A4" s="8" t="s">
        <v>2</v>
      </c>
      <c r="B4" s="9" t="s">
        <v>1271</v>
      </c>
    </row>
    <row r="5" spans="1:2" ht="18" x14ac:dyDescent="0.35">
      <c r="A5" s="10" t="s">
        <v>38</v>
      </c>
      <c r="B5" s="17">
        <v>68093.977401129945</v>
      </c>
    </row>
    <row r="6" spans="1:2" ht="18" x14ac:dyDescent="0.35">
      <c r="A6" s="10" t="s">
        <v>51</v>
      </c>
      <c r="B6" s="17">
        <v>66767.748344370862</v>
      </c>
    </row>
    <row r="7" spans="1:2" ht="18" x14ac:dyDescent="0.35">
      <c r="A7" s="10" t="s">
        <v>16</v>
      </c>
      <c r="B7" s="17">
        <v>65484.329749103941</v>
      </c>
    </row>
    <row r="8" spans="1:2" ht="18" x14ac:dyDescent="0.35">
      <c r="A8" s="10" t="s">
        <v>31</v>
      </c>
      <c r="B8" s="17">
        <v>64578.26373626374</v>
      </c>
    </row>
    <row r="9" spans="1:2" ht="18" x14ac:dyDescent="0.35">
      <c r="A9" s="10" t="s">
        <v>8</v>
      </c>
      <c r="B9" s="17">
        <v>64459.355072463768</v>
      </c>
    </row>
    <row r="10" spans="1:2" ht="18" x14ac:dyDescent="0.35">
      <c r="A10" s="10" t="s">
        <v>34</v>
      </c>
      <c r="B10" s="17">
        <v>64134.097345132745</v>
      </c>
    </row>
    <row r="11" spans="1:2" ht="18" x14ac:dyDescent="0.35">
      <c r="A11" s="10" t="s">
        <v>1257</v>
      </c>
      <c r="B11" s="17">
        <v>65472.001666666663</v>
      </c>
    </row>
    <row r="12" spans="1:2" x14ac:dyDescent="0.3">
      <c r="B12" s="18"/>
    </row>
  </sheetData>
  <mergeCells count="1">
    <mergeCell ref="A1:B2"/>
  </mergeCells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D82A5-425E-42C6-8C23-D253E66EBE95}">
  <dimension ref="A1:C10"/>
  <sheetViews>
    <sheetView workbookViewId="0">
      <selection activeCell="B15" sqref="B15"/>
    </sheetView>
  </sheetViews>
  <sheetFormatPr defaultRowHeight="14.4" x14ac:dyDescent="0.3"/>
  <cols>
    <col min="1" max="1" width="35.109375" bestFit="1" customWidth="1"/>
    <col min="2" max="2" width="24.109375" customWidth="1"/>
    <col min="3" max="3" width="8.88671875" customWidth="1"/>
  </cols>
  <sheetData>
    <row r="1" spans="1:3" x14ac:dyDescent="0.3">
      <c r="A1" s="28" t="s">
        <v>1274</v>
      </c>
      <c r="B1" s="27"/>
      <c r="C1" s="27"/>
    </row>
    <row r="2" spans="1:3" x14ac:dyDescent="0.3">
      <c r="A2" s="27"/>
      <c r="B2" s="27"/>
      <c r="C2" s="27"/>
    </row>
    <row r="5" spans="1:3" ht="23.4" x14ac:dyDescent="0.45">
      <c r="A5" s="11" t="s">
        <v>1275</v>
      </c>
      <c r="B5" s="12" t="s">
        <v>1259</v>
      </c>
    </row>
    <row r="6" spans="1:3" ht="23.4" x14ac:dyDescent="0.45">
      <c r="A6" s="13">
        <v>1</v>
      </c>
      <c r="B6" s="12">
        <v>127</v>
      </c>
    </row>
    <row r="7" spans="1:3" ht="23.4" x14ac:dyDescent="0.45">
      <c r="A7" s="13">
        <v>2</v>
      </c>
      <c r="B7" s="12">
        <v>266</v>
      </c>
    </row>
    <row r="8" spans="1:3" ht="23.4" x14ac:dyDescent="0.45">
      <c r="A8" s="13">
        <v>3</v>
      </c>
      <c r="B8" s="12">
        <v>497</v>
      </c>
    </row>
    <row r="9" spans="1:3" ht="23.4" x14ac:dyDescent="0.45">
      <c r="A9" s="13">
        <v>4</v>
      </c>
      <c r="B9" s="12">
        <v>310</v>
      </c>
    </row>
    <row r="10" spans="1:3" ht="23.4" x14ac:dyDescent="0.45">
      <c r="A10" s="13" t="s">
        <v>1257</v>
      </c>
      <c r="B10" s="12">
        <v>1200</v>
      </c>
    </row>
  </sheetData>
  <mergeCells count="1">
    <mergeCell ref="A1:C2"/>
  </mergeCells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46021-C798-45F2-880B-E93278EF9B07}">
  <dimension ref="A1:B11"/>
  <sheetViews>
    <sheetView workbookViewId="0">
      <selection activeCell="E4" sqref="E4"/>
    </sheetView>
  </sheetViews>
  <sheetFormatPr defaultRowHeight="14.4" x14ac:dyDescent="0.3"/>
  <cols>
    <col min="1" max="1" width="38.6640625" bestFit="1" customWidth="1"/>
    <col min="2" max="2" width="24.109375" bestFit="1" customWidth="1"/>
  </cols>
  <sheetData>
    <row r="1" spans="1:2" x14ac:dyDescent="0.3">
      <c r="A1" s="30" t="s">
        <v>1277</v>
      </c>
      <c r="B1" s="27"/>
    </row>
    <row r="2" spans="1:2" x14ac:dyDescent="0.3">
      <c r="A2" s="27"/>
      <c r="B2" s="27"/>
    </row>
    <row r="5" spans="1:2" ht="23.4" x14ac:dyDescent="0.45">
      <c r="A5" s="11" t="s">
        <v>1276</v>
      </c>
      <c r="B5" s="12" t="s">
        <v>1259</v>
      </c>
    </row>
    <row r="6" spans="1:2" ht="23.4" x14ac:dyDescent="0.45">
      <c r="A6" s="13">
        <v>1</v>
      </c>
      <c r="B6" s="12">
        <v>114</v>
      </c>
    </row>
    <row r="7" spans="1:2" ht="23.4" x14ac:dyDescent="0.45">
      <c r="A7" s="13">
        <v>2</v>
      </c>
      <c r="B7" s="12">
        <v>318</v>
      </c>
    </row>
    <row r="8" spans="1:2" ht="23.4" x14ac:dyDescent="0.45">
      <c r="A8" s="13">
        <v>3</v>
      </c>
      <c r="B8" s="12">
        <v>501</v>
      </c>
    </row>
    <row r="9" spans="1:2" ht="23.4" x14ac:dyDescent="0.45">
      <c r="A9" s="13">
        <v>4</v>
      </c>
      <c r="B9" s="12">
        <v>267</v>
      </c>
    </row>
    <row r="10" spans="1:2" ht="23.4" x14ac:dyDescent="0.45">
      <c r="A10" s="13" t="s">
        <v>1257</v>
      </c>
      <c r="B10" s="12">
        <v>1200</v>
      </c>
    </row>
    <row r="11" spans="1:2" ht="23.4" x14ac:dyDescent="0.45">
      <c r="A11" s="12"/>
      <c r="B11" s="12"/>
    </row>
  </sheetData>
  <mergeCells count="1">
    <mergeCell ref="A1:B2"/>
  </mergeCells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A99E6-B080-4334-A509-4003CCED96AB}">
  <dimension ref="A1:D24"/>
  <sheetViews>
    <sheetView workbookViewId="0">
      <selection activeCell="D6" sqref="D6"/>
    </sheetView>
  </sheetViews>
  <sheetFormatPr defaultRowHeight="14.4" x14ac:dyDescent="0.3"/>
  <cols>
    <col min="1" max="1" width="20.88671875" bestFit="1" customWidth="1"/>
    <col min="2" max="2" width="16.88671875" bestFit="1" customWidth="1"/>
    <col min="3" max="3" width="4.33203125" bestFit="1" customWidth="1"/>
    <col min="4" max="4" width="12.109375" bestFit="1" customWidth="1"/>
  </cols>
  <sheetData>
    <row r="1" spans="1:4" ht="12" customHeight="1" x14ac:dyDescent="0.3">
      <c r="A1" s="28" t="s">
        <v>1279</v>
      </c>
      <c r="B1" s="27"/>
      <c r="C1" s="27"/>
      <c r="D1" s="27"/>
    </row>
    <row r="2" spans="1:4" x14ac:dyDescent="0.3">
      <c r="A2" s="27"/>
      <c r="B2" s="27"/>
      <c r="C2" s="27"/>
      <c r="D2" s="27"/>
    </row>
    <row r="3" spans="1:4" ht="15.6" x14ac:dyDescent="0.3">
      <c r="A3" s="19" t="s">
        <v>1259</v>
      </c>
      <c r="B3" s="19" t="s">
        <v>1258</v>
      </c>
      <c r="C3" s="20"/>
      <c r="D3" s="20"/>
    </row>
    <row r="4" spans="1:4" ht="15.6" x14ac:dyDescent="0.3">
      <c r="A4" s="19" t="s">
        <v>1278</v>
      </c>
      <c r="B4" s="20" t="s">
        <v>14</v>
      </c>
      <c r="C4" s="20" t="s">
        <v>12</v>
      </c>
      <c r="D4" s="20" t="s">
        <v>1257</v>
      </c>
    </row>
    <row r="5" spans="1:4" ht="15.6" x14ac:dyDescent="0.3">
      <c r="A5" s="21" t="s">
        <v>9</v>
      </c>
      <c r="B5" s="20">
        <v>96</v>
      </c>
      <c r="C5" s="20">
        <v>10</v>
      </c>
      <c r="D5" s="20">
        <v>106</v>
      </c>
    </row>
    <row r="6" spans="1:4" ht="15.6" x14ac:dyDescent="0.3">
      <c r="A6" s="21" t="s">
        <v>28</v>
      </c>
      <c r="B6" s="20">
        <v>90</v>
      </c>
      <c r="C6" s="20">
        <v>11</v>
      </c>
      <c r="D6" s="20">
        <v>101</v>
      </c>
    </row>
    <row r="7" spans="1:4" ht="15.6" x14ac:dyDescent="0.3">
      <c r="A7" s="21" t="s">
        <v>47</v>
      </c>
      <c r="B7" s="20">
        <v>80</v>
      </c>
      <c r="C7" s="20">
        <v>13</v>
      </c>
      <c r="D7" s="20">
        <v>93</v>
      </c>
    </row>
    <row r="8" spans="1:4" ht="15.6" x14ac:dyDescent="0.3">
      <c r="A8" s="21" t="s">
        <v>23</v>
      </c>
      <c r="B8" s="20">
        <v>78</v>
      </c>
      <c r="C8" s="20">
        <v>9</v>
      </c>
      <c r="D8" s="20">
        <v>87</v>
      </c>
    </row>
    <row r="9" spans="1:4" ht="15.6" x14ac:dyDescent="0.3">
      <c r="A9" s="21" t="s">
        <v>17</v>
      </c>
      <c r="B9" s="20">
        <v>80</v>
      </c>
      <c r="C9" s="20">
        <v>5</v>
      </c>
      <c r="D9" s="20">
        <v>85</v>
      </c>
    </row>
    <row r="10" spans="1:4" ht="15.6" x14ac:dyDescent="0.3">
      <c r="A10" s="21" t="s">
        <v>66</v>
      </c>
      <c r="B10" s="20">
        <v>75</v>
      </c>
      <c r="C10" s="20">
        <v>8</v>
      </c>
      <c r="D10" s="20">
        <v>83</v>
      </c>
    </row>
    <row r="11" spans="1:4" ht="15.6" x14ac:dyDescent="0.3">
      <c r="A11" s="21" t="s">
        <v>91</v>
      </c>
      <c r="B11" s="20">
        <v>61</v>
      </c>
      <c r="C11" s="20">
        <v>5</v>
      </c>
      <c r="D11" s="20">
        <v>66</v>
      </c>
    </row>
    <row r="12" spans="1:4" ht="15.6" x14ac:dyDescent="0.3">
      <c r="A12" s="21" t="s">
        <v>39</v>
      </c>
      <c r="B12" s="20">
        <v>54</v>
      </c>
      <c r="C12" s="20">
        <v>11</v>
      </c>
      <c r="D12" s="20">
        <v>65</v>
      </c>
    </row>
    <row r="13" spans="1:4" ht="15.6" x14ac:dyDescent="0.3">
      <c r="A13" s="21" t="s">
        <v>89</v>
      </c>
      <c r="B13" s="20">
        <v>52</v>
      </c>
      <c r="C13" s="20">
        <v>10</v>
      </c>
      <c r="D13" s="20">
        <v>62</v>
      </c>
    </row>
    <row r="14" spans="1:4" ht="15.6" x14ac:dyDescent="0.3">
      <c r="A14" s="21" t="s">
        <v>52</v>
      </c>
      <c r="B14" s="20">
        <v>50</v>
      </c>
      <c r="C14" s="20">
        <v>8</v>
      </c>
      <c r="D14" s="20">
        <v>58</v>
      </c>
    </row>
    <row r="15" spans="1:4" ht="15.6" x14ac:dyDescent="0.3">
      <c r="A15" s="21" t="s">
        <v>150</v>
      </c>
      <c r="B15" s="20">
        <v>44</v>
      </c>
      <c r="C15" s="20">
        <v>13</v>
      </c>
      <c r="D15" s="20">
        <v>57</v>
      </c>
    </row>
    <row r="16" spans="1:4" ht="15.6" x14ac:dyDescent="0.3">
      <c r="A16" s="21" t="s">
        <v>72</v>
      </c>
      <c r="B16" s="20">
        <v>49</v>
      </c>
      <c r="C16" s="20">
        <v>5</v>
      </c>
      <c r="D16" s="20">
        <v>54</v>
      </c>
    </row>
    <row r="17" spans="1:4" ht="15.6" x14ac:dyDescent="0.3">
      <c r="A17" s="21" t="s">
        <v>54</v>
      </c>
      <c r="B17" s="20">
        <v>46</v>
      </c>
      <c r="C17" s="20">
        <v>6</v>
      </c>
      <c r="D17" s="20">
        <v>52</v>
      </c>
    </row>
    <row r="18" spans="1:4" ht="15.6" x14ac:dyDescent="0.3">
      <c r="A18" s="21" t="s">
        <v>35</v>
      </c>
      <c r="B18" s="20">
        <v>47</v>
      </c>
      <c r="C18" s="20">
        <v>4</v>
      </c>
      <c r="D18" s="20">
        <v>51</v>
      </c>
    </row>
    <row r="19" spans="1:4" ht="15.6" x14ac:dyDescent="0.3">
      <c r="A19" s="21" t="s">
        <v>59</v>
      </c>
      <c r="B19" s="20">
        <v>44</v>
      </c>
      <c r="C19" s="20">
        <v>6</v>
      </c>
      <c r="D19" s="20">
        <v>50</v>
      </c>
    </row>
    <row r="20" spans="1:4" ht="15.6" x14ac:dyDescent="0.3">
      <c r="A20" s="21" t="s">
        <v>80</v>
      </c>
      <c r="B20" s="20">
        <v>32</v>
      </c>
      <c r="C20" s="20">
        <v>7</v>
      </c>
      <c r="D20" s="20">
        <v>39</v>
      </c>
    </row>
    <row r="21" spans="1:4" ht="15.6" x14ac:dyDescent="0.3">
      <c r="A21" s="21" t="s">
        <v>74</v>
      </c>
      <c r="B21" s="20">
        <v>32</v>
      </c>
      <c r="C21" s="20">
        <v>1</v>
      </c>
      <c r="D21" s="20">
        <v>33</v>
      </c>
    </row>
    <row r="22" spans="1:4" ht="15.6" x14ac:dyDescent="0.3">
      <c r="A22" s="21" t="s">
        <v>136</v>
      </c>
      <c r="B22" s="20">
        <v>28</v>
      </c>
      <c r="C22" s="20">
        <v>2</v>
      </c>
      <c r="D22" s="20">
        <v>30</v>
      </c>
    </row>
    <row r="23" spans="1:4" ht="15.6" x14ac:dyDescent="0.3">
      <c r="A23" s="21" t="s">
        <v>32</v>
      </c>
      <c r="B23" s="20">
        <v>25</v>
      </c>
      <c r="C23" s="20">
        <v>3</v>
      </c>
      <c r="D23" s="20">
        <v>28</v>
      </c>
    </row>
    <row r="24" spans="1:4" ht="15.6" x14ac:dyDescent="0.3">
      <c r="A24" s="21" t="s">
        <v>1257</v>
      </c>
      <c r="B24" s="20">
        <v>1063</v>
      </c>
      <c r="C24" s="20">
        <v>137</v>
      </c>
      <c r="D24" s="20">
        <v>1200</v>
      </c>
    </row>
  </sheetData>
  <mergeCells count="1">
    <mergeCell ref="A1:D2"/>
  </mergeCells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341F8-760D-4EA5-9D96-407E4F7583F8}">
  <dimension ref="A1:D11"/>
  <sheetViews>
    <sheetView workbookViewId="0">
      <selection activeCell="D17" sqref="D17"/>
    </sheetView>
  </sheetViews>
  <sheetFormatPr defaultRowHeight="14.4" x14ac:dyDescent="0.3"/>
  <cols>
    <col min="1" max="1" width="18.33203125" bestFit="1" customWidth="1"/>
    <col min="2" max="2" width="18.6640625" bestFit="1" customWidth="1"/>
    <col min="3" max="3" width="5" bestFit="1" customWidth="1"/>
    <col min="4" max="4" width="13.44140625" bestFit="1" customWidth="1"/>
  </cols>
  <sheetData>
    <row r="1" spans="1:4" x14ac:dyDescent="0.3">
      <c r="A1" s="31" t="s">
        <v>1281</v>
      </c>
      <c r="B1" s="27"/>
      <c r="C1" s="27"/>
      <c r="D1" s="27"/>
    </row>
    <row r="2" spans="1:4" x14ac:dyDescent="0.3">
      <c r="A2" s="27"/>
      <c r="B2" s="27"/>
      <c r="C2" s="27"/>
      <c r="D2" s="27"/>
    </row>
    <row r="4" spans="1:4" ht="18" x14ac:dyDescent="0.35">
      <c r="A4" s="8" t="s">
        <v>1280</v>
      </c>
      <c r="B4" s="8" t="s">
        <v>1258</v>
      </c>
      <c r="C4" s="9"/>
      <c r="D4" s="9"/>
    </row>
    <row r="5" spans="1:4" ht="18" x14ac:dyDescent="0.35">
      <c r="A5" s="8" t="s">
        <v>1261</v>
      </c>
      <c r="B5" s="9" t="s">
        <v>14</v>
      </c>
      <c r="C5" s="9" t="s">
        <v>12</v>
      </c>
      <c r="D5" s="9" t="s">
        <v>1257</v>
      </c>
    </row>
    <row r="6" spans="1:4" ht="18" x14ac:dyDescent="0.35">
      <c r="A6" s="10" t="s">
        <v>1263</v>
      </c>
      <c r="B6" s="9">
        <v>416</v>
      </c>
      <c r="C6" s="9">
        <v>55</v>
      </c>
      <c r="D6" s="9">
        <v>471</v>
      </c>
    </row>
    <row r="7" spans="1:4" ht="18" x14ac:dyDescent="0.35">
      <c r="A7" s="10" t="s">
        <v>1262</v>
      </c>
      <c r="B7" s="9">
        <v>412</v>
      </c>
      <c r="C7" s="9">
        <v>52</v>
      </c>
      <c r="D7" s="9">
        <v>464</v>
      </c>
    </row>
    <row r="8" spans="1:4" ht="18" x14ac:dyDescent="0.35">
      <c r="A8" s="10" t="s">
        <v>1266</v>
      </c>
      <c r="B8" s="9">
        <v>122</v>
      </c>
      <c r="C8" s="9">
        <v>18</v>
      </c>
      <c r="D8" s="9">
        <v>140</v>
      </c>
    </row>
    <row r="9" spans="1:4" ht="18" x14ac:dyDescent="0.35">
      <c r="A9" s="10" t="s">
        <v>1264</v>
      </c>
      <c r="B9" s="9">
        <v>105</v>
      </c>
      <c r="C9" s="9">
        <v>11</v>
      </c>
      <c r="D9" s="9">
        <v>116</v>
      </c>
    </row>
    <row r="10" spans="1:4" ht="18" x14ac:dyDescent="0.35">
      <c r="A10" s="10" t="s">
        <v>1265</v>
      </c>
      <c r="B10" s="9">
        <v>8</v>
      </c>
      <c r="C10" s="9">
        <v>1</v>
      </c>
      <c r="D10" s="9">
        <v>9</v>
      </c>
    </row>
    <row r="11" spans="1:4" ht="18" x14ac:dyDescent="0.35">
      <c r="A11" s="10" t="s">
        <v>1257</v>
      </c>
      <c r="B11" s="9">
        <v>1063</v>
      </c>
      <c r="C11" s="9">
        <v>137</v>
      </c>
      <c r="D11" s="9">
        <v>1200</v>
      </c>
    </row>
  </sheetData>
  <mergeCells count="1">
    <mergeCell ref="A1:D2"/>
  </mergeCells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D954C-6B42-4FFE-8A4E-AB0F172FF99B}">
  <dimension ref="A1:D11"/>
  <sheetViews>
    <sheetView workbookViewId="0">
      <selection activeCell="D17" sqref="D17"/>
    </sheetView>
  </sheetViews>
  <sheetFormatPr defaultRowHeight="14.4" x14ac:dyDescent="0.3"/>
  <cols>
    <col min="1" max="1" width="22" bestFit="1" customWidth="1"/>
    <col min="2" max="2" width="21.6640625" bestFit="1" customWidth="1"/>
    <col min="3" max="3" width="5.88671875" bestFit="1" customWidth="1"/>
    <col min="4" max="4" width="15.88671875" bestFit="1" customWidth="1"/>
  </cols>
  <sheetData>
    <row r="1" spans="1:4" x14ac:dyDescent="0.3">
      <c r="A1" s="29" t="s">
        <v>1288</v>
      </c>
      <c r="B1" s="27"/>
      <c r="C1" s="27"/>
      <c r="D1" s="27"/>
    </row>
    <row r="2" spans="1:4" x14ac:dyDescent="0.3">
      <c r="A2" s="27"/>
      <c r="B2" s="27"/>
      <c r="C2" s="27"/>
      <c r="D2" s="27"/>
    </row>
    <row r="4" spans="1:4" ht="21" x14ac:dyDescent="0.4">
      <c r="A4" s="5" t="s">
        <v>1259</v>
      </c>
      <c r="B4" s="5" t="s">
        <v>1258</v>
      </c>
      <c r="C4" s="6"/>
      <c r="D4" s="6"/>
    </row>
    <row r="5" spans="1:4" ht="21" x14ac:dyDescent="0.4">
      <c r="A5" s="5" t="s">
        <v>1282</v>
      </c>
      <c r="B5" s="6" t="s">
        <v>14</v>
      </c>
      <c r="C5" s="6" t="s">
        <v>12</v>
      </c>
      <c r="D5" s="6" t="s">
        <v>1257</v>
      </c>
    </row>
    <row r="6" spans="1:4" ht="21" x14ac:dyDescent="0.4">
      <c r="A6" s="7" t="s">
        <v>1287</v>
      </c>
      <c r="B6" s="6">
        <v>68</v>
      </c>
      <c r="C6" s="6">
        <v>12</v>
      </c>
      <c r="D6" s="6">
        <v>80</v>
      </c>
    </row>
    <row r="7" spans="1:4" ht="21" x14ac:dyDescent="0.4">
      <c r="A7" s="7" t="s">
        <v>1284</v>
      </c>
      <c r="B7" s="6">
        <v>157</v>
      </c>
      <c r="C7" s="6">
        <v>27</v>
      </c>
      <c r="D7" s="6">
        <v>184</v>
      </c>
    </row>
    <row r="8" spans="1:4" ht="21" x14ac:dyDescent="0.4">
      <c r="A8" s="7" t="s">
        <v>1285</v>
      </c>
      <c r="B8" s="6">
        <v>226</v>
      </c>
      <c r="C8" s="6">
        <v>30</v>
      </c>
      <c r="D8" s="6">
        <v>256</v>
      </c>
    </row>
    <row r="9" spans="1:4" ht="21" x14ac:dyDescent="0.4">
      <c r="A9" s="7" t="s">
        <v>1286</v>
      </c>
      <c r="B9" s="6">
        <v>274</v>
      </c>
      <c r="C9" s="6">
        <v>39</v>
      </c>
      <c r="D9" s="6">
        <v>313</v>
      </c>
    </row>
    <row r="10" spans="1:4" ht="21" x14ac:dyDescent="0.4">
      <c r="A10" s="7" t="s">
        <v>1283</v>
      </c>
      <c r="B10" s="6">
        <v>338</v>
      </c>
      <c r="C10" s="6">
        <v>29</v>
      </c>
      <c r="D10" s="6">
        <v>367</v>
      </c>
    </row>
    <row r="11" spans="1:4" ht="21" x14ac:dyDescent="0.4">
      <c r="A11" s="7" t="s">
        <v>1257</v>
      </c>
      <c r="B11" s="6">
        <v>1063</v>
      </c>
      <c r="C11" s="6">
        <v>137</v>
      </c>
      <c r="D11" s="6">
        <v>1200</v>
      </c>
    </row>
  </sheetData>
  <mergeCells count="1">
    <mergeCell ref="A1:D2"/>
  </mergeCell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HR_Data</vt:lpstr>
      <vt:lpstr>Report_Summary</vt:lpstr>
      <vt:lpstr>Department_Attrition</vt:lpstr>
      <vt:lpstr>Employee_Demographics</vt:lpstr>
      <vt:lpstr>Age_Group_Analysis</vt:lpstr>
      <vt:lpstr>Department_Employee_Count</vt:lpstr>
      <vt:lpstr>Department_Income_Analysis</vt:lpstr>
      <vt:lpstr>Job_Satisfaction_Analysis</vt:lpstr>
      <vt:lpstr>Work_Life_Balance</vt:lpstr>
      <vt:lpstr>JobRole_Attrition</vt:lpstr>
      <vt:lpstr>AgeGroup_Attrition</vt:lpstr>
      <vt:lpstr>Tenure_Attrition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Deepak Kumar</cp:lastModifiedBy>
  <dcterms:created xsi:type="dcterms:W3CDTF">2026-10-18T07:36:35Z</dcterms:created>
  <dcterms:modified xsi:type="dcterms:W3CDTF">2026-10-23T07:47:49Z</dcterms:modified>
</cp:coreProperties>
</file>